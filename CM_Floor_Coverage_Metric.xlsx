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" sheetId="1" state="visible" r:id="rId3"/>
    <sheet name="Coverage" sheetId="2" state="visible" r:id="rId4"/>
    <sheet name="Dashboard" sheetId="3" state="visible" r:id="rId5"/>
    <sheet name="Portfolio Roll-up" sheetId="4" state="visible" r:id="rId6"/>
    <sheet name="Lists" sheetId="5" state="visible" r:id="rId7"/>
  </sheets>
  <definedNames>
    <definedName function="false" hidden="true" localSheetId="1" name="_xlnm._FilterDatabase" vbProcedure="false">Coverage!$A$3:$K$3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<sst xmlns="http://schemas.openxmlformats.org/spreadsheetml/2006/main" count="374" uniqueCount="219">
  <si>
    <t xml:space="preserve">CM Floor Compliance Coverage Metric — Method and Justification</t>
  </si>
  <si>
    <t xml:space="preserve">What this metric answers</t>
  </si>
  <si>
    <t xml:space="preserve">Whether programs are honestly confronting their CM floor gaps — i.e., whether every floor requirement has been consciously dispositioned (performed, replaced by a validated equivalent control, or formally risk-accepted). It measures HONESTY about gaps, not safety of the portfolio (see the caution below).</t>
  </si>
  <si>
    <t xml:space="preserve">Why the 44 requirements are NOT weighted equally</t>
  </si>
  <si>
    <t xml:space="preserve">The floor requirements differ in the one dimension that matters to a safety floor: the consequence of the barrier being absent. The register already ties each requirement to a barrier and a hazard control; equal weighting discards that. All 44 floor requirements are top-band (Catastrophic or Severe) by construction — every one traces to one of the sixteen barriers, and the barrier safety case rates all sixteen Severity 1 or 2. There is no Major/Minor tier in the floor. So the weighting does not separate 'safety' from 'clerical'; it separates the twelve fatality-class barriers (Catastrophic) from the four program-loss/quality-escape barriers (Severe). A program that dispositioned 40 of 44 reads differently depending on whether the 4 open items are Catastrophic or Severe — and it should. That is the failure mode this design exists to prevent: a metric that lets a paperwork-completion number stand in for a risk-exposure number.</t>
  </si>
  <si>
    <t xml:space="preserve">The two-number design</t>
  </si>
  <si>
    <t xml:space="preserve">1. Severity-weighted coverage % — each requirement contributes its severity weight (Catastrophic 3, Severe 2). Weights are keyed to the severity LABEL, not the org's numeric code — the org uses 1 = Catastrophic, 2 = Severe (ascending), so using the raw number as a weight would invert the metric. Catastrophic always carries the higher weight regardless of its numeric code. Coverage = weighted dispositioned ÷ weighted total. Catastrophic outweighs Severe 3:2 (1.5x) so that, during remediation, the coverage % rewards closing the deadliest barriers first — the weighting sequences the work; it does not make Severe items optional. This is the trend and comparison number; severity-weighting keeps it honest against the paperwork-completion illusion. Use it for dashboards and cross-program comparison.</t>
  </si>
  <si>
    <t xml:space="preserve">2. Top-band hard gate — a COUNT, never a percentage: the number of Catastrophic- and Severe-band floor items left undispositioned. At the top of the severity scale the right target is zero and any nonzero value is a finding, not a score — so it is never averaged. A single open catastrophic barrier must not be averageable away behind a 96% weighted number.</t>
  </si>
  <si>
    <t xml:space="preserve">Why a count for the top band, not a weighted %</t>
  </si>
  <si>
    <t xml:space="preserve">Because every floor item is top-band, the hard gate is simply the count of open floor items — and its target is zero. The weighted % then distinguishes only Catastrophic from Severe, which is exactly the sequencing signal you want during remediation. Averaging is never allowed to retire an open top-band item; the gate overrides the average. This mirrors principles used elsewhere in the CM system: audit designation cannot sample out safety-critical requirements, and major audit findings do not average against minor ones. The safety-bearing subset gets a hard gate; the rest gets a weighted measure.</t>
  </si>
  <si>
    <t xml:space="preserve">The risk-accepted caution</t>
  </si>
  <si>
    <t xml:space="preserve">'Dispositioned' includes risk-accepted, so for THIS metric a risk-accepted item counts as covered — conscious risk acceptance is a legitimate floor disposition. But coverage measures honesty, not safety: a portfolio '100% covered' entirely via catastrophic risk acceptances is technically honest and substantively alarming. The workbook therefore reports risk-accepted as its own category (performed/equivalent vs. risk-accepted) so a high coverage number is never misread as a safe portfolio. Do not conflate the two questions.</t>
  </si>
  <si>
    <t xml:space="preserve">Severity source</t>
  </si>
  <si>
    <t xml:space="preserve">Severity is INHERITED from each requirement's barrier, per the Sixteen Barriers safety case (deck: 5=Catastrophic, 4=Severe; shown here in the org's 1/2 convention). It is not re-rated per program — that removes the incentive to score a barrier's absence low to avoid an unfavorable number. Where a requirement serves more than one barrier, it takes the most severe (Catastrophic wins). These are fixed at the register level; do not edit severities per program.</t>
  </si>
  <si>
    <t xml:space="preserve">How to use</t>
  </si>
  <si>
    <t xml:space="preserve">•  Populate one Coverage row per floor item per program instance (or maintain one workbook per program). Set each item's Disposition from the program's CM Floor Compliance Matrix: Performed, Equivalent control, Risk-accepted, or Open.</t>
  </si>
  <si>
    <t xml:space="preserve">•  The Dashboard computes the severity-weighted coverage %, the top-band hard-gate count, and the performed/equivalent vs. risk-accepted split — all by formula. Do not overwrite formula cells.</t>
  </si>
  <si>
    <t xml:space="preserve">•  Read the three together: weighted % for trend, hard-gate count for safety exposure (target zero), risk-accepted share for how much 'coverage' is acceptance rather than performance.</t>
  </si>
  <si>
    <t xml:space="preserve">Program:</t>
  </si>
  <si>
    <t xml:space="preserve">[Program]</t>
  </si>
  <si>
    <t xml:space="preserve">Floor ID</t>
  </si>
  <si>
    <t xml:space="preserve">Cluster</t>
  </si>
  <si>
    <t xml:space="preserve">Clause</t>
  </si>
  <si>
    <t xml:space="preserve">Requirement (paraphrased)</t>
  </si>
  <si>
    <t xml:space="preserve">Barrier</t>
  </si>
  <si>
    <t xml:space="preserve">Severity (pre-anchored)</t>
  </si>
  <si>
    <t xml:space="preserve">Weight</t>
  </si>
  <si>
    <t xml:space="preserve">Disposition</t>
  </si>
  <si>
    <t xml:space="preserve">Weighted total</t>
  </si>
  <si>
    <t xml:space="preserve">Weighted covered</t>
  </si>
  <si>
    <t xml:space="preserve">Top-band open?</t>
  </si>
  <si>
    <t xml:space="preserve">F01</t>
  </si>
  <si>
    <t xml:space="preserve">1. Hazard ID &amp; Critical-Item Recognition</t>
  </si>
  <si>
    <t xml:space="preserve">3.2.1(2)(b)</t>
  </si>
  <si>
    <t xml:space="preserve">Identify as a CI any item whose failure could cause serious injury, loss of life, or loss of primary system capability</t>
  </si>
  <si>
    <t xml:space="preserve">B1</t>
  </si>
  <si>
    <t xml:space="preserve">Catastrophic (1)</t>
  </si>
  <si>
    <t xml:space="preserve">Open</t>
  </si>
  <si>
    <t xml:space="preserve">F02</t>
  </si>
  <si>
    <t xml:space="preserve">3.3.1.2(1)</t>
  </si>
  <si>
    <t xml:space="preserve">Classify every engineering change as Major (Class I) or Minor (Class II)</t>
  </si>
  <si>
    <t xml:space="preserve">B2</t>
  </si>
  <si>
    <t xml:space="preserve">F03</t>
  </si>
  <si>
    <t xml:space="preserve">3.3.1.2(2)(e)(6)(a)</t>
  </si>
  <si>
    <t xml:space="preserve">Treat changes affecting safety as Major (Class I)</t>
  </si>
  <si>
    <t xml:space="preserve">F04</t>
  </si>
  <si>
    <t xml:space="preserve">3.3(3)</t>
  </si>
  <si>
    <t xml:space="preserve">Support a joint Acquirer/Supplier Configuration Control Board</t>
  </si>
  <si>
    <t xml:space="preserve">F05</t>
  </si>
  <si>
    <t xml:space="preserve">3.3.1.8.1(1)</t>
  </si>
  <si>
    <t xml:space="preserve">Obtain Acquirer concurrence on Minor (Class II) classification</t>
  </si>
  <si>
    <t xml:space="preserve">F06</t>
  </si>
  <si>
    <t xml:space="preserve">2. Change Discipline &amp; Impact Assessment</t>
  </si>
  <si>
    <t xml:space="preserve">3.3(1)</t>
  </si>
  <si>
    <t xml:space="preserve">Apply configuration control to each CI, its components, and its documentation</t>
  </si>
  <si>
    <t xml:space="preserve">B3</t>
  </si>
  <si>
    <t xml:space="preserve">F07</t>
  </si>
  <si>
    <t xml:space="preserve">3.3(2)(c)</t>
  </si>
  <si>
    <t xml:space="preserve">Document, evaluate, disposition, record in CSA, and report changes and variances</t>
  </si>
  <si>
    <t xml:space="preserve">F08</t>
  </si>
  <si>
    <t xml:space="preserve">3.3(2)(e)</t>
  </si>
  <si>
    <t xml:space="preserve">Incorporate approved changes into all product configuration information and implement them</t>
  </si>
  <si>
    <t xml:space="preserve">F09</t>
  </si>
  <si>
    <t xml:space="preserve">3.3(2)(f)</t>
  </si>
  <si>
    <t xml:space="preserve">Verify approved changes were incorporated</t>
  </si>
  <si>
    <t xml:space="preserve">F10</t>
  </si>
  <si>
    <t xml:space="preserve">3.3.1(1)</t>
  </si>
  <si>
    <t xml:space="preserve">Use an ECP to document baseline changes and submit to the change approval authority</t>
  </si>
  <si>
    <t xml:space="preserve">B2, B3</t>
  </si>
  <si>
    <t xml:space="preserve">F11</t>
  </si>
  <si>
    <t xml:space="preserve">3.3.1.1(1)(a)</t>
  </si>
  <si>
    <t xml:space="preserve">Define the need for each change</t>
  </si>
  <si>
    <t xml:space="preserve">F12</t>
  </si>
  <si>
    <t xml:space="preserve">3.3.1.1(1)(e)</t>
  </si>
  <si>
    <t xml:space="preserve">Incorporate the approved ECP into the configuration documentation</t>
  </si>
  <si>
    <t xml:space="preserve">F13</t>
  </si>
  <si>
    <t xml:space="preserve">3.3.1.1(1)(f)</t>
  </si>
  <si>
    <t xml:space="preserve">Implement and update documentation via a documented engineering release system</t>
  </si>
  <si>
    <t xml:space="preserve">F14</t>
  </si>
  <si>
    <t xml:space="preserve">3.3.1.1(1)(g)</t>
  </si>
  <si>
    <t xml:space="preserve">Record all changes in the CSA system</t>
  </si>
  <si>
    <t xml:space="preserve">F15</t>
  </si>
  <si>
    <t xml:space="preserve">3.3.1.1(1)(h)</t>
  </si>
  <si>
    <t xml:space="preserve">Verify the approved change was implemented correctly</t>
  </si>
  <si>
    <t xml:space="preserve">F16</t>
  </si>
  <si>
    <t xml:space="preserve">3.3.1.4(1)</t>
  </si>
  <si>
    <t xml:space="preserve">Support each ECP with data to evaluate the change and its full impacts</t>
  </si>
  <si>
    <t xml:space="preserve">B4</t>
  </si>
  <si>
    <t xml:space="preserve">F17</t>
  </si>
  <si>
    <t xml:space="preserve">3.3.1.4(3)</t>
  </si>
  <si>
    <t xml:space="preserve">Include a summary of testing validating new concepts or technology</t>
  </si>
  <si>
    <t xml:space="preserve">F18</t>
  </si>
  <si>
    <t xml:space="preserve">3.3.2(1)</t>
  </si>
  <si>
    <t xml:space="preserve">Obtain Acquirer approval for any non-conforming item via a Request for Variance</t>
  </si>
  <si>
    <t xml:space="preserve">B5</t>
  </si>
  <si>
    <t xml:space="preserve">F19</t>
  </si>
  <si>
    <t xml:space="preserve">3.3.2(2)</t>
  </si>
  <si>
    <t xml:space="preserve">Submit an ECP when a variance is determined permanently acceptable (recurring-to-permanent)</t>
  </si>
  <si>
    <t xml:space="preserve">F20</t>
  </si>
  <si>
    <t xml:space="preserve">3.3.1.1(1)(c)</t>
  </si>
  <si>
    <t xml:space="preserve">Prepare an ECP, NOR, and supporting technical data for the change</t>
  </si>
  <si>
    <t xml:space="preserve">B6</t>
  </si>
  <si>
    <t xml:space="preserve">Severe (2)</t>
  </si>
  <si>
    <t xml:space="preserve">F21</t>
  </si>
  <si>
    <t xml:space="preserve">3.3.4(1)</t>
  </si>
  <si>
    <t xml:space="preserve">Submit a NOR for each document affected by an ECP</t>
  </si>
  <si>
    <t xml:space="preserve">F22</t>
  </si>
  <si>
    <t xml:space="preserve">3.3.4(2)</t>
  </si>
  <si>
    <t xml:space="preserve">Provide all information needed to disposition each NOR</t>
  </si>
  <si>
    <t xml:space="preserve">F23</t>
  </si>
  <si>
    <t xml:space="preserve">3.2.3.3(1)</t>
  </si>
  <si>
    <t xml:space="preserve">Create a new revision of approved documentation after change approval, with before/after traceability</t>
  </si>
  <si>
    <t xml:space="preserve">B7</t>
  </si>
  <si>
    <t xml:space="preserve">F24</t>
  </si>
  <si>
    <t xml:space="preserve">3. As-Designed to As-Built Reconciliation</t>
  </si>
  <si>
    <t xml:space="preserve">3.4(1)</t>
  </si>
  <si>
    <t xml:space="preserve">Maintain CSA legitimacy by storing valid data</t>
  </si>
  <si>
    <t xml:space="preserve">B8</t>
  </si>
  <si>
    <t xml:space="preserve">F25</t>
  </si>
  <si>
    <t xml:space="preserve">3.4.1(2)</t>
  </si>
  <si>
    <t xml:space="preserve">Capture, store, and maintain product configuration information</t>
  </si>
  <si>
    <t xml:space="preserve">F26</t>
  </si>
  <si>
    <t xml:space="preserve">3.4.1(3)(a)</t>
  </si>
  <si>
    <t xml:space="preserve">Capture and maintain currently approved configuration information by each CI's identification number</t>
  </si>
  <si>
    <t xml:space="preserve">B8, B11</t>
  </si>
  <si>
    <t xml:space="preserve">F27</t>
  </si>
  <si>
    <t xml:space="preserve">3.4.1(3)(c)</t>
  </si>
  <si>
    <t xml:space="preserve">Store and manage all product configuration information</t>
  </si>
  <si>
    <t xml:space="preserve">F28</t>
  </si>
  <si>
    <t xml:space="preserve">3.4.1(4)(c)</t>
  </si>
  <si>
    <t xml:space="preserve">Secure, safeguard, and retrieve recorded configuration information</t>
  </si>
  <si>
    <t xml:space="preserve">F29</t>
  </si>
  <si>
    <t xml:space="preserve">3.5.3(1)</t>
  </si>
  <si>
    <t xml:space="preserve">Conduct the PCA to verify product configuration documentation is consistent with the validated CI</t>
  </si>
  <si>
    <t xml:space="preserve">B9</t>
  </si>
  <si>
    <t xml:space="preserve">F30</t>
  </si>
  <si>
    <t xml:space="preserve">3.5.3(2)</t>
  </si>
  <si>
    <t xml:space="preserve">Confirm the CI against the PPSL and verify proper parts are installed</t>
  </si>
  <si>
    <t xml:space="preserve">F31</t>
  </si>
  <si>
    <t xml:space="preserve">3.5.3(4)</t>
  </si>
  <si>
    <t xml:space="preserve">Document each PCA non-compliance and provide it to the Acquirer</t>
  </si>
  <si>
    <t xml:space="preserve">F32</t>
  </si>
  <si>
    <t xml:space="preserve">3.4.1(3)(b)</t>
  </si>
  <si>
    <t xml:space="preserve">Capture and maintain all historical configuration information with traceability from contract award to present</t>
  </si>
  <si>
    <t xml:space="preserve">B10</t>
  </si>
  <si>
    <t xml:space="preserve">F33</t>
  </si>
  <si>
    <t xml:space="preserve">3.4.1(6)</t>
  </si>
  <si>
    <t xml:space="preserve">Document the incorporation of all retrofit changes to units identified for retrofit</t>
  </si>
  <si>
    <t xml:space="preserve">B11</t>
  </si>
  <si>
    <t xml:space="preserve">F34</t>
  </si>
  <si>
    <t xml:space="preserve">3.5.3.1(1)(b)</t>
  </si>
  <si>
    <t xml:space="preserve">Identify differences between the production CI and the development CI used for FCA</t>
  </si>
  <si>
    <t xml:space="preserve">B12</t>
  </si>
  <si>
    <t xml:space="preserve">F35</t>
  </si>
  <si>
    <t xml:space="preserve">4. Supply Chain, Interfaces &amp; Verification</t>
  </si>
  <si>
    <t xml:space="preserve">3.2.5.1(1)</t>
  </si>
  <si>
    <t xml:space="preserve">Identify internal and external interface requirements</t>
  </si>
  <si>
    <t xml:space="preserve">B13</t>
  </si>
  <si>
    <t xml:space="preserve">F36</t>
  </si>
  <si>
    <t xml:space="preserve">3.2.5.1(2)</t>
  </si>
  <si>
    <t xml:space="preserve">Incorporate interface information into the FCD/ACD/PCD</t>
  </si>
  <si>
    <t xml:space="preserve">F37</t>
  </si>
  <si>
    <t xml:space="preserve">3.2.5.1(3)</t>
  </si>
  <si>
    <t xml:space="preserve">Maintain configuration control of baselined interface requirements</t>
  </si>
  <si>
    <t xml:space="preserve">F38</t>
  </si>
  <si>
    <t xml:space="preserve">3.2.5.2(1)</t>
  </si>
  <si>
    <t xml:space="preserve">Provide a representative to the Acquirer's ICWG where one exists</t>
  </si>
  <si>
    <t xml:space="preserve">F39</t>
  </si>
  <si>
    <t xml:space="preserve">3.4.1(3)(j)</t>
  </si>
  <si>
    <t xml:space="preserve">Record and report sub-tier supplier data with traceability to the next higher assembly</t>
  </si>
  <si>
    <t xml:space="preserve">B14</t>
  </si>
  <si>
    <t xml:space="preserve">F40</t>
  </si>
  <si>
    <t xml:space="preserve">3.(2)</t>
  </si>
  <si>
    <t xml:space="preserve">Require sub-suppliers to comply with or suitably tailor the same CM requirements imposed on the Supplier</t>
  </si>
  <si>
    <t xml:space="preserve">B15</t>
  </si>
  <si>
    <t xml:space="preserve">F41</t>
  </si>
  <si>
    <t xml:space="preserve">3.(4)</t>
  </si>
  <si>
    <t xml:space="preserve">Support Acquirer audits of Supplier and sub-supplier CM</t>
  </si>
  <si>
    <t xml:space="preserve">F42</t>
  </si>
  <si>
    <t xml:space="preserve">3.5.2(2)</t>
  </si>
  <si>
    <t xml:space="preserve">Conduct the FCA to verify the CI meets performance requirements per approved FCD/ACD</t>
  </si>
  <si>
    <t xml:space="preserve">B16</t>
  </si>
  <si>
    <t xml:space="preserve">F43</t>
  </si>
  <si>
    <t xml:space="preserve">3.5.2(3)</t>
  </si>
  <si>
    <t xml:space="preserve">Document each FCA non-compliance and provide it to the Acquirer</t>
  </si>
  <si>
    <t xml:space="preserve">F44</t>
  </si>
  <si>
    <t xml:space="preserve">3.5.2.1(1)(c)</t>
  </si>
  <si>
    <t xml:space="preserve">Provide a requirements-to-test traceability matrix (each requirement maps to a test step)</t>
  </si>
  <si>
    <t xml:space="preserve">CM Floor Coverage — Program Dashboard</t>
  </si>
  <si>
    <t xml:space="preserve">Read all three panels together. Weighted % = trend. Hard gate = safety exposure (target 0). Risk-accepted share = how much coverage is acceptance vs. performance.</t>
  </si>
  <si>
    <t xml:space="preserve">Panel 1 — Severity-weighted coverage (trend / comparison)</t>
  </si>
  <si>
    <t xml:space="preserve">Weighted total (all floor items)</t>
  </si>
  <si>
    <t xml:space="preserve">Weighted covered (dispositioned)</t>
  </si>
  <si>
    <t xml:space="preserve">Severity-weighted coverage %</t>
  </si>
  <si>
    <t xml:space="preserve">Panel 2 — Top-band hard gate (safety exposure — target 0)</t>
  </si>
  <si>
    <t xml:space="preserve">Catastrophic + Severe items OPEN (count)</t>
  </si>
  <si>
    <t xml:space="preserve">GATE STATUS</t>
  </si>
  <si>
    <t xml:space="preserve">Panel 3 — Coverage composition (honesty vs. safety)</t>
  </si>
  <si>
    <t xml:space="preserve">Items Performed</t>
  </si>
  <si>
    <t xml:space="preserve">Items Equivalent control</t>
  </si>
  <si>
    <t xml:space="preserve">Items Risk-accepted</t>
  </si>
  <si>
    <t xml:space="preserve">Items Open</t>
  </si>
  <si>
    <t xml:space="preserve">Risk-accepted share of covered (weighted)</t>
  </si>
  <si>
    <t xml:space="preserve">Catastrophic items risk-accepted (count)</t>
  </si>
  <si>
    <t xml:space="preserve">Note: a high Panel-1 % with a nonzero Panel-2 count is a FAIL, not a pass — the gate overrides the average. A high % driven by Panel-3 risk-acceptance is honest coverage but not a safe portfolio; escalate catastrophic risk-acceptances regardless of the coverage number.</t>
  </si>
  <si>
    <t xml:space="preserve">Portfolio Roll-up — Guidance</t>
  </si>
  <si>
    <t xml:space="preserve">Rolling multiple programs up</t>
  </si>
  <si>
    <t xml:space="preserve">Maintain one Coverage sheet (or one workbook) per program, then aggregate: sum weighted totals and weighted covered across programs for the portfolio weighted % ; SUM the top-band open counts across programs for the portfolio hard gate (never average it) ; sum the catastrophic-risk-accepted counts.</t>
  </si>
  <si>
    <t xml:space="preserve">Report the portfolio the same three ways: weighted % for the trend line, a single integer for top-band open items across all programs (target zero), and the count of programs with any top-band gap (the per-program failure count, which is often more actionable than the item count).</t>
  </si>
  <si>
    <t xml:space="preserve">As an operationalization metric</t>
  </si>
  <si>
    <t xml:space="preserve">This coverage metric is designed to retire as it saturates: when every active program reaches weighted 100% with a zero hard gate, the pillar is operationalized and the metric stops being interesting. Until then, the trend line and the shrinking hard-gate count ARE the operationalization progress bar. A flat hard-gate count over quarters means the sweep has stalled — that is the signal to escalate, not to re-weight.</t>
  </si>
  <si>
    <t xml:space="preserve">What NOT to do</t>
  </si>
  <si>
    <t xml:space="preserve">•  Do not average the hard-gate count into the weighted % to produce a single 'maturity number.' The composite hides which programs carry open top-band barriers, and that is the entire actionable content.</t>
  </si>
  <si>
    <t xml:space="preserve">•  Do not re-rate severities per program to improve a number. Severities are pre-anchored at the register; per-program re-rating reintroduces the lowballing incentive the pre-anchoring removed.</t>
  </si>
  <si>
    <t xml:space="preserve">•  Do not read coverage as safety. Coverage says gaps were consciously dispositioned; the risk-accepted composition and the catastrophic-acceptance count say whether that disposition is safe.</t>
  </si>
  <si>
    <t xml:space="preserve">Severity (org scale)</t>
  </si>
  <si>
    <t xml:space="preserve">Performed</t>
  </si>
  <si>
    <t xml:space="preserve">Equivalent control</t>
  </si>
  <si>
    <t xml:space="preserve">Risk-accepted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</si>
</sst>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7E1E1"/>
      </patternFill>
    </fill>
    <fill>
      <patternFill patternType="solid">
        <fgColor rgb="FF1F3864"/>
        <bgColor rgb="FF333399"/>
      </patternFill>
    </fill>
    <fill>
      <patternFill patternType="solid">
        <fgColor rgb="FFEDF0F7"/>
        <bgColor rgb="FFE8EEF7"/>
      </patternFill>
    </fill>
    <fill>
      <patternFill patternType="solid">
        <fgColor rgb="FFE8EEF7"/>
        <bgColor rgb="FFEDF0F7"/>
      </patternFill>
    </fill>
    <fill>
      <patternFill patternType="solid">
        <fgColor rgb="FFF7E1E1"/>
        <bgColor rgb="FFEDF0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0F7"/>
      <rgbColor rgb="FFCCFFCC"/>
      <rgbColor rgb="FFFFFF99"/>
      <rgbColor rgb="FF99CCFF"/>
      <rgbColor rgb="FFFF99CC"/>
      <rgbColor rgb="FFCC99FF"/>
      <rgbColor rgb="FFF7E1E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35.0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79.85" hidden="false" customHeight="false" outlineLevel="0" collapsed="false">
      <c r="A6" s="3" t="s">
        <v>4</v>
      </c>
    </row>
    <row r="7" customFormat="false" ht="15" hidden="false" customHeight="false" outlineLevel="0" collapsed="false">
      <c r="A7" s="2" t="s">
        <v>5</v>
      </c>
    </row>
    <row r="8" customFormat="false" ht="68.65" hidden="false" customHeight="false" outlineLevel="0" collapsed="false">
      <c r="A8" s="3" t="s">
        <v>6</v>
      </c>
    </row>
    <row r="9" customFormat="false" ht="35.0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2" t="s">
        <v>8</v>
      </c>
    </row>
    <row r="11" customFormat="false" ht="57.4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2" t="s">
        <v>10</v>
      </c>
    </row>
    <row r="13" customFormat="false" ht="46.25" hidden="false" customHeight="false" outlineLevel="0" collapsed="false">
      <c r="A13" s="3" t="s">
        <v>11</v>
      </c>
    </row>
    <row r="14" customFormat="false" ht="15" hidden="false" customHeight="false" outlineLevel="0" collapsed="false">
      <c r="A14" s="2" t="s">
        <v>12</v>
      </c>
    </row>
    <row r="15" customFormat="false" ht="46.25" hidden="false" customHeight="false" outlineLevel="0" collapsed="false">
      <c r="A15" s="3" t="s">
        <v>13</v>
      </c>
    </row>
    <row r="16" customFormat="false" ht="15" hidden="false" customHeight="false" outlineLevel="0" collapsed="false">
      <c r="A16" s="2" t="s">
        <v>14</v>
      </c>
    </row>
    <row r="17" customFormat="false" ht="23.85" hidden="false" customHeight="false" outlineLevel="0" collapsed="false">
      <c r="A17" s="3" t="s">
        <v>15</v>
      </c>
    </row>
    <row r="18" customFormat="false" ht="23.85" hidden="false" customHeight="false" outlineLevel="0" collapsed="false">
      <c r="A18" s="3" t="s">
        <v>16</v>
      </c>
    </row>
    <row r="19" customFormat="false" ht="23.85" hidden="false" customHeight="false" outlineLevel="0" collapsed="false">
      <c r="A19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1" min="10" style="0" width="12"/>
  </cols>
  <sheetData>
    <row r="1" customFormat="false" ht="15" hidden="false" customHeight="false" outlineLevel="0" collapsed="false">
      <c r="A1" s="4" t="s">
        <v>18</v>
      </c>
      <c r="B1" s="5" t="s">
        <v>19</v>
      </c>
    </row>
    <row r="3" customFormat="false" ht="23.85" hidden="false" customHeight="false" outlineLevel="0" collapsed="false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  <c r="K3" s="6" t="s">
        <v>30</v>
      </c>
    </row>
    <row r="4" customFormat="false" ht="35.05" hidden="false" customHeight="false" outlineLevel="0" collapsed="false">
      <c r="A4" s="7" t="s">
        <v>31</v>
      </c>
      <c r="B4" s="8" t="s">
        <v>32</v>
      </c>
      <c r="C4" s="8" t="s">
        <v>33</v>
      </c>
      <c r="D4" s="8" t="s">
        <v>34</v>
      </c>
      <c r="E4" s="7" t="s">
        <v>35</v>
      </c>
      <c r="F4" s="7" t="s">
        <v>36</v>
      </c>
      <c r="G4" s="7" t="n">
        <v>3</v>
      </c>
      <c r="H4" s="9" t="s">
        <v>37</v>
      </c>
      <c r="I4" s="10" t="n">
        <f aca="false">G4</f>
        <v>3</v>
      </c>
      <c r="J4" s="10" t="n">
        <f aca="false">IF(H4="Open",0,G4)</f>
        <v>0</v>
      </c>
      <c r="K4" s="10" t="n">
        <f aca="false">IF(AND(OR(LEFT(F4,12)="Catastrophic",LEFT(F4,6)="Severe"),H4="Open"),1,0)</f>
        <v>1</v>
      </c>
    </row>
    <row r="5" customFormat="false" ht="23.85" hidden="false" customHeight="false" outlineLevel="0" collapsed="false">
      <c r="A5" s="7" t="s">
        <v>38</v>
      </c>
      <c r="B5" s="8" t="s">
        <v>32</v>
      </c>
      <c r="C5" s="8" t="s">
        <v>39</v>
      </c>
      <c r="D5" s="8" t="s">
        <v>40</v>
      </c>
      <c r="E5" s="7" t="s">
        <v>41</v>
      </c>
      <c r="F5" s="7" t="s">
        <v>36</v>
      </c>
      <c r="G5" s="7" t="n">
        <v>3</v>
      </c>
      <c r="H5" s="9" t="s">
        <v>37</v>
      </c>
      <c r="I5" s="10" t="n">
        <f aca="false">G5</f>
        <v>3</v>
      </c>
      <c r="J5" s="10" t="n">
        <f aca="false">IF(H5="Open",0,G5)</f>
        <v>0</v>
      </c>
      <c r="K5" s="10" t="n">
        <f aca="false">IF(AND(OR(LEFT(F5,12)="Catastrophic",LEFT(F5,6)="Severe"),H5="Open"),1,0)</f>
        <v>1</v>
      </c>
    </row>
    <row r="6" customFormat="false" ht="23.85" hidden="false" customHeight="false" outlineLevel="0" collapsed="false">
      <c r="A6" s="7" t="s">
        <v>42</v>
      </c>
      <c r="B6" s="8" t="s">
        <v>32</v>
      </c>
      <c r="C6" s="8" t="s">
        <v>43</v>
      </c>
      <c r="D6" s="8" t="s">
        <v>44</v>
      </c>
      <c r="E6" s="7" t="s">
        <v>41</v>
      </c>
      <c r="F6" s="7" t="s">
        <v>36</v>
      </c>
      <c r="G6" s="7" t="n">
        <v>3</v>
      </c>
      <c r="H6" s="9" t="s">
        <v>37</v>
      </c>
      <c r="I6" s="10" t="n">
        <f aca="false">G6</f>
        <v>3</v>
      </c>
      <c r="J6" s="10" t="n">
        <f aca="false">IF(H6="Open",0,G6)</f>
        <v>0</v>
      </c>
      <c r="K6" s="10" t="n">
        <f aca="false">IF(AND(OR(LEFT(F6,12)="Catastrophic",LEFT(F6,6)="Severe"),H6="Open"),1,0)</f>
        <v>1</v>
      </c>
    </row>
    <row r="7" customFormat="false" ht="23.85" hidden="false" customHeight="false" outlineLevel="0" collapsed="false">
      <c r="A7" s="7" t="s">
        <v>45</v>
      </c>
      <c r="B7" s="8" t="s">
        <v>32</v>
      </c>
      <c r="C7" s="8" t="s">
        <v>46</v>
      </c>
      <c r="D7" s="8" t="s">
        <v>47</v>
      </c>
      <c r="E7" s="7" t="s">
        <v>41</v>
      </c>
      <c r="F7" s="7" t="s">
        <v>36</v>
      </c>
      <c r="G7" s="7" t="n">
        <v>3</v>
      </c>
      <c r="H7" s="9" t="s">
        <v>37</v>
      </c>
      <c r="I7" s="10" t="n">
        <f aca="false">G7</f>
        <v>3</v>
      </c>
      <c r="J7" s="10" t="n">
        <f aca="false">IF(H7="Open",0,G7)</f>
        <v>0</v>
      </c>
      <c r="K7" s="10" t="n">
        <f aca="false">IF(AND(OR(LEFT(F7,12)="Catastrophic",LEFT(F7,6)="Severe"),H7="Open"),1,0)</f>
        <v>1</v>
      </c>
    </row>
    <row r="8" customFormat="false" ht="23.85" hidden="false" customHeight="false" outlineLevel="0" collapsed="false">
      <c r="A8" s="7" t="s">
        <v>48</v>
      </c>
      <c r="B8" s="8" t="s">
        <v>32</v>
      </c>
      <c r="C8" s="8" t="s">
        <v>49</v>
      </c>
      <c r="D8" s="8" t="s">
        <v>50</v>
      </c>
      <c r="E8" s="7" t="s">
        <v>41</v>
      </c>
      <c r="F8" s="7" t="s">
        <v>36</v>
      </c>
      <c r="G8" s="7" t="n">
        <v>3</v>
      </c>
      <c r="H8" s="9" t="s">
        <v>37</v>
      </c>
      <c r="I8" s="10" t="n">
        <f aca="false">G8</f>
        <v>3</v>
      </c>
      <c r="J8" s="10" t="n">
        <f aca="false">IF(H8="Open",0,G8)</f>
        <v>0</v>
      </c>
      <c r="K8" s="10" t="n">
        <f aca="false">IF(AND(OR(LEFT(F8,12)="Catastrophic",LEFT(F8,6)="Severe"),H8="Open"),1,0)</f>
        <v>1</v>
      </c>
    </row>
    <row r="9" customFormat="false" ht="23.85" hidden="false" customHeight="false" outlineLevel="0" collapsed="false">
      <c r="A9" s="7" t="s">
        <v>51</v>
      </c>
      <c r="B9" s="8" t="s">
        <v>52</v>
      </c>
      <c r="C9" s="8" t="s">
        <v>53</v>
      </c>
      <c r="D9" s="8" t="s">
        <v>54</v>
      </c>
      <c r="E9" s="7" t="s">
        <v>55</v>
      </c>
      <c r="F9" s="7" t="s">
        <v>36</v>
      </c>
      <c r="G9" s="7" t="n">
        <v>3</v>
      </c>
      <c r="H9" s="9" t="s">
        <v>37</v>
      </c>
      <c r="I9" s="10" t="n">
        <f aca="false">G9</f>
        <v>3</v>
      </c>
      <c r="J9" s="10" t="n">
        <f aca="false">IF(H9="Open",0,G9)</f>
        <v>0</v>
      </c>
      <c r="K9" s="10" t="n">
        <f aca="false">IF(AND(OR(LEFT(F9,12)="Catastrophic",LEFT(F9,6)="Severe"),H9="Open"),1,0)</f>
        <v>1</v>
      </c>
    </row>
    <row r="10" customFormat="false" ht="23.85" hidden="false" customHeight="false" outlineLevel="0" collapsed="false">
      <c r="A10" s="7" t="s">
        <v>56</v>
      </c>
      <c r="B10" s="8" t="s">
        <v>52</v>
      </c>
      <c r="C10" s="8" t="s">
        <v>57</v>
      </c>
      <c r="D10" s="8" t="s">
        <v>58</v>
      </c>
      <c r="E10" s="7" t="s">
        <v>55</v>
      </c>
      <c r="F10" s="7" t="s">
        <v>36</v>
      </c>
      <c r="G10" s="7" t="n">
        <v>3</v>
      </c>
      <c r="H10" s="9" t="s">
        <v>37</v>
      </c>
      <c r="I10" s="10" t="n">
        <f aca="false">G10</f>
        <v>3</v>
      </c>
      <c r="J10" s="10" t="n">
        <f aca="false">IF(H10="Open",0,G10)</f>
        <v>0</v>
      </c>
      <c r="K10" s="10" t="n">
        <f aca="false">IF(AND(OR(LEFT(F10,12)="Catastrophic",LEFT(F10,6)="Severe"),H10="Open"),1,0)</f>
        <v>1</v>
      </c>
    </row>
    <row r="11" customFormat="false" ht="23.85" hidden="false" customHeight="false" outlineLevel="0" collapsed="false">
      <c r="A11" s="7" t="s">
        <v>59</v>
      </c>
      <c r="B11" s="8" t="s">
        <v>52</v>
      </c>
      <c r="C11" s="8" t="s">
        <v>60</v>
      </c>
      <c r="D11" s="8" t="s">
        <v>61</v>
      </c>
      <c r="E11" s="7" t="s">
        <v>55</v>
      </c>
      <c r="F11" s="7" t="s">
        <v>36</v>
      </c>
      <c r="G11" s="7" t="n">
        <v>3</v>
      </c>
      <c r="H11" s="9" t="s">
        <v>37</v>
      </c>
      <c r="I11" s="10" t="n">
        <f aca="false">G11</f>
        <v>3</v>
      </c>
      <c r="J11" s="10" t="n">
        <f aca="false">IF(H11="Open",0,G11)</f>
        <v>0</v>
      </c>
      <c r="K11" s="10" t="n">
        <f aca="false">IF(AND(OR(LEFT(F11,12)="Catastrophic",LEFT(F11,6)="Severe"),H11="Open"),1,0)</f>
        <v>1</v>
      </c>
    </row>
    <row r="12" customFormat="false" ht="23.85" hidden="false" customHeight="false" outlineLevel="0" collapsed="false">
      <c r="A12" s="7" t="s">
        <v>62</v>
      </c>
      <c r="B12" s="8" t="s">
        <v>52</v>
      </c>
      <c r="C12" s="8" t="s">
        <v>63</v>
      </c>
      <c r="D12" s="8" t="s">
        <v>64</v>
      </c>
      <c r="E12" s="7" t="s">
        <v>55</v>
      </c>
      <c r="F12" s="7" t="s">
        <v>36</v>
      </c>
      <c r="G12" s="7" t="n">
        <v>3</v>
      </c>
      <c r="H12" s="9" t="s">
        <v>37</v>
      </c>
      <c r="I12" s="10" t="n">
        <f aca="false">G12</f>
        <v>3</v>
      </c>
      <c r="J12" s="10" t="n">
        <f aca="false">IF(H12="Open",0,G12)</f>
        <v>0</v>
      </c>
      <c r="K12" s="10" t="n">
        <f aca="false">IF(AND(OR(LEFT(F12,12)="Catastrophic",LEFT(F12,6)="Severe"),H12="Open"),1,0)</f>
        <v>1</v>
      </c>
    </row>
    <row r="13" customFormat="false" ht="23.85" hidden="false" customHeight="false" outlineLevel="0" collapsed="false">
      <c r="A13" s="7" t="s">
        <v>65</v>
      </c>
      <c r="B13" s="8" t="s">
        <v>52</v>
      </c>
      <c r="C13" s="8" t="s">
        <v>66</v>
      </c>
      <c r="D13" s="8" t="s">
        <v>67</v>
      </c>
      <c r="E13" s="7" t="s">
        <v>68</v>
      </c>
      <c r="F13" s="7" t="s">
        <v>36</v>
      </c>
      <c r="G13" s="7" t="n">
        <v>3</v>
      </c>
      <c r="H13" s="9" t="s">
        <v>37</v>
      </c>
      <c r="I13" s="10" t="n">
        <f aca="false">G13</f>
        <v>3</v>
      </c>
      <c r="J13" s="10" t="n">
        <f aca="false">IF(H13="Open",0,G13)</f>
        <v>0</v>
      </c>
      <c r="K13" s="10" t="n">
        <f aca="false">IF(AND(OR(LEFT(F13,12)="Catastrophic",LEFT(F13,6)="Severe"),H13="Open"),1,0)</f>
        <v>1</v>
      </c>
    </row>
    <row r="14" customFormat="false" ht="23.85" hidden="false" customHeight="false" outlineLevel="0" collapsed="false">
      <c r="A14" s="7" t="s">
        <v>69</v>
      </c>
      <c r="B14" s="8" t="s">
        <v>52</v>
      </c>
      <c r="C14" s="8" t="s">
        <v>70</v>
      </c>
      <c r="D14" s="8" t="s">
        <v>71</v>
      </c>
      <c r="E14" s="7" t="s">
        <v>55</v>
      </c>
      <c r="F14" s="7" t="s">
        <v>36</v>
      </c>
      <c r="G14" s="7" t="n">
        <v>3</v>
      </c>
      <c r="H14" s="9" t="s">
        <v>37</v>
      </c>
      <c r="I14" s="10" t="n">
        <f aca="false">G14</f>
        <v>3</v>
      </c>
      <c r="J14" s="10" t="n">
        <f aca="false">IF(H14="Open",0,G14)</f>
        <v>0</v>
      </c>
      <c r="K14" s="10" t="n">
        <f aca="false">IF(AND(OR(LEFT(F14,12)="Catastrophic",LEFT(F14,6)="Severe"),H14="Open"),1,0)</f>
        <v>1</v>
      </c>
    </row>
    <row r="15" customFormat="false" ht="23.85" hidden="false" customHeight="false" outlineLevel="0" collapsed="false">
      <c r="A15" s="7" t="s">
        <v>72</v>
      </c>
      <c r="B15" s="8" t="s">
        <v>52</v>
      </c>
      <c r="C15" s="8" t="s">
        <v>73</v>
      </c>
      <c r="D15" s="8" t="s">
        <v>74</v>
      </c>
      <c r="E15" s="7" t="s">
        <v>55</v>
      </c>
      <c r="F15" s="7" t="s">
        <v>36</v>
      </c>
      <c r="G15" s="7" t="n">
        <v>3</v>
      </c>
      <c r="H15" s="9" t="s">
        <v>37</v>
      </c>
      <c r="I15" s="10" t="n">
        <f aca="false">G15</f>
        <v>3</v>
      </c>
      <c r="J15" s="10" t="n">
        <f aca="false">IF(H15="Open",0,G15)</f>
        <v>0</v>
      </c>
      <c r="K15" s="10" t="n">
        <f aca="false">IF(AND(OR(LEFT(F15,12)="Catastrophic",LEFT(F15,6)="Severe"),H15="Open"),1,0)</f>
        <v>1</v>
      </c>
    </row>
    <row r="16" customFormat="false" ht="23.85" hidden="false" customHeight="false" outlineLevel="0" collapsed="false">
      <c r="A16" s="7" t="s">
        <v>75</v>
      </c>
      <c r="B16" s="8" t="s">
        <v>52</v>
      </c>
      <c r="C16" s="8" t="s">
        <v>76</v>
      </c>
      <c r="D16" s="8" t="s">
        <v>77</v>
      </c>
      <c r="E16" s="7" t="s">
        <v>55</v>
      </c>
      <c r="F16" s="7" t="s">
        <v>36</v>
      </c>
      <c r="G16" s="7" t="n">
        <v>3</v>
      </c>
      <c r="H16" s="9" t="s">
        <v>37</v>
      </c>
      <c r="I16" s="10" t="n">
        <f aca="false">G16</f>
        <v>3</v>
      </c>
      <c r="J16" s="10" t="n">
        <f aca="false">IF(H16="Open",0,G16)</f>
        <v>0</v>
      </c>
      <c r="K16" s="10" t="n">
        <f aca="false">IF(AND(OR(LEFT(F16,12)="Catastrophic",LEFT(F16,6)="Severe"),H16="Open"),1,0)</f>
        <v>1</v>
      </c>
    </row>
    <row r="17" customFormat="false" ht="23.85" hidden="false" customHeight="false" outlineLevel="0" collapsed="false">
      <c r="A17" s="7" t="s">
        <v>78</v>
      </c>
      <c r="B17" s="8" t="s">
        <v>52</v>
      </c>
      <c r="C17" s="8" t="s">
        <v>79</v>
      </c>
      <c r="D17" s="8" t="s">
        <v>80</v>
      </c>
      <c r="E17" s="7" t="s">
        <v>55</v>
      </c>
      <c r="F17" s="7" t="s">
        <v>36</v>
      </c>
      <c r="G17" s="7" t="n">
        <v>3</v>
      </c>
      <c r="H17" s="9" t="s">
        <v>37</v>
      </c>
      <c r="I17" s="10" t="n">
        <f aca="false">G17</f>
        <v>3</v>
      </c>
      <c r="J17" s="10" t="n">
        <f aca="false">IF(H17="Open",0,G17)</f>
        <v>0</v>
      </c>
      <c r="K17" s="10" t="n">
        <f aca="false">IF(AND(OR(LEFT(F17,12)="Catastrophic",LEFT(F17,6)="Severe"),H17="Open"),1,0)</f>
        <v>1</v>
      </c>
    </row>
    <row r="18" customFormat="false" ht="23.85" hidden="false" customHeight="false" outlineLevel="0" collapsed="false">
      <c r="A18" s="7" t="s">
        <v>81</v>
      </c>
      <c r="B18" s="8" t="s">
        <v>52</v>
      </c>
      <c r="C18" s="8" t="s">
        <v>82</v>
      </c>
      <c r="D18" s="8" t="s">
        <v>83</v>
      </c>
      <c r="E18" s="7" t="s">
        <v>55</v>
      </c>
      <c r="F18" s="7" t="s">
        <v>36</v>
      </c>
      <c r="G18" s="7" t="n">
        <v>3</v>
      </c>
      <c r="H18" s="9" t="s">
        <v>37</v>
      </c>
      <c r="I18" s="10" t="n">
        <f aca="false">G18</f>
        <v>3</v>
      </c>
      <c r="J18" s="10" t="n">
        <f aca="false">IF(H18="Open",0,G18)</f>
        <v>0</v>
      </c>
      <c r="K18" s="10" t="n">
        <f aca="false">IF(AND(OR(LEFT(F18,12)="Catastrophic",LEFT(F18,6)="Severe"),H18="Open"),1,0)</f>
        <v>1</v>
      </c>
    </row>
    <row r="19" customFormat="false" ht="23.85" hidden="false" customHeight="false" outlineLevel="0" collapsed="false">
      <c r="A19" s="7" t="s">
        <v>84</v>
      </c>
      <c r="B19" s="8" t="s">
        <v>52</v>
      </c>
      <c r="C19" s="8" t="s">
        <v>85</v>
      </c>
      <c r="D19" s="8" t="s">
        <v>86</v>
      </c>
      <c r="E19" s="7" t="s">
        <v>87</v>
      </c>
      <c r="F19" s="7" t="s">
        <v>36</v>
      </c>
      <c r="G19" s="7" t="n">
        <v>3</v>
      </c>
      <c r="H19" s="9" t="s">
        <v>37</v>
      </c>
      <c r="I19" s="10" t="n">
        <f aca="false">G19</f>
        <v>3</v>
      </c>
      <c r="J19" s="10" t="n">
        <f aca="false">IF(H19="Open",0,G19)</f>
        <v>0</v>
      </c>
      <c r="K19" s="10" t="n">
        <f aca="false">IF(AND(OR(LEFT(F19,12)="Catastrophic",LEFT(F19,6)="Severe"),H19="Open"),1,0)</f>
        <v>1</v>
      </c>
    </row>
    <row r="20" customFormat="false" ht="23.85" hidden="false" customHeight="false" outlineLevel="0" collapsed="false">
      <c r="A20" s="7" t="s">
        <v>88</v>
      </c>
      <c r="B20" s="8" t="s">
        <v>52</v>
      </c>
      <c r="C20" s="8" t="s">
        <v>89</v>
      </c>
      <c r="D20" s="8" t="s">
        <v>90</v>
      </c>
      <c r="E20" s="7" t="s">
        <v>87</v>
      </c>
      <c r="F20" s="7" t="s">
        <v>36</v>
      </c>
      <c r="G20" s="7" t="n">
        <v>3</v>
      </c>
      <c r="H20" s="9" t="s">
        <v>37</v>
      </c>
      <c r="I20" s="10" t="n">
        <f aca="false">G20</f>
        <v>3</v>
      </c>
      <c r="J20" s="10" t="n">
        <f aca="false">IF(H20="Open",0,G20)</f>
        <v>0</v>
      </c>
      <c r="K20" s="10" t="n">
        <f aca="false">IF(AND(OR(LEFT(F20,12)="Catastrophic",LEFT(F20,6)="Severe"),H20="Open"),1,0)</f>
        <v>1</v>
      </c>
    </row>
    <row r="21" customFormat="false" ht="23.85" hidden="false" customHeight="false" outlineLevel="0" collapsed="false">
      <c r="A21" s="7" t="s">
        <v>91</v>
      </c>
      <c r="B21" s="8" t="s">
        <v>52</v>
      </c>
      <c r="C21" s="8" t="s">
        <v>92</v>
      </c>
      <c r="D21" s="8" t="s">
        <v>93</v>
      </c>
      <c r="E21" s="7" t="s">
        <v>94</v>
      </c>
      <c r="F21" s="7" t="s">
        <v>36</v>
      </c>
      <c r="G21" s="7" t="n">
        <v>3</v>
      </c>
      <c r="H21" s="9" t="s">
        <v>37</v>
      </c>
      <c r="I21" s="10" t="n">
        <f aca="false">G21</f>
        <v>3</v>
      </c>
      <c r="J21" s="10" t="n">
        <f aca="false">IF(H21="Open",0,G21)</f>
        <v>0</v>
      </c>
      <c r="K21" s="10" t="n">
        <f aca="false">IF(AND(OR(LEFT(F21,12)="Catastrophic",LEFT(F21,6)="Severe"),H21="Open"),1,0)</f>
        <v>1</v>
      </c>
    </row>
    <row r="22" customFormat="false" ht="23.85" hidden="false" customHeight="false" outlineLevel="0" collapsed="false">
      <c r="A22" s="7" t="s">
        <v>95</v>
      </c>
      <c r="B22" s="8" t="s">
        <v>52</v>
      </c>
      <c r="C22" s="8" t="s">
        <v>96</v>
      </c>
      <c r="D22" s="8" t="s">
        <v>97</v>
      </c>
      <c r="E22" s="7" t="s">
        <v>94</v>
      </c>
      <c r="F22" s="7" t="s">
        <v>36</v>
      </c>
      <c r="G22" s="7" t="n">
        <v>3</v>
      </c>
      <c r="H22" s="9" t="s">
        <v>37</v>
      </c>
      <c r="I22" s="10" t="n">
        <f aca="false">G22</f>
        <v>3</v>
      </c>
      <c r="J22" s="10" t="n">
        <f aca="false">IF(H22="Open",0,G22)</f>
        <v>0</v>
      </c>
      <c r="K22" s="10" t="n">
        <f aca="false">IF(AND(OR(LEFT(F22,12)="Catastrophic",LEFT(F22,6)="Severe"),H22="Open"),1,0)</f>
        <v>1</v>
      </c>
    </row>
    <row r="23" customFormat="false" ht="23.85" hidden="false" customHeight="false" outlineLevel="0" collapsed="false">
      <c r="A23" s="7" t="s">
        <v>98</v>
      </c>
      <c r="B23" s="8" t="s">
        <v>52</v>
      </c>
      <c r="C23" s="8" t="s">
        <v>99</v>
      </c>
      <c r="D23" s="8" t="s">
        <v>100</v>
      </c>
      <c r="E23" s="7" t="s">
        <v>101</v>
      </c>
      <c r="F23" s="7" t="s">
        <v>102</v>
      </c>
      <c r="G23" s="7" t="n">
        <v>2</v>
      </c>
      <c r="H23" s="9" t="s">
        <v>37</v>
      </c>
      <c r="I23" s="10" t="n">
        <f aca="false">G23</f>
        <v>2</v>
      </c>
      <c r="J23" s="10" t="n">
        <f aca="false">IF(H23="Open",0,G23)</f>
        <v>0</v>
      </c>
      <c r="K23" s="10" t="n">
        <f aca="false">IF(AND(OR(LEFT(F23,12)="Catastrophic",LEFT(F23,6)="Severe"),H23="Open"),1,0)</f>
        <v>1</v>
      </c>
    </row>
    <row r="24" customFormat="false" ht="23.85" hidden="false" customHeight="false" outlineLevel="0" collapsed="false">
      <c r="A24" s="7" t="s">
        <v>103</v>
      </c>
      <c r="B24" s="8" t="s">
        <v>52</v>
      </c>
      <c r="C24" s="8" t="s">
        <v>104</v>
      </c>
      <c r="D24" s="8" t="s">
        <v>105</v>
      </c>
      <c r="E24" s="7" t="s">
        <v>101</v>
      </c>
      <c r="F24" s="7" t="s">
        <v>102</v>
      </c>
      <c r="G24" s="7" t="n">
        <v>2</v>
      </c>
      <c r="H24" s="9" t="s">
        <v>37</v>
      </c>
      <c r="I24" s="10" t="n">
        <f aca="false">G24</f>
        <v>2</v>
      </c>
      <c r="J24" s="10" t="n">
        <f aca="false">IF(H24="Open",0,G24)</f>
        <v>0</v>
      </c>
      <c r="K24" s="10" t="n">
        <f aca="false">IF(AND(OR(LEFT(F24,12)="Catastrophic",LEFT(F24,6)="Severe"),H24="Open"),1,0)</f>
        <v>1</v>
      </c>
    </row>
    <row r="25" customFormat="false" ht="23.85" hidden="false" customHeight="false" outlineLevel="0" collapsed="false">
      <c r="A25" s="7" t="s">
        <v>106</v>
      </c>
      <c r="B25" s="8" t="s">
        <v>52</v>
      </c>
      <c r="C25" s="8" t="s">
        <v>107</v>
      </c>
      <c r="D25" s="8" t="s">
        <v>108</v>
      </c>
      <c r="E25" s="7" t="s">
        <v>101</v>
      </c>
      <c r="F25" s="7" t="s">
        <v>102</v>
      </c>
      <c r="G25" s="7" t="n">
        <v>2</v>
      </c>
      <c r="H25" s="9" t="s">
        <v>37</v>
      </c>
      <c r="I25" s="10" t="n">
        <f aca="false">G25</f>
        <v>2</v>
      </c>
      <c r="J25" s="10" t="n">
        <f aca="false">IF(H25="Open",0,G25)</f>
        <v>0</v>
      </c>
      <c r="K25" s="10" t="n">
        <f aca="false">IF(AND(OR(LEFT(F25,12)="Catastrophic",LEFT(F25,6)="Severe"),H25="Open"),1,0)</f>
        <v>1</v>
      </c>
    </row>
    <row r="26" customFormat="false" ht="35.05" hidden="false" customHeight="false" outlineLevel="0" collapsed="false">
      <c r="A26" s="7" t="s">
        <v>109</v>
      </c>
      <c r="B26" s="8" t="s">
        <v>52</v>
      </c>
      <c r="C26" s="8" t="s">
        <v>110</v>
      </c>
      <c r="D26" s="8" t="s">
        <v>111</v>
      </c>
      <c r="E26" s="7" t="s">
        <v>112</v>
      </c>
      <c r="F26" s="7" t="s">
        <v>102</v>
      </c>
      <c r="G26" s="7" t="n">
        <v>2</v>
      </c>
      <c r="H26" s="9" t="s">
        <v>37</v>
      </c>
      <c r="I26" s="10" t="n">
        <f aca="false">G26</f>
        <v>2</v>
      </c>
      <c r="J26" s="10" t="n">
        <f aca="false">IF(H26="Open",0,G26)</f>
        <v>0</v>
      </c>
      <c r="K26" s="10" t="n">
        <f aca="false">IF(AND(OR(LEFT(F26,12)="Catastrophic",LEFT(F26,6)="Severe"),H26="Open"),1,0)</f>
        <v>1</v>
      </c>
    </row>
    <row r="27" customFormat="false" ht="23.85" hidden="false" customHeight="false" outlineLevel="0" collapsed="false">
      <c r="A27" s="7" t="s">
        <v>113</v>
      </c>
      <c r="B27" s="8" t="s">
        <v>114</v>
      </c>
      <c r="C27" s="8" t="s">
        <v>115</v>
      </c>
      <c r="D27" s="8" t="s">
        <v>116</v>
      </c>
      <c r="E27" s="7" t="s">
        <v>117</v>
      </c>
      <c r="F27" s="7" t="s">
        <v>36</v>
      </c>
      <c r="G27" s="7" t="n">
        <v>3</v>
      </c>
      <c r="H27" s="9" t="s">
        <v>37</v>
      </c>
      <c r="I27" s="10" t="n">
        <f aca="false">G27</f>
        <v>3</v>
      </c>
      <c r="J27" s="10" t="n">
        <f aca="false">IF(H27="Open",0,G27)</f>
        <v>0</v>
      </c>
      <c r="K27" s="10" t="n">
        <f aca="false">IF(AND(OR(LEFT(F27,12)="Catastrophic",LEFT(F27,6)="Severe"),H27="Open"),1,0)</f>
        <v>1</v>
      </c>
    </row>
    <row r="28" customFormat="false" ht="23.85" hidden="false" customHeight="false" outlineLevel="0" collapsed="false">
      <c r="A28" s="7" t="s">
        <v>118</v>
      </c>
      <c r="B28" s="8" t="s">
        <v>114</v>
      </c>
      <c r="C28" s="8" t="s">
        <v>119</v>
      </c>
      <c r="D28" s="8" t="s">
        <v>120</v>
      </c>
      <c r="E28" s="7" t="s">
        <v>117</v>
      </c>
      <c r="F28" s="7" t="s">
        <v>36</v>
      </c>
      <c r="G28" s="7" t="n">
        <v>3</v>
      </c>
      <c r="H28" s="9" t="s">
        <v>37</v>
      </c>
      <c r="I28" s="10" t="n">
        <f aca="false">G28</f>
        <v>3</v>
      </c>
      <c r="J28" s="10" t="n">
        <f aca="false">IF(H28="Open",0,G28)</f>
        <v>0</v>
      </c>
      <c r="K28" s="10" t="n">
        <f aca="false">IF(AND(OR(LEFT(F28,12)="Catastrophic",LEFT(F28,6)="Severe"),H28="Open"),1,0)</f>
        <v>1</v>
      </c>
    </row>
    <row r="29" customFormat="false" ht="35.05" hidden="false" customHeight="false" outlineLevel="0" collapsed="false">
      <c r="A29" s="7" t="s">
        <v>121</v>
      </c>
      <c r="B29" s="8" t="s">
        <v>114</v>
      </c>
      <c r="C29" s="8" t="s">
        <v>122</v>
      </c>
      <c r="D29" s="8" t="s">
        <v>123</v>
      </c>
      <c r="E29" s="7" t="s">
        <v>124</v>
      </c>
      <c r="F29" s="7" t="s">
        <v>36</v>
      </c>
      <c r="G29" s="7" t="n">
        <v>3</v>
      </c>
      <c r="H29" s="9" t="s">
        <v>37</v>
      </c>
      <c r="I29" s="10" t="n">
        <f aca="false">G29</f>
        <v>3</v>
      </c>
      <c r="J29" s="10" t="n">
        <f aca="false">IF(H29="Open",0,G29)</f>
        <v>0</v>
      </c>
      <c r="K29" s="10" t="n">
        <f aca="false">IF(AND(OR(LEFT(F29,12)="Catastrophic",LEFT(F29,6)="Severe"),H29="Open"),1,0)</f>
        <v>1</v>
      </c>
    </row>
    <row r="30" customFormat="false" ht="23.85" hidden="false" customHeight="false" outlineLevel="0" collapsed="false">
      <c r="A30" s="7" t="s">
        <v>125</v>
      </c>
      <c r="B30" s="8" t="s">
        <v>114</v>
      </c>
      <c r="C30" s="8" t="s">
        <v>126</v>
      </c>
      <c r="D30" s="8" t="s">
        <v>127</v>
      </c>
      <c r="E30" s="7" t="s">
        <v>117</v>
      </c>
      <c r="F30" s="7" t="s">
        <v>36</v>
      </c>
      <c r="G30" s="7" t="n">
        <v>3</v>
      </c>
      <c r="H30" s="9" t="s">
        <v>37</v>
      </c>
      <c r="I30" s="10" t="n">
        <f aca="false">G30</f>
        <v>3</v>
      </c>
      <c r="J30" s="10" t="n">
        <f aca="false">IF(H30="Open",0,G30)</f>
        <v>0</v>
      </c>
      <c r="K30" s="10" t="n">
        <f aca="false">IF(AND(OR(LEFT(F30,12)="Catastrophic",LEFT(F30,6)="Severe"),H30="Open"),1,0)</f>
        <v>1</v>
      </c>
    </row>
    <row r="31" customFormat="false" ht="23.85" hidden="false" customHeight="false" outlineLevel="0" collapsed="false">
      <c r="A31" s="7" t="s">
        <v>128</v>
      </c>
      <c r="B31" s="8" t="s">
        <v>114</v>
      </c>
      <c r="C31" s="8" t="s">
        <v>129</v>
      </c>
      <c r="D31" s="8" t="s">
        <v>130</v>
      </c>
      <c r="E31" s="7" t="s">
        <v>117</v>
      </c>
      <c r="F31" s="7" t="s">
        <v>36</v>
      </c>
      <c r="G31" s="7" t="n">
        <v>3</v>
      </c>
      <c r="H31" s="9" t="s">
        <v>37</v>
      </c>
      <c r="I31" s="10" t="n">
        <f aca="false">G31</f>
        <v>3</v>
      </c>
      <c r="J31" s="10" t="n">
        <f aca="false">IF(H31="Open",0,G31)</f>
        <v>0</v>
      </c>
      <c r="K31" s="10" t="n">
        <f aca="false">IF(AND(OR(LEFT(F31,12)="Catastrophic",LEFT(F31,6)="Severe"),H31="Open"),1,0)</f>
        <v>1</v>
      </c>
    </row>
    <row r="32" customFormat="false" ht="23.85" hidden="false" customHeight="false" outlineLevel="0" collapsed="false">
      <c r="A32" s="7" t="s">
        <v>131</v>
      </c>
      <c r="B32" s="8" t="s">
        <v>114</v>
      </c>
      <c r="C32" s="8" t="s">
        <v>132</v>
      </c>
      <c r="D32" s="8" t="s">
        <v>133</v>
      </c>
      <c r="E32" s="7" t="s">
        <v>134</v>
      </c>
      <c r="F32" s="7" t="s">
        <v>36</v>
      </c>
      <c r="G32" s="7" t="n">
        <v>3</v>
      </c>
      <c r="H32" s="9" t="s">
        <v>37</v>
      </c>
      <c r="I32" s="10" t="n">
        <f aca="false">G32</f>
        <v>3</v>
      </c>
      <c r="J32" s="10" t="n">
        <f aca="false">IF(H32="Open",0,G32)</f>
        <v>0</v>
      </c>
      <c r="K32" s="10" t="n">
        <f aca="false">IF(AND(OR(LEFT(F32,12)="Catastrophic",LEFT(F32,6)="Severe"),H32="Open"),1,0)</f>
        <v>1</v>
      </c>
    </row>
    <row r="33" customFormat="false" ht="23.85" hidden="false" customHeight="false" outlineLevel="0" collapsed="false">
      <c r="A33" s="7" t="s">
        <v>135</v>
      </c>
      <c r="B33" s="8" t="s">
        <v>114</v>
      </c>
      <c r="C33" s="8" t="s">
        <v>136</v>
      </c>
      <c r="D33" s="8" t="s">
        <v>137</v>
      </c>
      <c r="E33" s="7" t="s">
        <v>134</v>
      </c>
      <c r="F33" s="7" t="s">
        <v>36</v>
      </c>
      <c r="G33" s="7" t="n">
        <v>3</v>
      </c>
      <c r="H33" s="9" t="s">
        <v>37</v>
      </c>
      <c r="I33" s="10" t="n">
        <f aca="false">G33</f>
        <v>3</v>
      </c>
      <c r="J33" s="10" t="n">
        <f aca="false">IF(H33="Open",0,G33)</f>
        <v>0</v>
      </c>
      <c r="K33" s="10" t="n">
        <f aca="false">IF(AND(OR(LEFT(F33,12)="Catastrophic",LEFT(F33,6)="Severe"),H33="Open"),1,0)</f>
        <v>1</v>
      </c>
    </row>
    <row r="34" customFormat="false" ht="23.85" hidden="false" customHeight="false" outlineLevel="0" collapsed="false">
      <c r="A34" s="7" t="s">
        <v>138</v>
      </c>
      <c r="B34" s="8" t="s">
        <v>114</v>
      </c>
      <c r="C34" s="8" t="s">
        <v>139</v>
      </c>
      <c r="D34" s="8" t="s">
        <v>140</v>
      </c>
      <c r="E34" s="7" t="s">
        <v>134</v>
      </c>
      <c r="F34" s="7" t="s">
        <v>36</v>
      </c>
      <c r="G34" s="7" t="n">
        <v>3</v>
      </c>
      <c r="H34" s="9" t="s">
        <v>37</v>
      </c>
      <c r="I34" s="10" t="n">
        <f aca="false">G34</f>
        <v>3</v>
      </c>
      <c r="J34" s="10" t="n">
        <f aca="false">IF(H34="Open",0,G34)</f>
        <v>0</v>
      </c>
      <c r="K34" s="10" t="n">
        <f aca="false">IF(AND(OR(LEFT(F34,12)="Catastrophic",LEFT(F34,6)="Severe"),H34="Open"),1,0)</f>
        <v>1</v>
      </c>
    </row>
    <row r="35" customFormat="false" ht="35.05" hidden="false" customHeight="false" outlineLevel="0" collapsed="false">
      <c r="A35" s="7" t="s">
        <v>141</v>
      </c>
      <c r="B35" s="8" t="s">
        <v>114</v>
      </c>
      <c r="C35" s="8" t="s">
        <v>142</v>
      </c>
      <c r="D35" s="8" t="s">
        <v>143</v>
      </c>
      <c r="E35" s="7" t="s">
        <v>144</v>
      </c>
      <c r="F35" s="7" t="s">
        <v>36</v>
      </c>
      <c r="G35" s="7" t="n">
        <v>3</v>
      </c>
      <c r="H35" s="9" t="s">
        <v>37</v>
      </c>
      <c r="I35" s="10" t="n">
        <f aca="false">G35</f>
        <v>3</v>
      </c>
      <c r="J35" s="10" t="n">
        <f aca="false">IF(H35="Open",0,G35)</f>
        <v>0</v>
      </c>
      <c r="K35" s="10" t="n">
        <f aca="false">IF(AND(OR(LEFT(F35,12)="Catastrophic",LEFT(F35,6)="Severe"),H35="Open"),1,0)</f>
        <v>1</v>
      </c>
    </row>
    <row r="36" customFormat="false" ht="23.85" hidden="false" customHeight="false" outlineLevel="0" collapsed="false">
      <c r="A36" s="7" t="s">
        <v>145</v>
      </c>
      <c r="B36" s="8" t="s">
        <v>114</v>
      </c>
      <c r="C36" s="8" t="s">
        <v>146</v>
      </c>
      <c r="D36" s="8" t="s">
        <v>147</v>
      </c>
      <c r="E36" s="7" t="s">
        <v>148</v>
      </c>
      <c r="F36" s="7" t="s">
        <v>36</v>
      </c>
      <c r="G36" s="7" t="n">
        <v>3</v>
      </c>
      <c r="H36" s="9" t="s">
        <v>37</v>
      </c>
      <c r="I36" s="10" t="n">
        <f aca="false">G36</f>
        <v>3</v>
      </c>
      <c r="J36" s="10" t="n">
        <f aca="false">IF(H36="Open",0,G36)</f>
        <v>0</v>
      </c>
      <c r="K36" s="10" t="n">
        <f aca="false">IF(AND(OR(LEFT(F36,12)="Catastrophic",LEFT(F36,6)="Severe"),H36="Open"),1,0)</f>
        <v>1</v>
      </c>
    </row>
    <row r="37" customFormat="false" ht="23.85" hidden="false" customHeight="false" outlineLevel="0" collapsed="false">
      <c r="A37" s="7" t="s">
        <v>149</v>
      </c>
      <c r="B37" s="8" t="s">
        <v>114</v>
      </c>
      <c r="C37" s="8" t="s">
        <v>150</v>
      </c>
      <c r="D37" s="8" t="s">
        <v>151</v>
      </c>
      <c r="E37" s="7" t="s">
        <v>152</v>
      </c>
      <c r="F37" s="7" t="s">
        <v>102</v>
      </c>
      <c r="G37" s="7" t="n">
        <v>2</v>
      </c>
      <c r="H37" s="9" t="s">
        <v>37</v>
      </c>
      <c r="I37" s="10" t="n">
        <f aca="false">G37</f>
        <v>2</v>
      </c>
      <c r="J37" s="10" t="n">
        <f aca="false">IF(H37="Open",0,G37)</f>
        <v>0</v>
      </c>
      <c r="K37" s="10" t="n">
        <f aca="false">IF(AND(OR(LEFT(F37,12)="Catastrophic",LEFT(F37,6)="Severe"),H37="Open"),1,0)</f>
        <v>1</v>
      </c>
    </row>
    <row r="38" customFormat="false" ht="23.85" hidden="false" customHeight="false" outlineLevel="0" collapsed="false">
      <c r="A38" s="7" t="s">
        <v>153</v>
      </c>
      <c r="B38" s="8" t="s">
        <v>154</v>
      </c>
      <c r="C38" s="8" t="s">
        <v>155</v>
      </c>
      <c r="D38" s="8" t="s">
        <v>156</v>
      </c>
      <c r="E38" s="7" t="s">
        <v>157</v>
      </c>
      <c r="F38" s="7" t="s">
        <v>36</v>
      </c>
      <c r="G38" s="7" t="n">
        <v>3</v>
      </c>
      <c r="H38" s="9" t="s">
        <v>37</v>
      </c>
      <c r="I38" s="10" t="n">
        <f aca="false">G38</f>
        <v>3</v>
      </c>
      <c r="J38" s="10" t="n">
        <f aca="false">IF(H38="Open",0,G38)</f>
        <v>0</v>
      </c>
      <c r="K38" s="10" t="n">
        <f aca="false">IF(AND(OR(LEFT(F38,12)="Catastrophic",LEFT(F38,6)="Severe"),H38="Open"),1,0)</f>
        <v>1</v>
      </c>
    </row>
    <row r="39" customFormat="false" ht="23.85" hidden="false" customHeight="false" outlineLevel="0" collapsed="false">
      <c r="A39" s="7" t="s">
        <v>158</v>
      </c>
      <c r="B39" s="8" t="s">
        <v>154</v>
      </c>
      <c r="C39" s="8" t="s">
        <v>159</v>
      </c>
      <c r="D39" s="8" t="s">
        <v>160</v>
      </c>
      <c r="E39" s="7" t="s">
        <v>157</v>
      </c>
      <c r="F39" s="7" t="s">
        <v>36</v>
      </c>
      <c r="G39" s="7" t="n">
        <v>3</v>
      </c>
      <c r="H39" s="9" t="s">
        <v>37</v>
      </c>
      <c r="I39" s="10" t="n">
        <f aca="false">G39</f>
        <v>3</v>
      </c>
      <c r="J39" s="10" t="n">
        <f aca="false">IF(H39="Open",0,G39)</f>
        <v>0</v>
      </c>
      <c r="K39" s="10" t="n">
        <f aca="false">IF(AND(OR(LEFT(F39,12)="Catastrophic",LEFT(F39,6)="Severe"),H39="Open"),1,0)</f>
        <v>1</v>
      </c>
    </row>
    <row r="40" customFormat="false" ht="23.85" hidden="false" customHeight="false" outlineLevel="0" collapsed="false">
      <c r="A40" s="7" t="s">
        <v>161</v>
      </c>
      <c r="B40" s="8" t="s">
        <v>154</v>
      </c>
      <c r="C40" s="8" t="s">
        <v>162</v>
      </c>
      <c r="D40" s="8" t="s">
        <v>163</v>
      </c>
      <c r="E40" s="7" t="s">
        <v>157</v>
      </c>
      <c r="F40" s="7" t="s">
        <v>36</v>
      </c>
      <c r="G40" s="7" t="n">
        <v>3</v>
      </c>
      <c r="H40" s="9" t="s">
        <v>37</v>
      </c>
      <c r="I40" s="10" t="n">
        <f aca="false">G40</f>
        <v>3</v>
      </c>
      <c r="J40" s="10" t="n">
        <f aca="false">IF(H40="Open",0,G40)</f>
        <v>0</v>
      </c>
      <c r="K40" s="10" t="n">
        <f aca="false">IF(AND(OR(LEFT(F40,12)="Catastrophic",LEFT(F40,6)="Severe"),H40="Open"),1,0)</f>
        <v>1</v>
      </c>
    </row>
    <row r="41" customFormat="false" ht="23.85" hidden="false" customHeight="false" outlineLevel="0" collapsed="false">
      <c r="A41" s="7" t="s">
        <v>164</v>
      </c>
      <c r="B41" s="8" t="s">
        <v>154</v>
      </c>
      <c r="C41" s="8" t="s">
        <v>165</v>
      </c>
      <c r="D41" s="8" t="s">
        <v>166</v>
      </c>
      <c r="E41" s="7" t="s">
        <v>157</v>
      </c>
      <c r="F41" s="7" t="s">
        <v>36</v>
      </c>
      <c r="G41" s="7" t="n">
        <v>3</v>
      </c>
      <c r="H41" s="9" t="s">
        <v>37</v>
      </c>
      <c r="I41" s="10" t="n">
        <f aca="false">G41</f>
        <v>3</v>
      </c>
      <c r="J41" s="10" t="n">
        <f aca="false">IF(H41="Open",0,G41)</f>
        <v>0</v>
      </c>
      <c r="K41" s="10" t="n">
        <f aca="false">IF(AND(OR(LEFT(F41,12)="Catastrophic",LEFT(F41,6)="Severe"),H41="Open"),1,0)</f>
        <v>1</v>
      </c>
    </row>
    <row r="42" customFormat="false" ht="23.85" hidden="false" customHeight="false" outlineLevel="0" collapsed="false">
      <c r="A42" s="7" t="s">
        <v>167</v>
      </c>
      <c r="B42" s="8" t="s">
        <v>154</v>
      </c>
      <c r="C42" s="8" t="s">
        <v>168</v>
      </c>
      <c r="D42" s="8" t="s">
        <v>169</v>
      </c>
      <c r="E42" s="7" t="s">
        <v>170</v>
      </c>
      <c r="F42" s="7" t="s">
        <v>36</v>
      </c>
      <c r="G42" s="7" t="n">
        <v>3</v>
      </c>
      <c r="H42" s="9" t="s">
        <v>37</v>
      </c>
      <c r="I42" s="10" t="n">
        <f aca="false">G42</f>
        <v>3</v>
      </c>
      <c r="J42" s="10" t="n">
        <f aca="false">IF(H42="Open",0,G42)</f>
        <v>0</v>
      </c>
      <c r="K42" s="10" t="n">
        <f aca="false">IF(AND(OR(LEFT(F42,12)="Catastrophic",LEFT(F42,6)="Severe"),H42="Open"),1,0)</f>
        <v>1</v>
      </c>
    </row>
    <row r="43" customFormat="false" ht="35.05" hidden="false" customHeight="false" outlineLevel="0" collapsed="false">
      <c r="A43" s="7" t="s">
        <v>171</v>
      </c>
      <c r="B43" s="8" t="s">
        <v>154</v>
      </c>
      <c r="C43" s="8" t="s">
        <v>172</v>
      </c>
      <c r="D43" s="8" t="s">
        <v>173</v>
      </c>
      <c r="E43" s="7" t="s">
        <v>174</v>
      </c>
      <c r="F43" s="7" t="s">
        <v>36</v>
      </c>
      <c r="G43" s="7" t="n">
        <v>3</v>
      </c>
      <c r="H43" s="9" t="s">
        <v>37</v>
      </c>
      <c r="I43" s="10" t="n">
        <f aca="false">G43</f>
        <v>3</v>
      </c>
      <c r="J43" s="10" t="n">
        <f aca="false">IF(H43="Open",0,G43)</f>
        <v>0</v>
      </c>
      <c r="K43" s="10" t="n">
        <f aca="false">IF(AND(OR(LEFT(F43,12)="Catastrophic",LEFT(F43,6)="Severe"),H43="Open"),1,0)</f>
        <v>1</v>
      </c>
    </row>
    <row r="44" customFormat="false" ht="23.85" hidden="false" customHeight="false" outlineLevel="0" collapsed="false">
      <c r="A44" s="7" t="s">
        <v>175</v>
      </c>
      <c r="B44" s="8" t="s">
        <v>154</v>
      </c>
      <c r="C44" s="8" t="s">
        <v>176</v>
      </c>
      <c r="D44" s="8" t="s">
        <v>177</v>
      </c>
      <c r="E44" s="7" t="s">
        <v>174</v>
      </c>
      <c r="F44" s="7" t="s">
        <v>36</v>
      </c>
      <c r="G44" s="7" t="n">
        <v>3</v>
      </c>
      <c r="H44" s="9" t="s">
        <v>37</v>
      </c>
      <c r="I44" s="10" t="n">
        <f aca="false">G44</f>
        <v>3</v>
      </c>
      <c r="J44" s="10" t="n">
        <f aca="false">IF(H44="Open",0,G44)</f>
        <v>0</v>
      </c>
      <c r="K44" s="10" t="n">
        <f aca="false">IF(AND(OR(LEFT(F44,12)="Catastrophic",LEFT(F44,6)="Severe"),H44="Open"),1,0)</f>
        <v>1</v>
      </c>
    </row>
    <row r="45" customFormat="false" ht="35.05" hidden="false" customHeight="false" outlineLevel="0" collapsed="false">
      <c r="A45" s="7" t="s">
        <v>178</v>
      </c>
      <c r="B45" s="8" t="s">
        <v>154</v>
      </c>
      <c r="C45" s="8" t="s">
        <v>179</v>
      </c>
      <c r="D45" s="8" t="s">
        <v>180</v>
      </c>
      <c r="E45" s="7" t="s">
        <v>181</v>
      </c>
      <c r="F45" s="7" t="s">
        <v>36</v>
      </c>
      <c r="G45" s="7" t="n">
        <v>3</v>
      </c>
      <c r="H45" s="9" t="s">
        <v>37</v>
      </c>
      <c r="I45" s="10" t="n">
        <f aca="false">G45</f>
        <v>3</v>
      </c>
      <c r="J45" s="10" t="n">
        <f aca="false">IF(H45="Open",0,G45)</f>
        <v>0</v>
      </c>
      <c r="K45" s="10" t="n">
        <f aca="false">IF(AND(OR(LEFT(F45,12)="Catastrophic",LEFT(F45,6)="Severe"),H45="Open"),1,0)</f>
        <v>1</v>
      </c>
    </row>
    <row r="46" customFormat="false" ht="23.85" hidden="false" customHeight="false" outlineLevel="0" collapsed="false">
      <c r="A46" s="7" t="s">
        <v>182</v>
      </c>
      <c r="B46" s="8" t="s">
        <v>154</v>
      </c>
      <c r="C46" s="8" t="s">
        <v>183</v>
      </c>
      <c r="D46" s="8" t="s">
        <v>184</v>
      </c>
      <c r="E46" s="7" t="s">
        <v>181</v>
      </c>
      <c r="F46" s="7" t="s">
        <v>36</v>
      </c>
      <c r="G46" s="7" t="n">
        <v>3</v>
      </c>
      <c r="H46" s="9" t="s">
        <v>37</v>
      </c>
      <c r="I46" s="10" t="n">
        <f aca="false">G46</f>
        <v>3</v>
      </c>
      <c r="J46" s="10" t="n">
        <f aca="false">IF(H46="Open",0,G46)</f>
        <v>0</v>
      </c>
      <c r="K46" s="10" t="n">
        <f aca="false">IF(AND(OR(LEFT(F46,12)="Catastrophic",LEFT(F46,6)="Severe"),H46="Open"),1,0)</f>
        <v>1</v>
      </c>
    </row>
    <row r="47" customFormat="false" ht="23.85" hidden="false" customHeight="false" outlineLevel="0" collapsed="false">
      <c r="A47" s="7" t="s">
        <v>185</v>
      </c>
      <c r="B47" s="8" t="s">
        <v>154</v>
      </c>
      <c r="C47" s="8" t="s">
        <v>186</v>
      </c>
      <c r="D47" s="8" t="s">
        <v>187</v>
      </c>
      <c r="E47" s="7" t="s">
        <v>181</v>
      </c>
      <c r="F47" s="7" t="s">
        <v>36</v>
      </c>
      <c r="G47" s="7" t="n">
        <v>3</v>
      </c>
      <c r="H47" s="9" t="s">
        <v>37</v>
      </c>
      <c r="I47" s="10" t="n">
        <f aca="false">G47</f>
        <v>3</v>
      </c>
      <c r="J47" s="10" t="n">
        <f aca="false">IF(H47="Open",0,G47)</f>
        <v>0</v>
      </c>
      <c r="K47" s="10" t="n">
        <f aca="false">IF(AND(OR(LEFT(F47,12)="Catastrophic",LEFT(F47,6)="Severe"),H47="Open"),1,0)</f>
        <v>1</v>
      </c>
    </row>
  </sheetData>
  <autoFilter ref="A3:K3"/>
  <dataValidations count="1">
    <dataValidation allowBlank="true" errorStyle="stop" operator="between" showDropDown="false" showErrorMessage="false" showInputMessage="false" sqref="H4:H47" type="list">
      <formula1>Lists!$A$2:$A$5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188</v>
      </c>
    </row>
    <row r="2" customFormat="false" ht="32.8" hidden="false" customHeight="false" outlineLevel="0" collapsed="false">
      <c r="A2" s="11" t="s">
        <v>189</v>
      </c>
    </row>
    <row r="4" customFormat="false" ht="15" hidden="false" customHeight="false" outlineLevel="0" collapsed="false">
      <c r="A4" s="12" t="s">
        <v>190</v>
      </c>
    </row>
    <row r="5" customFormat="false" ht="15" hidden="false" customHeight="false" outlineLevel="0" collapsed="false">
      <c r="A5" s="13" t="s">
        <v>191</v>
      </c>
      <c r="B5" s="14" t="n">
        <f aca="false">SUM(Coverage!$I$4:$I$47)</f>
        <v>127</v>
      </c>
    </row>
    <row r="6" customFormat="false" ht="15" hidden="false" customHeight="false" outlineLevel="0" collapsed="false">
      <c r="A6" s="13" t="s">
        <v>192</v>
      </c>
      <c r="B6" s="14" t="n">
        <f aca="false">SUM(Coverage!$J$4:$J$47)</f>
        <v>0</v>
      </c>
    </row>
    <row r="7" customFormat="false" ht="15" hidden="false" customHeight="false" outlineLevel="0" collapsed="false">
      <c r="A7" s="15" t="s">
        <v>193</v>
      </c>
      <c r="B7" s="16" t="n">
        <f aca="false">IF(SUM(Coverage!$I$4:$I$47)=0,"",SUM(Coverage!$J$4:$J$47)/SUM(Coverage!$I$4:$I$47))</f>
        <v>0</v>
      </c>
    </row>
    <row r="9" customFormat="false" ht="15" hidden="false" customHeight="false" outlineLevel="0" collapsed="false">
      <c r="A9" s="12" t="s">
        <v>194</v>
      </c>
    </row>
    <row r="10" customFormat="false" ht="15" hidden="false" customHeight="false" outlineLevel="0" collapsed="false">
      <c r="A10" s="13" t="s">
        <v>195</v>
      </c>
      <c r="B10" s="14" t="n">
        <f aca="false">SUM(Coverage!$K$4:$K$47)</f>
        <v>44</v>
      </c>
    </row>
    <row r="11" customFormat="false" ht="26.85" hidden="false" customHeight="false" outlineLevel="0" collapsed="false">
      <c r="A11" s="13" t="s">
        <v>196</v>
      </c>
      <c r="B11" s="17" t="str">
        <f aca="false">IF(SUM(Coverage!$K$4:$K$47)=0,"PASS — no top-band gaps","FAIL — open top-band barrier(s)")</f>
        <v>FAIL — open top-band barrier(s)</v>
      </c>
    </row>
    <row r="13" customFormat="false" ht="15" hidden="false" customHeight="false" outlineLevel="0" collapsed="false">
      <c r="A13" s="12" t="s">
        <v>197</v>
      </c>
    </row>
    <row r="14" customFormat="false" ht="15" hidden="false" customHeight="false" outlineLevel="0" collapsed="false">
      <c r="A14" s="13" t="s">
        <v>198</v>
      </c>
      <c r="B14" s="14" t="n">
        <f aca="false">COUNTIF(Coverage!$H$4:$H$47,"Performed")</f>
        <v>0</v>
      </c>
    </row>
    <row r="15" customFormat="false" ht="15" hidden="false" customHeight="false" outlineLevel="0" collapsed="false">
      <c r="A15" s="13" t="s">
        <v>199</v>
      </c>
      <c r="B15" s="14" t="n">
        <f aca="false">COUNTIF(Coverage!$H$4:$H$47,"Equivalent control")</f>
        <v>0</v>
      </c>
    </row>
    <row r="16" customFormat="false" ht="15" hidden="false" customHeight="false" outlineLevel="0" collapsed="false">
      <c r="A16" s="13" t="s">
        <v>200</v>
      </c>
      <c r="B16" s="14" t="n">
        <f aca="false">COUNTIF(Coverage!$H$4:$H$47,"Risk-accepted")</f>
        <v>0</v>
      </c>
    </row>
    <row r="17" customFormat="false" ht="15" hidden="false" customHeight="false" outlineLevel="0" collapsed="false">
      <c r="A17" s="13" t="s">
        <v>201</v>
      </c>
      <c r="B17" s="14" t="n">
        <f aca="false">COUNTIF(Coverage!$H$4:$H$47,"Open")</f>
        <v>44</v>
      </c>
    </row>
    <row r="18" customFormat="false" ht="15" hidden="false" customHeight="false" outlineLevel="0" collapsed="false">
      <c r="A18" s="18" t="s">
        <v>202</v>
      </c>
      <c r="B18" s="19" t="str">
        <f aca="false">IF(SUM(Coverage!$J$4:$J$47)=0,"",SUMIFS(Coverage!$G$4:$G$47,Coverage!$H$4:$H$47,"Risk-accepted")/SUM(Coverage!$J$4:$J$47))</f>
        <v/>
      </c>
    </row>
    <row r="19" customFormat="false" ht="15" hidden="false" customHeight="false" outlineLevel="0" collapsed="false">
      <c r="A19" s="20" t="s">
        <v>203</v>
      </c>
      <c r="B19" s="21" t="n">
        <f aca="false">SUMPRODUCT((LEFT(Coverage!$F$4:$F$47,12)="Catastrophic")*(Coverage!$H$4:$H$47="Risk-accepted"))</f>
        <v>0</v>
      </c>
    </row>
    <row r="21" customFormat="false" ht="53.7" hidden="false" customHeight="false" outlineLevel="0" collapsed="false">
      <c r="A21" s="11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205</v>
      </c>
    </row>
    <row r="3" customFormat="false" ht="15" hidden="false" customHeight="false" outlineLevel="0" collapsed="false">
      <c r="A3" s="2" t="s">
        <v>206</v>
      </c>
    </row>
    <row r="4" customFormat="false" ht="35.05" hidden="false" customHeight="false" outlineLevel="0" collapsed="false">
      <c r="A4" s="3" t="s">
        <v>207</v>
      </c>
    </row>
    <row r="5" customFormat="false" ht="23.85" hidden="false" customHeight="false" outlineLevel="0" collapsed="false">
      <c r="A5" s="3" t="s">
        <v>208</v>
      </c>
    </row>
    <row r="6" customFormat="false" ht="15" hidden="false" customHeight="false" outlineLevel="0" collapsed="false">
      <c r="A6" s="2" t="s">
        <v>209</v>
      </c>
    </row>
    <row r="7" customFormat="false" ht="35.05" hidden="false" customHeight="false" outlineLevel="0" collapsed="false">
      <c r="A7" s="3" t="s">
        <v>210</v>
      </c>
    </row>
    <row r="8" customFormat="false" ht="15" hidden="false" customHeight="false" outlineLevel="0" collapsed="false">
      <c r="A8" s="2" t="s">
        <v>211</v>
      </c>
    </row>
    <row r="9" customFormat="false" ht="23.85" hidden="false" customHeight="false" outlineLevel="0" collapsed="false">
      <c r="A9" s="3" t="s">
        <v>212</v>
      </c>
    </row>
    <row r="10" customFormat="false" ht="23.85" hidden="false" customHeight="false" outlineLevel="0" collapsed="false">
      <c r="A10" s="3" t="s">
        <v>213</v>
      </c>
    </row>
    <row r="11" customFormat="false" ht="23.85" hidden="false" customHeight="false" outlineLevel="0" collapsed="false">
      <c r="A11" s="3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</cols>
  <sheetData>
    <row r="1" customFormat="false" ht="15" hidden="false" customHeight="false" outlineLevel="0" collapsed="false">
      <c r="A1" s="22" t="s">
        <v>27</v>
      </c>
      <c r="B1" s="22" t="s">
        <v>215</v>
      </c>
    </row>
    <row r="2" customFormat="false" ht="15" hidden="false" customHeight="false" outlineLevel="0" collapsed="false">
      <c r="A2" s="23" t="s">
        <v>216</v>
      </c>
      <c r="B2" s="23" t="s">
        <v>36</v>
      </c>
    </row>
    <row r="3" customFormat="false" ht="15" hidden="false" customHeight="false" outlineLevel="0" collapsed="false">
      <c r="A3" s="23" t="s">
        <v>217</v>
      </c>
      <c r="B3" s="23" t="s">
        <v>102</v>
      </c>
    </row>
    <row r="4" customFormat="false" ht="15" hidden="false" customHeight="false" outlineLevel="0" collapsed="false">
      <c r="A4" s="23" t="s">
        <v>218</v>
      </c>
    </row>
    <row r="5" customFormat="false" ht="15" hidden="false" customHeight="false" outlineLevel="0" collapsed="false">
      <c r="A5" s="2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2026-07-22T01:57:45Z</dcterms:created>
  <dc:creator>openpyxl</dc:creator>
  <dc:description/>
  <dc:language>en-US</dc:language>
  <cp:lastModifiedBy/>
  <dcterms:modified xsi:type="dcterms:W3CDTF">2026-07-22T01:57:45Z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