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hase 1 Register" sheetId="2" state="visible" r:id="rId4"/>
    <sheet name="Lists" sheetId="3" state="visible" r:id="rId5"/>
    <sheet name="CM Team Roster" sheetId="4" state="visible" r:id="rId6"/>
    <sheet name="Evidence Ladder" sheetId="5" state="visible" r:id="rId7"/>
    <sheet name="Dashboard" sheetId="6" state="visible" r:id="rId8"/>
    <sheet name="Findings Log" sheetId="7" state="visible" r:id="rId9"/>
    <sheet name="Residual Scope" sheetId="8" state="visible" r:id="rId10"/>
  </sheets>
  <definedNames>
    <definedName function="false" hidden="true" localSheetId="1" name="_xlnm._FilterDatabase" vbProcedure="false">'Phase 1 Register'!$A$4:$AQ$137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<sst xmlns="http://schemas.openxmlformats.org/spreadsheetml/2006/main" count="2049" uniqueCount="925">
  <si>
    <t xml:space="preserve">Phase 1 TDR Workbook - EIA-649-1A Compliance Review</t>
  </si>
  <si>
    <t xml:space="preserve">Scope statement (put this verbatim in the TDR charter)</t>
  </si>
  <si>
    <t xml:space="preserve">The program has no recorded tailoring of EIA-649-1A, so the full standard applies. Phase 1 assesses a defined subset and asserts no compliance position on any requirement outside that subset. The residual is live exposure, is listed on the 'Residual Scope' sheet, and carries a named owner and a dated pass schedule.</t>
  </si>
  <si>
    <t xml:space="preserve">Phase 1 is sequenced to remediation capacity, not to calendar convenience.</t>
  </si>
  <si>
    <t xml:space="preserve">What is in Phase 1</t>
  </si>
  <si>
    <t xml:space="preserve">Block A. The 44 CM floor items (F01 to F44), carried from the CM Floor Register with barrier, hazard, pre-anchored severity, and role mapping intact.</t>
  </si>
  <si>
    <t xml:space="preserve">Block B. Section 3 general requirements 3.(1) and 3.(3). 3.(2) and 3.(4) are already floor items F40 and F41.</t>
  </si>
  <si>
    <t xml:space="preserve">Block C. The whole of 3.1 Planning and Management, 17 sub-requirements. 3.1.1 and 3.1(1)(e) are the root-cause clauses for the health and staffing findings the rest of the review will surface.</t>
  </si>
  <si>
    <t xml:space="preserve">Block D. A slice of 3.2 Configuration Identification, 38 sub-requirements, including unit marking and serialization.</t>
  </si>
  <si>
    <t xml:space="preserve">Block E. A slice of 3.4 CSA, 11 sub-requirements. 3.4.1(3)(f) is the as-designed to as-built reconciliation record itself.</t>
  </si>
  <si>
    <t xml:space="preserve">Block F. A slice of 3.3, 21 sub-requirements covering change classification criteria and ECP impact-assessment content. 3.3.1.3(1) makes the DD 1692 information set normative through the standard, not through the CDRL.</t>
  </si>
  <si>
    <t xml:space="preserve">Two independent scores, deliberately not combined</t>
  </si>
  <si>
    <t xml:space="preserve">The HEALTH rung asks whether the activity happens: documented, deployed, operating, effective. It is graded from evidence.</t>
  </si>
  <si>
    <t xml:space="preserve">The STAFFING rung asks whether anyone is assigned to make it happen: unassigned, single point, staffed with a credential gap, staffed and credentialed. It is computed from Executor Count and Credential Minimum Met, not entered, so it cannot be graded generously.</t>
  </si>
  <si>
    <t xml:space="preserve">They are kept apart because they fail independently. A requirement can be Operating on the strength of one person's diligence and still be one resignation away from Not demonstrated. A requirement can be fully staffed and still not running. Combining them into a single number hides both cases.</t>
  </si>
  <si>
    <t xml:space="preserve">The register already carries the DESIGNED allocation in columns L to O, sourced from the enterprise role mapping. Columns W to Z capture the ACTUAL allocation. The delta is the finding, and the Dashboard concentration table is where it becomes visible.</t>
  </si>
  <si>
    <t xml:space="preserve">This TDR is internal</t>
  </si>
  <si>
    <t xml:space="preserve">Internal changes four things. Evidence does not need to be acquirer-presentable, so query exports, screenshots, and informal record pulls are acceptable and the review moves faster. Independent Reviewer means a different CM function or internal audit, not a customer representative. The tailoring door produces a recommendation to Programs and Contracts, not a closure, because an internal review cannot negotiate relief. And there is no external forcing function, so the dated pass schedule and the named residual owner carry more weight, not less.</t>
  </si>
  <si>
    <t xml:space="preserve">One practical consequence worth raising with Contracts and counsel before the first readout: this review will create a dated internal record of known gaps against a standard the contract invokes untailored. That is normal and defensible when each finding carries an owner and a remediation date. It reads differently when it does not. Decide the handling convention up front rather than after the findings exist.</t>
  </si>
  <si>
    <t xml:space="preserve">Requirement enumeration for this TDR comes from the body text of the standard, not from the Annex A tailoring worksheet, which does not reconcile to the body. Keep that basis fixed across all passes.</t>
  </si>
  <si>
    <t xml:space="preserve">Inclusion rule used to select the non-floor additions</t>
  </si>
  <si>
    <t xml:space="preserve">A non-floor clause enters Phase 1 only if it is a root cause of an expected finding, an upstream enabler a floor item depends on, or free because it shares an evidence pull with a floor item already in scope. Column P records which applies.</t>
  </si>
  <si>
    <t xml:space="preserve">That rule is expansive. Before the charter goes out, consider tightening it to: an addition qualifies only if a specific floor item is unassessable without it. Applying that test will remove rows.</t>
  </si>
  <si>
    <t xml:space="preserve">How to use the register</t>
  </si>
  <si>
    <t xml:space="preserve">Columns A to R are sourced. Do not edit them.</t>
  </si>
  <si>
    <t xml:space="preserve">Columns S to AQ are the TDR's work. Salmon columns W to Z are the execution-capacity block.</t>
  </si>
  <si>
    <t xml:space="preserve">The default when the assessor is deciding between two rungs is the lower one. A claim with no record pull is Not demonstrated. A role with no named individual is Unassigned.</t>
  </si>
  <si>
    <t xml:space="preserve">Columns AA, AB, AD, AK, and AN are formulas. Do not overwrite them.</t>
  </si>
  <si>
    <t xml:space="preserve">Before assessment begins</t>
  </si>
  <si>
    <t xml:space="preserve">Confirm the untailored condition against the SOW invocation and CDRL Block 16, not only against the absence of a completed Annex A worksheet.</t>
  </si>
  <si>
    <t xml:space="preserve">Populate the CM Team Roster sheet first. Requirement-level executor names must match roster names exactly for the load counts to work.</t>
  </si>
  <si>
    <t xml:space="preserve">Worked example row (format reference, do not copy the values)</t>
  </si>
  <si>
    <t xml:space="preserve">Item ID</t>
  </si>
  <si>
    <t xml:space="preserve">Clause</t>
  </si>
  <si>
    <t xml:space="preserve">Process Ref</t>
  </si>
  <si>
    <t xml:space="preserve">Tool</t>
  </si>
  <si>
    <t xml:space="preserve">Accountable Owner</t>
  </si>
  <si>
    <t xml:space="preserve">Named Executor(s)</t>
  </si>
  <si>
    <t xml:space="preserve">Exec Count</t>
  </si>
  <si>
    <t xml:space="preserve">Executor Function</t>
  </si>
  <si>
    <t xml:space="preserve">Cred Met?</t>
  </si>
  <si>
    <t xml:space="preserve">Staffing Rung</t>
  </si>
  <si>
    <t xml:space="preserve">Health Rung</t>
  </si>
  <si>
    <t xml:space="preserve">Size</t>
  </si>
  <si>
    <t xml:space="preserve">Conforming</t>
  </si>
  <si>
    <t xml:space="preserve">Disposition</t>
  </si>
  <si>
    <t xml:space="preserve">P1-013</t>
  </si>
  <si>
    <t xml:space="preserve">3.3.1.1(1)(f)</t>
  </si>
  <si>
    <t xml:space="preserve">XXX-CM-PROC-003 R.E</t>
  </si>
  <si>
    <t xml:space="preserve">PLM release module</t>
  </si>
  <si>
    <t xml:space="preserve">J. Okafor (CM Mgr)</t>
  </si>
  <si>
    <t xml:space="preserve">A. Rivera</t>
  </si>
  <si>
    <t xml:space="preserve">Change Board Admin</t>
  </si>
  <si>
    <t xml:space="preserve">Yes</t>
  </si>
  <si>
    <t xml:space="preserve">Single point (computed)</t>
  </si>
  <si>
    <t xml:space="preserve">Deployed</t>
  </si>
  <si>
    <t xml:space="preserve">Gap - remediate</t>
  </si>
  <si>
    <t xml:space="preserve">Read the example: the process document exists and the tool is configured, so the item clears Documented and Deployed. The sample shows 8 of 12 conforming, so the health rung stays at Deployed. Separately, one named executor with no backup computes to Single point, and that person sits in Change Board Admin rather than Engineering Release where the register designs the work. Two findings, one row, and neither is visible without the other column.</t>
  </si>
  <si>
    <t xml:space="preserve">Phase 1 Technical Design Review Register - EIA-649-1A</t>
  </si>
  <si>
    <t xml:space="preserve">Program: [enter]    |    Contract / SOW ref: [enter]    |    TDR Rev / Date: [enter]    |    Tailoring status: [confirm against SOW and CDRL Block 16 before assessment begins]</t>
  </si>
  <si>
    <t xml:space="preserve">Gray columns A-R are sourced. Do not edit. Yellow columns are TDR entries. Salmon columns W-Z are the execution-capacity block. Blue columns are formulas. Columns L to N carry the DESIGNED allocation from the enterprise register; columns W to Z capture the ACTUAL allocation. The delta between them is the finding.</t>
  </si>
  <si>
    <t xml:space="preserve">Block</t>
  </si>
  <si>
    <t xml:space="preserve">TDR Group</t>
  </si>
  <si>
    <t xml:space="preserve">EIA-649-1A Clause</t>
  </si>
  <si>
    <t xml:space="preserve">Requirement (paraphrased)</t>
  </si>
  <si>
    <t xml:space="preserve">Floor ID</t>
  </si>
  <si>
    <t xml:space="preserve">Floor Cluster</t>
  </si>
  <si>
    <t xml:space="preserve">Barrier(s)</t>
  </si>
  <si>
    <t xml:space="preserve">SM-0001 Hazard</t>
  </si>
  <si>
    <t xml:space="preserve">Pre-Anchored Severity</t>
  </si>
  <si>
    <t xml:space="preserve">Register Inclusion</t>
  </si>
  <si>
    <t xml:space="preserve">Designed Owner Tier</t>
  </si>
  <si>
    <t xml:space="preserve">Designed Owner Code</t>
  </si>
  <si>
    <t xml:space="preserve">Min Credential (designed)</t>
  </si>
  <si>
    <t xml:space="preserve">Support Code(s)</t>
  </si>
  <si>
    <t xml:space="preserve">Phase 1 Inclusion Basis</t>
  </si>
  <si>
    <t xml:space="preserve">Tailorable?</t>
  </si>
  <si>
    <t xml:space="preserve">Associated DID / Std</t>
  </si>
  <si>
    <t xml:space="preserve">Process / Command Media Ref</t>
  </si>
  <si>
    <t xml:space="preserve">Tool / System</t>
  </si>
  <si>
    <t xml:space="preserve">Training / Competency Ref</t>
  </si>
  <si>
    <t xml:space="preserve">Accountable Owner (name)</t>
  </si>
  <si>
    <t xml:space="preserve">Named Executor(s) - who actually performs the work</t>
  </si>
  <si>
    <t xml:space="preserve">Executor Count</t>
  </si>
  <si>
    <t xml:space="preserve">Primary Executor Function</t>
  </si>
  <si>
    <t xml:space="preserve">Credential Minimum Met?</t>
  </si>
  <si>
    <t xml:space="preserve">Staffing Score</t>
  </si>
  <si>
    <t xml:space="preserve">Rung Score</t>
  </si>
  <si>
    <t xml:space="preserve">Evidence Type</t>
  </si>
  <si>
    <t xml:space="preserve">Evidence Reference</t>
  </si>
  <si>
    <t xml:space="preserve">Sample Population</t>
  </si>
  <si>
    <t xml:space="preserve">Sample Size</t>
  </si>
  <si>
    <t xml:space="preserve">Sample Period</t>
  </si>
  <si>
    <t xml:space="preserve">Records Conforming</t>
  </si>
  <si>
    <t xml:space="preserve">Conformance %</t>
  </si>
  <si>
    <t xml:space="preserve">Finding / RFA Ref</t>
  </si>
  <si>
    <t xml:space="preserve">Validation Flag</t>
  </si>
  <si>
    <t xml:space="preserve">Assessor (name / date)</t>
  </si>
  <si>
    <t xml:space="preserve">Independent Reviewer (name / date)</t>
  </si>
  <si>
    <t xml:space="preserve">Notes</t>
  </si>
  <si>
    <t xml:space="preserve">P1-001</t>
  </si>
  <si>
    <t xml:space="preserve">A. CM Floor (44 items)</t>
  </si>
  <si>
    <t xml:space="preserve">2. Configuration Identification</t>
  </si>
  <si>
    <t xml:space="preserve">3.2.1(2)(b)</t>
  </si>
  <si>
    <t xml:space="preserve">Identify as a CI any item whose failure could cause serious injury, loss of life, or loss of primary system capability</t>
  </si>
  <si>
    <t xml:space="preserve">F01</t>
  </si>
  <si>
    <t xml:space="preserve">1. Hazard ID &amp; Critical-Item Recognition</t>
  </si>
  <si>
    <t xml:space="preserve">B1</t>
  </si>
  <si>
    <t xml:space="preserve">§6.2.1 Hazard identification</t>
  </si>
  <si>
    <t xml:space="preserve">Catastrophic (1)</t>
  </si>
  <si>
    <t xml:space="preserve">Clean</t>
  </si>
  <si>
    <t xml:space="preserve">Tier 3</t>
  </si>
  <si>
    <t xml:space="preserve">2E</t>
  </si>
  <si>
    <t xml:space="preserve">B.S.E.</t>
  </si>
  <si>
    <t xml:space="preserve">2I</t>
  </si>
  <si>
    <t xml:space="preserve">CM floor. Obligated through the SMS pathway regardless of flow-down.</t>
  </si>
  <si>
    <t xml:space="preserve">No</t>
  </si>
  <si>
    <t xml:space="preserve">DI-SESS-82007</t>
  </si>
  <si>
    <t xml:space="preserve">P1-002</t>
  </si>
  <si>
    <t xml:space="preserve">3. Change and Variance Management</t>
  </si>
  <si>
    <t xml:space="preserve">3.3.1.2(1)</t>
  </si>
  <si>
    <t xml:space="preserve">Classify every engineering change as Major (Class I) or Minor (Class II)</t>
  </si>
  <si>
    <t xml:space="preserve">F02</t>
  </si>
  <si>
    <t xml:space="preserve">B2</t>
  </si>
  <si>
    <t xml:space="preserve">§6.2.2 Risk-acceptance authority</t>
  </si>
  <si>
    <t xml:space="preserve">P1-003</t>
  </si>
  <si>
    <t xml:space="preserve">3.3.1.2(2)(e)(6)(a)</t>
  </si>
  <si>
    <t xml:space="preserve">Treat changes affecting safety as Major (Class I)</t>
  </si>
  <si>
    <t xml:space="preserve">F03</t>
  </si>
  <si>
    <t xml:space="preserve">P1-004</t>
  </si>
  <si>
    <t xml:space="preserve">3.3(3)</t>
  </si>
  <si>
    <t xml:space="preserve">Support a joint Acquirer/Supplier Configuration Control Board</t>
  </si>
  <si>
    <t xml:space="preserve">F04</t>
  </si>
  <si>
    <t xml:space="preserve">Judgment</t>
  </si>
  <si>
    <t xml:space="preserve">2A</t>
  </si>
  <si>
    <t xml:space="preserve">P1-005</t>
  </si>
  <si>
    <t xml:space="preserve">3.3.1.8.1(1)</t>
  </si>
  <si>
    <t xml:space="preserve">Obtain Acquirer concurrence on Minor (Class II) classification</t>
  </si>
  <si>
    <t xml:space="preserve">F05</t>
  </si>
  <si>
    <t xml:space="preserve">P1-006</t>
  </si>
  <si>
    <t xml:space="preserve">3.3(1)</t>
  </si>
  <si>
    <t xml:space="preserve">Apply configuration control to each CI, its components, and its documentation</t>
  </si>
  <si>
    <t xml:space="preserve">F06</t>
  </si>
  <si>
    <t xml:space="preserve">2. Change Discipline &amp; Impact Assessment</t>
  </si>
  <si>
    <t xml:space="preserve">B3</t>
  </si>
  <si>
    <t xml:space="preserve">§6.2.1 Work not per approved data</t>
  </si>
  <si>
    <t xml:space="preserve">P1-007</t>
  </si>
  <si>
    <t xml:space="preserve">3.3(2)(c)</t>
  </si>
  <si>
    <t xml:space="preserve">Document, evaluate, disposition, record in CSA, and report changes and variances</t>
  </si>
  <si>
    <t xml:space="preserve">F07</t>
  </si>
  <si>
    <t xml:space="preserve">2I; 2D</t>
  </si>
  <si>
    <t xml:space="preserve">P1-008</t>
  </si>
  <si>
    <t xml:space="preserve">3.3(2)(e)</t>
  </si>
  <si>
    <t xml:space="preserve">Incorporate approved changes into all product configuration information and implement them</t>
  </si>
  <si>
    <t xml:space="preserve">F08</t>
  </si>
  <si>
    <t xml:space="preserve">Tier 2</t>
  </si>
  <si>
    <t xml:space="preserve">B.S.E.T.</t>
  </si>
  <si>
    <t xml:space="preserve">P1-009</t>
  </si>
  <si>
    <t xml:space="preserve">3.3(2)(f)</t>
  </si>
  <si>
    <t xml:space="preserve">Verify approved changes were incorporated</t>
  </si>
  <si>
    <t xml:space="preserve">F09</t>
  </si>
  <si>
    <t xml:space="preserve">P1-010</t>
  </si>
  <si>
    <t xml:space="preserve">3.3.1(1)</t>
  </si>
  <si>
    <t xml:space="preserve">Use an ECP to document baseline changes and submit to the change approval authority</t>
  </si>
  <si>
    <t xml:space="preserve">F10</t>
  </si>
  <si>
    <t xml:space="preserve">B2, B3</t>
  </si>
  <si>
    <t xml:space="preserve">DI-SESS-80639</t>
  </si>
  <si>
    <t xml:space="preserve">P1-011</t>
  </si>
  <si>
    <t xml:space="preserve">3.3.1.1(1)(a)</t>
  </si>
  <si>
    <t xml:space="preserve">Define the need for each change</t>
  </si>
  <si>
    <t xml:space="preserve">F11</t>
  </si>
  <si>
    <t xml:space="preserve">P1-012</t>
  </si>
  <si>
    <t xml:space="preserve">3.3.1.1(1)(e)</t>
  </si>
  <si>
    <t xml:space="preserve">Incorporate the approved ECP into the configuration documentation</t>
  </si>
  <si>
    <t xml:space="preserve">F12</t>
  </si>
  <si>
    <t xml:space="preserve">Implement and update documentation via a documented engineering release system</t>
  </si>
  <si>
    <t xml:space="preserve">F13</t>
  </si>
  <si>
    <t xml:space="preserve">DI-SESS-80463</t>
  </si>
  <si>
    <t xml:space="preserve">P1-014</t>
  </si>
  <si>
    <t xml:space="preserve">3.3.1.1(1)(g)</t>
  </si>
  <si>
    <t xml:space="preserve">Record all changes in the CSA system</t>
  </si>
  <si>
    <t xml:space="preserve">F14</t>
  </si>
  <si>
    <t xml:space="preserve">Tier 1</t>
  </si>
  <si>
    <t xml:space="preserve">2D</t>
  </si>
  <si>
    <t xml:space="preserve">A.A.S.</t>
  </si>
  <si>
    <t xml:space="preserve">DI-SESS-81253</t>
  </si>
  <si>
    <t xml:space="preserve">P1-015</t>
  </si>
  <si>
    <t xml:space="preserve">3.3.1.1(1)(h)</t>
  </si>
  <si>
    <t xml:space="preserve">Verify the approved change was implemented correctly</t>
  </si>
  <si>
    <t xml:space="preserve">F15</t>
  </si>
  <si>
    <t xml:space="preserve">P1-016</t>
  </si>
  <si>
    <t xml:space="preserve">3.3.1.4(1)</t>
  </si>
  <si>
    <t xml:space="preserve">Support each ECP with data to evaluate the change and its full impacts</t>
  </si>
  <si>
    <t xml:space="preserve">F16</t>
  </si>
  <si>
    <t xml:space="preserve">B4</t>
  </si>
  <si>
    <t xml:space="preserve">§6.2.3 Management of change</t>
  </si>
  <si>
    <t xml:space="preserve">P1-017</t>
  </si>
  <si>
    <t xml:space="preserve">3.3.1.4(3)</t>
  </si>
  <si>
    <t xml:space="preserve">Include a summary of testing validating new concepts or technology</t>
  </si>
  <si>
    <t xml:space="preserve">F17</t>
  </si>
  <si>
    <t xml:space="preserve">P1-018</t>
  </si>
  <si>
    <t xml:space="preserve">3.3.2(1)</t>
  </si>
  <si>
    <t xml:space="preserve">Obtain Acquirer approval for any non-conforming item via a Request for Variance</t>
  </si>
  <si>
    <t xml:space="preserve">F18</t>
  </si>
  <si>
    <t xml:space="preserve">B5</t>
  </si>
  <si>
    <t xml:space="preserve">§6.3.3 Continuous improvement</t>
  </si>
  <si>
    <t xml:space="preserve">2I; 2A</t>
  </si>
  <si>
    <t xml:space="preserve">DI-SESS-80640</t>
  </si>
  <si>
    <t xml:space="preserve">P1-019</t>
  </si>
  <si>
    <t xml:space="preserve">3.3.2(2)</t>
  </si>
  <si>
    <t xml:space="preserve">Submit an ECP when a variance is determined permanently acceptable (recurring-to-permanent)</t>
  </si>
  <si>
    <t xml:space="preserve">F19</t>
  </si>
  <si>
    <t xml:space="preserve">Clean (core)</t>
  </si>
  <si>
    <t xml:space="preserve">P1-020</t>
  </si>
  <si>
    <t xml:space="preserve">3.3.1.1(1)(c)</t>
  </si>
  <si>
    <t xml:space="preserve">Prepare an ECP, NOR, and supporting technical data for the change</t>
  </si>
  <si>
    <t xml:space="preserve">F20</t>
  </si>
  <si>
    <t xml:space="preserve">B6</t>
  </si>
  <si>
    <t xml:space="preserve">§6.2.1 Inaccurate/incomplete data</t>
  </si>
  <si>
    <t xml:space="preserve">Severe (2)</t>
  </si>
  <si>
    <t xml:space="preserve">DI-SESS-80639; DI-SESS-80642</t>
  </si>
  <si>
    <t xml:space="preserve">P1-021</t>
  </si>
  <si>
    <t xml:space="preserve">3.3.4(1)</t>
  </si>
  <si>
    <t xml:space="preserve">Submit a NOR for each document affected by an ECP</t>
  </si>
  <si>
    <t xml:space="preserve">F21</t>
  </si>
  <si>
    <t xml:space="preserve">DI-SESS-80642</t>
  </si>
  <si>
    <t xml:space="preserve">P1-022</t>
  </si>
  <si>
    <t xml:space="preserve">3.3.4(2)</t>
  </si>
  <si>
    <t xml:space="preserve">Provide all information needed to disposition each NOR</t>
  </si>
  <si>
    <t xml:space="preserve">F22</t>
  </si>
  <si>
    <t xml:space="preserve">P1-023</t>
  </si>
  <si>
    <t xml:space="preserve">3.2.3.3(1)</t>
  </si>
  <si>
    <t xml:space="preserve">Create a new revision of approved documentation after change approval, with before/after traceability</t>
  </si>
  <si>
    <t xml:space="preserve">F23</t>
  </si>
  <si>
    <t xml:space="preserve">B7</t>
  </si>
  <si>
    <t xml:space="preserve">P1-024</t>
  </si>
  <si>
    <t xml:space="preserve">4. CSA and Verification</t>
  </si>
  <si>
    <t xml:space="preserve">3.4(1)</t>
  </si>
  <si>
    <t xml:space="preserve">Maintain CSA legitimacy by storing valid data</t>
  </si>
  <si>
    <t xml:space="preserve">F24</t>
  </si>
  <si>
    <t xml:space="preserve">3. As-Designed to As-Built Reconciliation</t>
  </si>
  <si>
    <t xml:space="preserve">B8</t>
  </si>
  <si>
    <t xml:space="preserve">§6.2.1 Inaccurate manufacturing/maintenance data</t>
  </si>
  <si>
    <t xml:space="preserve">P1-025</t>
  </si>
  <si>
    <t xml:space="preserve">3.4.1(2)</t>
  </si>
  <si>
    <t xml:space="preserve">Capture, store, and maintain product configuration information</t>
  </si>
  <si>
    <t xml:space="preserve">F25</t>
  </si>
  <si>
    <t xml:space="preserve">P1-026</t>
  </si>
  <si>
    <t xml:space="preserve">3.4.1(3)(a)</t>
  </si>
  <si>
    <t xml:space="preserve">Capture and maintain currently approved configuration information by each CI's identification number</t>
  </si>
  <si>
    <t xml:space="preserve">F26</t>
  </si>
  <si>
    <t xml:space="preserve">B8, B11</t>
  </si>
  <si>
    <t xml:space="preserve">§6.2.1 / §6.3.2</t>
  </si>
  <si>
    <t xml:space="preserve">P1-027</t>
  </si>
  <si>
    <t xml:space="preserve">3.4.1(3)(c)</t>
  </si>
  <si>
    <t xml:space="preserve">Store and manage all product configuration information</t>
  </si>
  <si>
    <t xml:space="preserve">F27</t>
  </si>
  <si>
    <t xml:space="preserve">P1-028</t>
  </si>
  <si>
    <t xml:space="preserve">3.4.1(4)(c)</t>
  </si>
  <si>
    <t xml:space="preserve">Secure, safeguard, and retrieve recorded configuration information</t>
  </si>
  <si>
    <t xml:space="preserve">F28</t>
  </si>
  <si>
    <t xml:space="preserve">P1-029</t>
  </si>
  <si>
    <t xml:space="preserve">3.5.3(1)</t>
  </si>
  <si>
    <t xml:space="preserve">Conduct the PCA to verify product configuration documentation is consistent with the validated CI</t>
  </si>
  <si>
    <t xml:space="preserve">F29</t>
  </si>
  <si>
    <t xml:space="preserve">B9</t>
  </si>
  <si>
    <t xml:space="preserve">§6.2.1 Non-conformance / FOD</t>
  </si>
  <si>
    <t xml:space="preserve">DI-SESS-81646; DI-SESS-81022</t>
  </si>
  <si>
    <t xml:space="preserve">P1-030</t>
  </si>
  <si>
    <t xml:space="preserve">3.5.3(2)</t>
  </si>
  <si>
    <t xml:space="preserve">Confirm the CI against the PPSL and verify proper parts are installed</t>
  </si>
  <si>
    <t xml:space="preserve">F30</t>
  </si>
  <si>
    <t xml:space="preserve">P1-031</t>
  </si>
  <si>
    <t xml:space="preserve">3.5.3(4)</t>
  </si>
  <si>
    <t xml:space="preserve">Document each PCA non-compliance and provide it to the Acquirer</t>
  </si>
  <si>
    <t xml:space="preserve">F31</t>
  </si>
  <si>
    <t xml:space="preserve">DI-SESS-81022</t>
  </si>
  <si>
    <t xml:space="preserve">P1-032</t>
  </si>
  <si>
    <t xml:space="preserve">3.4.1(3)(b)</t>
  </si>
  <si>
    <t xml:space="preserve">Capture and maintain all historical configuration information with traceability from contract award to present</t>
  </si>
  <si>
    <t xml:space="preserve">F32</t>
  </si>
  <si>
    <t xml:space="preserve">B10</t>
  </si>
  <si>
    <t xml:space="preserve">§6.3.1 Continued airworthiness data</t>
  </si>
  <si>
    <t xml:space="preserve">P1-033</t>
  </si>
  <si>
    <t xml:space="preserve">3.4.1(6)</t>
  </si>
  <si>
    <t xml:space="preserve">Document the incorporation of all retrofit changes to units identified for retrofit</t>
  </si>
  <si>
    <t xml:space="preserve">F33</t>
  </si>
  <si>
    <t xml:space="preserve">B11</t>
  </si>
  <si>
    <t xml:space="preserve">§6.3.2 MoC effectiveness</t>
  </si>
  <si>
    <t xml:space="preserve">DI-SESS-81245</t>
  </si>
  <si>
    <t xml:space="preserve">P1-034</t>
  </si>
  <si>
    <t xml:space="preserve">3.5.3.1(1)(b)</t>
  </si>
  <si>
    <t xml:space="preserve">Identify differences between the production CI and the development CI used for FCA</t>
  </si>
  <si>
    <t xml:space="preserve">F34</t>
  </si>
  <si>
    <t xml:space="preserve">B12</t>
  </si>
  <si>
    <t xml:space="preserve">§6.2.1 Quality escapes</t>
  </si>
  <si>
    <t xml:space="preserve">P1-035</t>
  </si>
  <si>
    <t xml:space="preserve">3.2.5.1(1)</t>
  </si>
  <si>
    <t xml:space="preserve">Identify internal and external interface requirements</t>
  </si>
  <si>
    <t xml:space="preserve">F35</t>
  </si>
  <si>
    <t xml:space="preserve">4. Supply Chain, Interfaces &amp; Verification</t>
  </si>
  <si>
    <t xml:space="preserve">B13</t>
  </si>
  <si>
    <t xml:space="preserve">§7.3.2 Interface management</t>
  </si>
  <si>
    <t xml:space="preserve">DI-SESS-81248</t>
  </si>
  <si>
    <t xml:space="preserve">P1-036</t>
  </si>
  <si>
    <t xml:space="preserve">3.2.5.1(2)</t>
  </si>
  <si>
    <t xml:space="preserve">Incorporate interface information into the FCD/ACD/PCD</t>
  </si>
  <si>
    <t xml:space="preserve">F36</t>
  </si>
  <si>
    <t xml:space="preserve">P1-037</t>
  </si>
  <si>
    <t xml:space="preserve">3.2.5.1(3)</t>
  </si>
  <si>
    <t xml:space="preserve">Maintain configuration control of baselined interface requirements</t>
  </si>
  <si>
    <t xml:space="preserve">F37</t>
  </si>
  <si>
    <t xml:space="preserve">P1-038</t>
  </si>
  <si>
    <t xml:space="preserve">3.2.5.2(1)</t>
  </si>
  <si>
    <t xml:space="preserve">Provide a representative to the Acquirer's ICWG where one exists</t>
  </si>
  <si>
    <t xml:space="preserve">F38</t>
  </si>
  <si>
    <t xml:space="preserve">Conditional</t>
  </si>
  <si>
    <t xml:space="preserve">P1-039</t>
  </si>
  <si>
    <t xml:space="preserve">3.4.1(3)(j)</t>
  </si>
  <si>
    <t xml:space="preserve">Record and report sub-tier supplier data with traceability to the next higher assembly</t>
  </si>
  <si>
    <t xml:space="preserve">F39</t>
  </si>
  <si>
    <t xml:space="preserve">B14</t>
  </si>
  <si>
    <t xml:space="preserve">§6.2.1 Subcontractor disclosures</t>
  </si>
  <si>
    <t xml:space="preserve">P1-040</t>
  </si>
  <si>
    <t xml:space="preserve">1. Management and Planning</t>
  </si>
  <si>
    <t xml:space="preserve">3.(2)</t>
  </si>
  <si>
    <t xml:space="preserve">Require sub-suppliers to comply with or suitably tailor the same CM requirements imposed on the Supplier</t>
  </si>
  <si>
    <t xml:space="preserve">F40</t>
  </si>
  <si>
    <t xml:space="preserve">B15</t>
  </si>
  <si>
    <t xml:space="preserve">§6.2.1 + §7 Supply-chain</t>
  </si>
  <si>
    <t xml:space="preserve">P1-041</t>
  </si>
  <si>
    <t xml:space="preserve">3.(4)</t>
  </si>
  <si>
    <t xml:space="preserve">Support Acquirer audits of Supplier and sub-supplier CM</t>
  </si>
  <si>
    <t xml:space="preserve">F41</t>
  </si>
  <si>
    <t xml:space="preserve">§7 Interfaces</t>
  </si>
  <si>
    <t xml:space="preserve">Tier 4</t>
  </si>
  <si>
    <t xml:space="preserve">Advanced / SME</t>
  </si>
  <si>
    <t xml:space="preserve">P1-042</t>
  </si>
  <si>
    <t xml:space="preserve">3.5.2(2)</t>
  </si>
  <si>
    <t xml:space="preserve">Conduct the FCA to verify the CI meets performance requirements per approved FCD/ACD</t>
  </si>
  <si>
    <t xml:space="preserve">F42</t>
  </si>
  <si>
    <t xml:space="preserve">B16</t>
  </si>
  <si>
    <t xml:space="preserve">§6.3.1 Validate risk controls</t>
  </si>
  <si>
    <t xml:space="preserve">P1-043</t>
  </si>
  <si>
    <t xml:space="preserve">3.5.2(3)</t>
  </si>
  <si>
    <t xml:space="preserve">Document each FCA non-compliance and provide it to the Acquirer</t>
  </si>
  <si>
    <t xml:space="preserve">F43</t>
  </si>
  <si>
    <t xml:space="preserve">P1-044</t>
  </si>
  <si>
    <t xml:space="preserve">3.5.2.1(1)(c)</t>
  </si>
  <si>
    <t xml:space="preserve">Provide a requirements-to-test traceability matrix (each requirement maps to a test step)</t>
  </si>
  <si>
    <t xml:space="preserve">F44</t>
  </si>
  <si>
    <t xml:space="preserve">P1-045</t>
  </si>
  <si>
    <t xml:space="preserve">B. Section 3 general</t>
  </si>
  <si>
    <t xml:space="preserve">3.(1)</t>
  </si>
  <si>
    <t xml:space="preserve">Comply with the CM requirements of this standard as tailored in the contract</t>
  </si>
  <si>
    <t xml:space="preserve">Not floor-anchored</t>
  </si>
  <si>
    <t xml:space="preserve">N/A</t>
  </si>
  <si>
    <t xml:space="preserve">Applicability anchor. The untailored condition is established or refuted here.</t>
  </si>
  <si>
    <t xml:space="preserve">P1-046</t>
  </si>
  <si>
    <t xml:space="preserve">3.(3)</t>
  </si>
  <si>
    <t xml:space="preserve">Establish and execute a CM process that controls all configuration documentation representing or comprising the configuration item</t>
  </si>
  <si>
    <t xml:space="preserve">Root cause of expected health findings</t>
  </si>
  <si>
    <t xml:space="preserve">P1-047</t>
  </si>
  <si>
    <t xml:space="preserve">C. 3.1 Planning and Management</t>
  </si>
  <si>
    <t xml:space="preserve">3.1(1)(a)</t>
  </si>
  <si>
    <t xml:space="preserve">CM planning defines the objectives of the CM program and of each applicable CM element</t>
  </si>
  <si>
    <t xml:space="preserve">DI-SESS-80858; DI-MISC-80508</t>
  </si>
  <si>
    <t xml:space="preserve">P1-048</t>
  </si>
  <si>
    <t xml:space="preserve">3.1(1)(b)</t>
  </si>
  <si>
    <t xml:space="preserve">CM planning defines the appropriate level of CM activity for each CM function across the product life cycle</t>
  </si>
  <si>
    <t xml:space="preserve">P1-049</t>
  </si>
  <si>
    <t xml:space="preserve">3.1(1)(c)</t>
  </si>
  <si>
    <t xml:space="preserve">CM planning defines the CM organization and its organizational relationships</t>
  </si>
  <si>
    <t xml:space="preserve">P1-050</t>
  </si>
  <si>
    <t xml:space="preserve">3.1(1)(d)</t>
  </si>
  <si>
    <t xml:space="preserve">CM planning defines the responsibilities and authority of CM professionals</t>
  </si>
  <si>
    <t xml:space="preserve">P1-051</t>
  </si>
  <si>
    <t xml:space="preserve">3.1(1)(e)</t>
  </si>
  <si>
    <t xml:space="preserve">CM planning defines the CM resources to be used, specifically tools, techniques, training, and methodologies</t>
  </si>
  <si>
    <t xml:space="preserve">Root cause. This clause is the TDR's own analysis axis.</t>
  </si>
  <si>
    <t xml:space="preserve">P1-052</t>
  </si>
  <si>
    <t xml:space="preserve">3.1(1)(f)</t>
  </si>
  <si>
    <t xml:space="preserve">CM planning defines coordination activities with internal and external agencies</t>
  </si>
  <si>
    <t xml:space="preserve">P1-053</t>
  </si>
  <si>
    <t xml:space="preserve">3.1(1)(g)</t>
  </si>
  <si>
    <t xml:space="preserve">CM planning defines the functions, responsibility, and authority of CCBs</t>
  </si>
  <si>
    <t xml:space="preserve">Upstream enabler of F02 to F05 and F10</t>
  </si>
  <si>
    <t xml:space="preserve">P1-054</t>
  </si>
  <si>
    <t xml:space="preserve">3.1(1)(h)</t>
  </si>
  <si>
    <t xml:space="preserve">CM planning defines a release process for product configuration documentation</t>
  </si>
  <si>
    <t xml:space="preserve">Upstream enabler of F13</t>
  </si>
  <si>
    <t xml:space="preserve">P1-055</t>
  </si>
  <si>
    <t xml:space="preserve">3.1(1)(i)</t>
  </si>
  <si>
    <t xml:space="preserve">CM planning defines methods for determining sub-supplier CM process effectiveness and the actions taken when those processes are ineffective</t>
  </si>
  <si>
    <t xml:space="preserve">Upstream enabler of F39 to F41</t>
  </si>
  <si>
    <t xml:space="preserve">P1-056</t>
  </si>
  <si>
    <t xml:space="preserve">3.1(1)(j)</t>
  </si>
  <si>
    <t xml:space="preserve">CM planning defines CSA activities for creating, editing, reviewing, approving, releasing, publishing, and distributing configuration and change documentation</t>
  </si>
  <si>
    <t xml:space="preserve">Upstream enabler of F24 to F28</t>
  </si>
  <si>
    <t xml:space="preserve">P1-057</t>
  </si>
  <si>
    <t xml:space="preserve">3.1(1)(k)</t>
  </si>
  <si>
    <t xml:space="preserve">CM planning defines the identification and labeling structure for configuration items</t>
  </si>
  <si>
    <t xml:space="preserve">Upstream enabler of F01 and F26</t>
  </si>
  <si>
    <t xml:space="preserve">P1-058</t>
  </si>
  <si>
    <t xml:space="preserve">3.1.1(1)</t>
  </si>
  <si>
    <t xml:space="preserve">Include in the CMP a methodology for generating, measuring, and reporting CM performance data</t>
  </si>
  <si>
    <t xml:space="preserve">Root cause. Requires the organization to already know what this TDR will discover.</t>
  </si>
  <si>
    <t xml:space="preserve">P1-059</t>
  </si>
  <si>
    <t xml:space="preserve">3.1.1(2)</t>
  </si>
  <si>
    <t xml:space="preserve">Make CM performance data available to the Acquirer</t>
  </si>
  <si>
    <t xml:space="preserve">P1-060</t>
  </si>
  <si>
    <t xml:space="preserve">3.1.2(1)</t>
  </si>
  <si>
    <t xml:space="preserve">Submit the CM Plan to the Acquirer for review and approval, covering the processes, methods, and procedures used for the assigned CIs over the contract life, and including sub-tier supplier CM performance</t>
  </si>
  <si>
    <t xml:space="preserve">Root cause. The CMP is the controlling document where no tailoring exists.</t>
  </si>
  <si>
    <t xml:space="preserve">DI-SESS-80858</t>
  </si>
  <si>
    <t xml:space="preserve">P1-061</t>
  </si>
  <si>
    <t xml:space="preserve">3.1.3(1)</t>
  </si>
  <si>
    <t xml:space="preserve">Provide configuration documentation to support each technical review</t>
  </si>
  <si>
    <t xml:space="preserve">Upstream enabler of baseline establishment</t>
  </si>
  <si>
    <t xml:space="preserve">P1-062</t>
  </si>
  <si>
    <t xml:space="preserve">3.1.4(1)</t>
  </si>
  <si>
    <t xml:space="preserve">Address contractually specified product configuration documentation requirements in the CMP, including data handling, processing, storage, retention, integrity, transfer, releasability, security, and maintenance documentation</t>
  </si>
  <si>
    <t xml:space="preserve">Upstream enabler of F27 and F28</t>
  </si>
  <si>
    <t xml:space="preserve">P1-063</t>
  </si>
  <si>
    <t xml:space="preserve">3.1.4(2)</t>
  </si>
  <si>
    <t xml:space="preserve">Inform the Acquirer of any requirements imposed on the Acquirer to maintain the security and integrity of shared data</t>
  </si>
  <si>
    <t xml:space="preserve">Shares an evidence pull with a floor item</t>
  </si>
  <si>
    <t xml:space="preserve">P1-064</t>
  </si>
  <si>
    <t xml:space="preserve">D. 3.2 Configuration Identification slice</t>
  </si>
  <si>
    <t xml:space="preserve">3.2(1)</t>
  </si>
  <si>
    <t xml:space="preserve">Use a documented process for configuration identification</t>
  </si>
  <si>
    <t xml:space="preserve">P1-065</t>
  </si>
  <si>
    <t xml:space="preserve">3.2(2)(a)</t>
  </si>
  <si>
    <t xml:space="preserve">Apply the 3.2.1 criteria to select configuration items</t>
  </si>
  <si>
    <t xml:space="preserve">Upstream enabler of F01</t>
  </si>
  <si>
    <t xml:space="preserve">P1-066</t>
  </si>
  <si>
    <t xml:space="preserve">3.2(2)(b)</t>
  </si>
  <si>
    <t xml:space="preserve">Establish a configuration item structure and hierarchy</t>
  </si>
  <si>
    <t xml:space="preserve">Upstream enabler of F26 and F39</t>
  </si>
  <si>
    <t xml:space="preserve">P1-067</t>
  </si>
  <si>
    <t xml:space="preserve">3.2(2)(c)</t>
  </si>
  <si>
    <t xml:space="preserve">Select the configuration documentation used to define the configuration baselines for each CI</t>
  </si>
  <si>
    <t xml:space="preserve">Upstream enabler of F25 and F36</t>
  </si>
  <si>
    <t xml:space="preserve">P1-068</t>
  </si>
  <si>
    <t xml:space="preserve">3.2(2)(d)</t>
  </si>
  <si>
    <t xml:space="preserve">Identify and control interfaces</t>
  </si>
  <si>
    <t xml:space="preserve">P1-069</t>
  </si>
  <si>
    <t xml:space="preserve">3.2(2)(e)</t>
  </si>
  <si>
    <t xml:space="preserve">Assign enterprise, product, unit, group, and document identifiers to CIs, their component parts, and associated configuration documentation</t>
  </si>
  <si>
    <t xml:space="preserve">Upstream enabler of F26</t>
  </si>
  <si>
    <t xml:space="preserve">P1-070</t>
  </si>
  <si>
    <t xml:space="preserve">3.2(2)(f)</t>
  </si>
  <si>
    <t xml:space="preserve">Change the part or identifying number when an item is modified to a non-interchangeable configuration, while retaining the original unit identifier for traceability</t>
  </si>
  <si>
    <t xml:space="preserve">Upstream enabler of F30 and F33</t>
  </si>
  <si>
    <t xml:space="preserve">P1-071</t>
  </si>
  <si>
    <t xml:space="preserve">3.2(2)(g)</t>
  </si>
  <si>
    <t xml:space="preserve">Include and affix the design activity CAGE code across CIs, subordinate parts and assemblies, configuration documentation, software media, and products</t>
  </si>
  <si>
    <t xml:space="preserve">Upstream enabler of a floor item</t>
  </si>
  <si>
    <t xml:space="preserve">P1-072</t>
  </si>
  <si>
    <t xml:space="preserve">3.2(2)(h)</t>
  </si>
  <si>
    <t xml:space="preserve">Place each item of configuration documentation and software specification under configuration control</t>
  </si>
  <si>
    <t xml:space="preserve">Upstream enabler of F06</t>
  </si>
  <si>
    <t xml:space="preserve">P1-073</t>
  </si>
  <si>
    <t xml:space="preserve">3.2(2)(i)</t>
  </si>
  <si>
    <t xml:space="preserve">Establish and manage the functional, allocated, and product baselines at the appropriate points in the CI life cycle</t>
  </si>
  <si>
    <t xml:space="preserve">Upstream enabler of F10, F36, F42</t>
  </si>
  <si>
    <t xml:space="preserve">DI-SESS-81121</t>
  </si>
  <si>
    <t xml:space="preserve">P1-074</t>
  </si>
  <si>
    <t xml:space="preserve">3.2(2)(j)</t>
  </si>
  <si>
    <t xml:space="preserve">Mark or label items and documentation with the identifiers that correlate the item, its configuration documentation, and associated data</t>
  </si>
  <si>
    <t xml:space="preserve">Upstream enabler of F30</t>
  </si>
  <si>
    <t xml:space="preserve">P1-075</t>
  </si>
  <si>
    <t xml:space="preserve">3.2(2)(k)</t>
  </si>
  <si>
    <t xml:space="preserve">Obtain Acquirer approval of the type designation and nomenclature for each CI the Acquirer designates for control, tracking, and logistics</t>
  </si>
  <si>
    <t xml:space="preserve">Shares an evidence pull with F05</t>
  </si>
  <si>
    <t xml:space="preserve">DI-SESS-81254; DI-SESS-81121</t>
  </si>
  <si>
    <t xml:space="preserve">P1-076</t>
  </si>
  <si>
    <t xml:space="preserve">3.2.1(1)</t>
  </si>
  <si>
    <t xml:space="preserve">Select and submit potential configuration items for Acquirer review and selection concurrence</t>
  </si>
  <si>
    <t xml:space="preserve">P1-077</t>
  </si>
  <si>
    <t xml:space="preserve">3.2.1(2)</t>
  </si>
  <si>
    <t xml:space="preserve">Designate as a CI any item satisfying a system end use function that meets the stated selection criteria. Criterion (b) is floor item F01 and is assessed there.</t>
  </si>
  <si>
    <t xml:space="preserve">P1-078</t>
  </si>
  <si>
    <t xml:space="preserve">3.2.1(3)(a)</t>
  </si>
  <si>
    <t xml:space="preserve">Assign system product-unique identifiers to software development environment elements in the format specified in the CMP</t>
  </si>
  <si>
    <t xml:space="preserve">Upstream enabler of F26 where software CIs exist</t>
  </si>
  <si>
    <t xml:space="preserve">DI-SESS-81011</t>
  </si>
  <si>
    <t xml:space="preserve">P1-079</t>
  </si>
  <si>
    <t xml:space="preserve">3.2.1(3)(b)</t>
  </si>
  <si>
    <t xml:space="preserve">Provide a part number representing the device with embedded code where both are controlled through a single altered item drawing</t>
  </si>
  <si>
    <t xml:space="preserve">P1-080</t>
  </si>
  <si>
    <t xml:space="preserve">3.2.1(3)(c)</t>
  </si>
  <si>
    <t xml:space="preserve">Mark the part number and the software medium separately with the supplier code and name identification</t>
  </si>
  <si>
    <t xml:space="preserve">P1-081</t>
  </si>
  <si>
    <t xml:space="preserve">3.2.1(3)(d)</t>
  </si>
  <si>
    <t xml:space="preserve">Designate computer software as configuration items</t>
  </si>
  <si>
    <t xml:space="preserve">P1-082</t>
  </si>
  <si>
    <t xml:space="preserve">3.2.2(1)</t>
  </si>
  <si>
    <t xml:space="preserve">Use an engineering release process employing formal release records to authorize the use of new or revised configuration documentation</t>
  </si>
  <si>
    <t xml:space="preserve">Upstream enabler of F13. The floor assumes this system exists but never assesses it.</t>
  </si>
  <si>
    <t xml:space="preserve">P1-083</t>
  </si>
  <si>
    <t xml:space="preserve">3.2.2(2)</t>
  </si>
  <si>
    <t xml:space="preserve">Use the engineering release system to issue initial and subsequent approved changes to product configuration documentation, including minor changes</t>
  </si>
  <si>
    <t xml:space="preserve">Upstream enabler of F08, F12, F13</t>
  </si>
  <si>
    <t xml:space="preserve">P1-084</t>
  </si>
  <si>
    <t xml:space="preserve">3.2.2(3)</t>
  </si>
  <si>
    <t xml:space="preserve">Use the engineering release process to authorize use of configuration documentation associated with an approved configuration</t>
  </si>
  <si>
    <t xml:space="preserve">P1-085</t>
  </si>
  <si>
    <t xml:space="preserve">3.2.2(4)</t>
  </si>
  <si>
    <t xml:space="preserve">Incorporate approved configuration documentation and the engineering release record into the CSA system</t>
  </si>
  <si>
    <t xml:space="preserve">Upstream enabler of F14 and F24</t>
  </si>
  <si>
    <t xml:space="preserve">P1-086</t>
  </si>
  <si>
    <t xml:space="preserve">3.2.3.1(1)</t>
  </si>
  <si>
    <t xml:space="preserve">Generate the configuration documentation required for the configuration baselines the Acquirer establishes</t>
  </si>
  <si>
    <t xml:space="preserve">Upstream enabler of F36 and F42</t>
  </si>
  <si>
    <t xml:space="preserve">MIL-STD-31000</t>
  </si>
  <si>
    <t xml:space="preserve">P1-087</t>
  </si>
  <si>
    <t xml:space="preserve">3.2.3.1(2)</t>
  </si>
  <si>
    <t xml:space="preserve">Trace each succeeding baseline to its predecessors, including a detailed extension</t>
  </si>
  <si>
    <t xml:space="preserve">Upstream enabler of F32 and F34</t>
  </si>
  <si>
    <t xml:space="preserve">P1-088</t>
  </si>
  <si>
    <t xml:space="preserve">3.2.3.2(1)</t>
  </si>
  <si>
    <t xml:space="preserve">Document the functional baseline of the system through functional configuration documentation against the stated content set</t>
  </si>
  <si>
    <t xml:space="preserve">Upstream enabler of F42</t>
  </si>
  <si>
    <t xml:space="preserve">P1-089</t>
  </si>
  <si>
    <t xml:space="preserve">3.2.3.2.1(1)</t>
  </si>
  <si>
    <t xml:space="preserve">Document the allocated baseline of a CI through allocated configuration documentation against the stated content set</t>
  </si>
  <si>
    <t xml:space="preserve">P1-090</t>
  </si>
  <si>
    <t xml:space="preserve">3.2.3.2.2(1)</t>
  </si>
  <si>
    <t xml:space="preserve">Document the product baseline of a CI through product configuration documentation against the stated content set</t>
  </si>
  <si>
    <t xml:space="preserve">Upstream enabler of F29 and F30</t>
  </si>
  <si>
    <t xml:space="preserve">P1-091</t>
  </si>
  <si>
    <t xml:space="preserve">3.2.3.2.2(2)</t>
  </si>
  <si>
    <t xml:space="preserve">Document the product baseline of a privately developed CI, including the verification provisions required to accept deliveries</t>
  </si>
  <si>
    <t xml:space="preserve">P1-092</t>
  </si>
  <si>
    <t xml:space="preserve">3.2.4(1)</t>
  </si>
  <si>
    <t xml:space="preserve">Uniquely identify each CI, and assign a unique product identifier to each CI and component</t>
  </si>
  <si>
    <t xml:space="preserve">P1-093</t>
  </si>
  <si>
    <t xml:space="preserve">3.2.4(2)</t>
  </si>
  <si>
    <t xml:space="preserve">Determine the types of configuration documentation required for each CI and component</t>
  </si>
  <si>
    <t xml:space="preserve">Upstream enabler of F25</t>
  </si>
  <si>
    <t xml:space="preserve">P1-094</t>
  </si>
  <si>
    <t xml:space="preserve">3.2.4(3)</t>
  </si>
  <si>
    <t xml:space="preserve">Assign unique and other identifiers to the CI and to the technical documentation comprising its configuration documentation</t>
  </si>
  <si>
    <t xml:space="preserve">P1-095</t>
  </si>
  <si>
    <t xml:space="preserve">3.2.4(4)</t>
  </si>
  <si>
    <t xml:space="preserve">Keep the design document identifier the same as, or traceable to, the part or identifying number</t>
  </si>
  <si>
    <t xml:space="preserve">P1-096</t>
  </si>
  <si>
    <t xml:space="preserve">3.2.5.1(4)</t>
  </si>
  <si>
    <t xml:space="preserve">Provide interface control documentation for the identified interfaces</t>
  </si>
  <si>
    <t xml:space="preserve">Shares an evidence pull with F35 to F37</t>
  </si>
  <si>
    <t xml:space="preserve">P1-097</t>
  </si>
  <si>
    <t xml:space="preserve">3.2.4.1(1)</t>
  </si>
  <si>
    <t xml:space="preserve">Identify all configuration items including their sets, groups, units, assemblies, subassemblies, and parts by marking in accordance with the applicable marking standard</t>
  </si>
  <si>
    <t xml:space="preserve">Upstream enabler of F30, F32, F33. Unit identification is the precondition for verifying which parts are installed on which unit.</t>
  </si>
  <si>
    <t xml:space="preserve">MIL-STD-130 / MIL-STD-1285 / MIL-STD-13231</t>
  </si>
  <si>
    <t xml:space="preserve">P1-098</t>
  </si>
  <si>
    <t xml:space="preserve">3.2.4.1(2)</t>
  </si>
  <si>
    <t xml:space="preserve">Adhere to DoD item unique identification directives, instructions, and standards as tailored in the contract</t>
  </si>
  <si>
    <t xml:space="preserve">Upstream enabler of F26 and F32</t>
  </si>
  <si>
    <t xml:space="preserve">MIL-STD-130</t>
  </si>
  <si>
    <t xml:space="preserve">P1-099</t>
  </si>
  <si>
    <t xml:space="preserve">3.2.4.1(3)</t>
  </si>
  <si>
    <t xml:space="preserve">Apply IUID marking in accordance with the applicable standard when required by acquisition documents, whether applied direct to the item or by separate means</t>
  </si>
  <si>
    <t xml:space="preserve">MIL-STD-130 / MIL-DTL-15024</t>
  </si>
  <si>
    <t xml:space="preserve">P1-100</t>
  </si>
  <si>
    <t xml:space="preserve">3.2.4.1(4)</t>
  </si>
  <si>
    <t xml:space="preserve">Check the DoD IUID registry to confirm a unique item identifier has not been previously assigned before applying it to a configuration item</t>
  </si>
  <si>
    <t xml:space="preserve">Upstream enabler of F26. A duplicate UII breaks unit-level traceability at the source.</t>
  </si>
  <si>
    <t xml:space="preserve">P1-101</t>
  </si>
  <si>
    <t xml:space="preserve">3.2.4.2(1)</t>
  </si>
  <si>
    <t xml:space="preserve">Mark and label software as specified: embedded identifier and version in source and executable headers, medium labels carrying distribution, ITAR, and classification statements, identifier cross-reference, maturity status, and deliverable media labeling</t>
  </si>
  <si>
    <t xml:space="preserve">Software analogue of unit identification. Applies only where software CIs exist.</t>
  </si>
  <si>
    <t xml:space="preserve">P1-102</t>
  </si>
  <si>
    <t xml:space="preserve">E. 3.4 CSA reconciliation and reporting</t>
  </si>
  <si>
    <t xml:space="preserve">3.4(2)</t>
  </si>
  <si>
    <t xml:space="preserve">Perform CSA analysis to detect and identify trends and report problems</t>
  </si>
  <si>
    <t xml:space="preserve">Root cause. The floor pulled CSA storage clauses and left the analysis clause behind.</t>
  </si>
  <si>
    <t xml:space="preserve">P1-103</t>
  </si>
  <si>
    <t xml:space="preserve">3.4.1(1)</t>
  </si>
  <si>
    <t xml:space="preserve">Link the CSA system closely to the data repository used to store and manage product configuration and product operational information</t>
  </si>
  <si>
    <t xml:space="preserve">Upstream enabler of F24 to F28. The floor assumes this linkage but never assesses it.</t>
  </si>
  <si>
    <t xml:space="preserve">P1-104</t>
  </si>
  <si>
    <t xml:space="preserve">3.4.1(3)(d)</t>
  </si>
  <si>
    <t xml:space="preserve">Identify dependencies among configuration items</t>
  </si>
  <si>
    <t xml:space="preserve">Upstream enabler of F16 impact assessment and F39 next-higher-assembly traceability</t>
  </si>
  <si>
    <t xml:space="preserve">P1-105</t>
  </si>
  <si>
    <t xml:space="preserve">3.4.1(3)(e)</t>
  </si>
  <si>
    <t xml:space="preserve">Report the status of both proposed and approved configuration changes and variances against all configuration items</t>
  </si>
  <si>
    <t xml:space="preserve">Upstream enabler of F07, F14, F18</t>
  </si>
  <si>
    <t xml:space="preserve">P1-106</t>
  </si>
  <si>
    <t xml:space="preserve">3.4.1(3)(f)</t>
  </si>
  <si>
    <t xml:space="preserve">Record, track, and report implementation status and engineering release of configuration documentation for approved configuration changes</t>
  </si>
  <si>
    <t xml:space="preserve">The as-designed to as-built reconciliation mechanism. F09 and F15 verify incorporation but depend on this record existing.</t>
  </si>
  <si>
    <t xml:space="preserve">P1-107</t>
  </si>
  <si>
    <t xml:space="preserve">3.4.1(3)(g)</t>
  </si>
  <si>
    <t xml:space="preserve">Record, track, and report the status of corrective actions, including repair and use-as-is, for nonconforming materiel addressed by RFVs where a CI configuration is affected</t>
  </si>
  <si>
    <t xml:space="preserve">Upstream enabler of F18 and F19</t>
  </si>
  <si>
    <t xml:space="preserve">P1-108</t>
  </si>
  <si>
    <t xml:space="preserve">3.4.1(3)(h)</t>
  </si>
  <si>
    <t xml:space="preserve">Record and report configuration audit planning and results, including the status and final disposition of identified discrepancies</t>
  </si>
  <si>
    <t xml:space="preserve">Closes the loop on F29, F31, F42, F43. Without it, audit findings have no tracked disposition.</t>
  </si>
  <si>
    <t xml:space="preserve">DI-SESS-81253; DI-SESS-81022</t>
  </si>
  <si>
    <t xml:space="preserve">P1-109</t>
  </si>
  <si>
    <t xml:space="preserve">3.4.1(3)(i)</t>
  </si>
  <si>
    <t xml:space="preserve">Provide performance metrics that measure the execution of the CM process and its functions</t>
  </si>
  <si>
    <t xml:space="preserve">Root cause. Direct partner of 3.1.1, which is already in scope.</t>
  </si>
  <si>
    <t xml:space="preserve">P1-110</t>
  </si>
  <si>
    <t xml:space="preserve">3.4.1(4)(a)</t>
  </si>
  <si>
    <t xml:space="preserve">Make the CSA system and product configuration information readily available to the Acquirer by on-site inspection, remote access, or scheduled submissions per the contract</t>
  </si>
  <si>
    <t xml:space="preserve">Shares an evidence pull with F41 audit support</t>
  </si>
  <si>
    <t xml:space="preserve">P1-111</t>
  </si>
  <si>
    <t xml:space="preserve">3.4.1(5)</t>
  </si>
  <si>
    <t xml:space="preserve">Provide a digital delivery of CSA information and configuration baseline documentation on contract completion, in the form, format, and on the date specified by the CDRL</t>
  </si>
  <si>
    <t xml:space="preserve">Shares an evidence pull with F32 historical traceability</t>
  </si>
  <si>
    <t xml:space="preserve">P1-112</t>
  </si>
  <si>
    <t xml:space="preserve">3.4.2(1)</t>
  </si>
  <si>
    <t xml:space="preserve">Evaluate CSA corrective actions to verify problems are resolved, adverse trend metrics reversed, changes correctly implemented, and no additional problems introduced</t>
  </si>
  <si>
    <t xml:space="preserve">Root cause and the effectiveness rung's own requirement.</t>
  </si>
  <si>
    <t xml:space="preserve">P1-113</t>
  </si>
  <si>
    <t xml:space="preserve">F. 3.3 Change classification and impact assessment</t>
  </si>
  <si>
    <t xml:space="preserve">3.3.1.1(1)(b)</t>
  </si>
  <si>
    <t xml:space="preserve">Review the product model and other technical data to determine what specific changes will need to be made</t>
  </si>
  <si>
    <t xml:space="preserve">The technical impact assessment step. F16 requires supporting data; this requires the analysis that produces it.</t>
  </si>
  <si>
    <t xml:space="preserve">P1-114</t>
  </si>
  <si>
    <t xml:space="preserve">3.3.1.1(1)(d)</t>
  </si>
  <si>
    <t xml:space="preserve">Prepare a separate ECP for each engineering change that has its own distinct objective</t>
  </si>
  <si>
    <t xml:space="preserve">Upstream enabler of F02. Bundled changes defeat classification.</t>
  </si>
  <si>
    <t xml:space="preserve">P1-115</t>
  </si>
  <si>
    <t xml:space="preserve">3.3.1.1(1)(i)</t>
  </si>
  <si>
    <t xml:space="preserve">Identify superseding revisions to ECPs, revising an ECP whenever alterations to the initial ECP are necessary</t>
  </si>
  <si>
    <t xml:space="preserve">Upstream enabler of F12 and F14</t>
  </si>
  <si>
    <t xml:space="preserve">P1-116</t>
  </si>
  <si>
    <t xml:space="preserve">3.3.1.1(1)(j)</t>
  </si>
  <si>
    <t xml:space="preserve">Provide an implementation timeline schedule for each ECP</t>
  </si>
  <si>
    <t xml:space="preserve">Schedule impact element of the change assessment</t>
  </si>
  <si>
    <t xml:space="preserve">P1-117</t>
  </si>
  <si>
    <t xml:space="preserve">3.3.1.1(1)(k)</t>
  </si>
  <si>
    <t xml:space="preserve">State in the ECP any effects on the program if the ECP is not approved</t>
  </si>
  <si>
    <t xml:space="preserve">Consequence-of-not-doing element. Required by CCM-6 and absent from the floor.</t>
  </si>
  <si>
    <t xml:space="preserve">P1-118</t>
  </si>
  <si>
    <t xml:space="preserve">3.3.1.1(1)(l)</t>
  </si>
  <si>
    <t xml:space="preserve">Notify the Acquirer via ECP of COTS hardware or software changes that may affect interface or interoperability characteristics</t>
  </si>
  <si>
    <t xml:space="preserve">Upstream enabler of F35 to F37</t>
  </si>
  <si>
    <t xml:space="preserve">P1-119</t>
  </si>
  <si>
    <t xml:space="preserve">3.3.1.3(1)</t>
  </si>
  <si>
    <t xml:space="preserve">Use DD Form 1692 or an equivalent form that satisfies the DD 1692-series information requirements for referencing and managing a change</t>
  </si>
  <si>
    <t xml:space="preserve">Makes the DD 1692 content set normative through the standard itself, independent of whether the DID is on the CDRL. This is where the impact-assessment field set enters scope.</t>
  </si>
  <si>
    <t xml:space="preserve">DI-SESS-80639 / DD Form 1692</t>
  </si>
  <si>
    <t xml:space="preserve">P1-120</t>
  </si>
  <si>
    <t xml:space="preserve">3.3.1.3(2)</t>
  </si>
  <si>
    <t xml:space="preserve">Obtain Acquirer approval before using a supplier-specific ECP format for Major (Class I) or Minor (Class II) ECPs</t>
  </si>
  <si>
    <t xml:space="preserve">Shares an evidence pull with 3.3.1.3(1)</t>
  </si>
  <si>
    <t xml:space="preserve">P1-121</t>
  </si>
  <si>
    <t xml:space="preserve">3.3.1.4(2)(a)</t>
  </si>
  <si>
    <t xml:space="preserve">Include in the ECP all future production and spare items projected to be procured for the program, where the contract references a life cycle or operation and support cost model</t>
  </si>
  <si>
    <t xml:space="preserve">Cost impact element of the change assessment</t>
  </si>
  <si>
    <t xml:space="preserve">P1-122</t>
  </si>
  <si>
    <t xml:space="preserve">3.3.1.4(2)(b)</t>
  </si>
  <si>
    <t xml:space="preserve">Include in the ECP all projected operation and support costs for operation of the total inventory by the Acquirer, where the contract references a life cycle or operation and support cost model</t>
  </si>
  <si>
    <t xml:space="preserve">P1-123</t>
  </si>
  <si>
    <t xml:space="preserve">3.3.1.2(2)(a) to (c)</t>
  </si>
  <si>
    <t xml:space="preserve">Classify as Major any change to Acquirer-controlled or contract-cited approved documentation, to any physical or functional requirement in approved functional or allocated documentation, or to any Acquirer-owned baseline</t>
  </si>
  <si>
    <t xml:space="preserve">Major-change criteria set. The floor pulled only the safety criterion (F03), leaving the criteria that actually get missed in practice unassessed.</t>
  </si>
  <si>
    <t xml:space="preserve">DD Form 1692</t>
  </si>
  <si>
    <t xml:space="preserve">P1-124</t>
  </si>
  <si>
    <t xml:space="preserve">3.3.1.2(2)(d)</t>
  </si>
  <si>
    <t xml:space="preserve">Classify as Major any change affecting compatibility with interfacing products, delivered operation or servicing instructions, or required calibration to the extent product identification should change</t>
  </si>
  <si>
    <t xml:space="preserve">Major-change criteria set</t>
  </si>
  <si>
    <t xml:space="preserve">P1-125</t>
  </si>
  <si>
    <t xml:space="preserve">3.3.1.2(2)(e)(1) to (5)</t>
  </si>
  <si>
    <t xml:space="preserve">Classify as Major any change affecting approved program or project specifications, the software requirements specification, interface characteristics and documents, imposed qualification and acceptance requirements, or other imposed technical requirements documents</t>
  </si>
  <si>
    <t xml:space="preserve">P1-126</t>
  </si>
  <si>
    <t xml:space="preserve">3.3.1.2(2)(e)(6)(b) to (g)</t>
  </si>
  <si>
    <t xml:space="preserve">Classify as Major any change affecting approved reliability, maintainability, durability, survivability, or supportability requirements, or producing quantitative attributes outside specified limits or tolerances. Subparagraph (6)(a), safety, is floor item F03.</t>
  </si>
  <si>
    <t xml:space="preserve">Major-change criteria set. F03 covers only the safety criterion from this list.</t>
  </si>
  <si>
    <t xml:space="preserve">P1-127</t>
  </si>
  <si>
    <t xml:space="preserve">3.3.1.2(2)(f) to (af)</t>
  </si>
  <si>
    <t xml:space="preserve">Apply the remaining Major-change criteria through subparagraph (af), covering operational, support, logistics, training, and non-technical impacts including cost, price, schedule, guarantees, warranties, contracted deliveries, and milestones. Confirm the full enumeration against the standard when assessing.</t>
  </si>
  <si>
    <t xml:space="preserve">Major-change criteria set. Assessed as one row because it is a single evidence pull: sample classified ECPs and test whether the rationale addresses the full criteria set. Annex A enumerates each subparagraph separately.</t>
  </si>
  <si>
    <t xml:space="preserve">P1-128</t>
  </si>
  <si>
    <t xml:space="preserve">3.3.1.8(1)</t>
  </si>
  <si>
    <t xml:space="preserve">Assign a Minor (Class II) classification only where the change meets no Major criterion, limited to administrative changes, documentation clarifications, corrections, or configuration changes not affecting interchangeability</t>
  </si>
  <si>
    <t xml:space="preserve">Direct partner of F02. The floor requires classification but never assesses the Minor definition.</t>
  </si>
  <si>
    <t xml:space="preserve">P1-129</t>
  </si>
  <si>
    <t xml:space="preserve">3.3.1.8.1(2)</t>
  </si>
  <si>
    <t xml:space="preserve">Cancel a Minor (Class II) ECP where the Acquirer disagrees with the classification, and revise and resubmit as a Major (Class I) ECP where the change is still required</t>
  </si>
  <si>
    <t xml:space="preserve">Completes the F05 concurrence chain</t>
  </si>
  <si>
    <t xml:space="preserve">P1-130</t>
  </si>
  <si>
    <t xml:space="preserve">3.3.1.8.1(3)</t>
  </si>
  <si>
    <t xml:space="preserve">Submit unresolved classification disagreements between Supplier and the Acquirer's designated representatives to the Acquirer for final decision</t>
  </si>
  <si>
    <t xml:space="preserve">P1-131</t>
  </si>
  <si>
    <t xml:space="preserve">3.3.1.8.2(1)</t>
  </si>
  <si>
    <t xml:space="preserve">Submit the Minor (Class II) change to the Configuration Approval Authority for concurrence, approval, or disapproval after the classification review and before product delivery</t>
  </si>
  <si>
    <t xml:space="preserve">Upstream enabler of F08. A Minor change delivered without approval is work not per approved data.</t>
  </si>
  <si>
    <t xml:space="preserve">P1-132</t>
  </si>
  <si>
    <t xml:space="preserve">3.3.2.2(1)</t>
  </si>
  <si>
    <t xml:space="preserve">Use DD Form 1694 content to classify each RFV as Critical, Major, or Minor, applying Critical to departures affecting safety, human health, environment, or security</t>
  </si>
  <si>
    <t xml:space="preserve">The variance analogue of F03. F18 and F19 are in the floor but variance classification is not, so a safety-affecting departure has no classification gate.</t>
  </si>
  <si>
    <t xml:space="preserve">DI-SESS-80640 / DD Form 1694</t>
  </si>
  <si>
    <t xml:space="preserve">P1-133</t>
  </si>
  <si>
    <t xml:space="preserve">3.3(2)(g)</t>
  </si>
  <si>
    <t xml:space="preserve">Implement and verify released or approved variance corrective actions</t>
  </si>
  <si>
    <t xml:space="preserve">Closes the F18 and F19 loop. F09 verifies change incorporation; nothing in the floor verifies variance corrective action.</t>
  </si>
  <si>
    <t xml:space="preserve">Validation lists and scoring</t>
  </si>
  <si>
    <t xml:space="preserve">Score</t>
  </si>
  <si>
    <t xml:space="preserve">Not demonstrated</t>
  </si>
  <si>
    <t xml:space="preserve">Demonstrated</t>
  </si>
  <si>
    <t xml:space="preserve">Process document</t>
  </si>
  <si>
    <t xml:space="preserve">Unassigned</t>
  </si>
  <si>
    <t xml:space="preserve">Planning and Governance</t>
  </si>
  <si>
    <t xml:space="preserve">Documented</t>
  </si>
  <si>
    <t xml:space="preserve">Tool configuration</t>
  </si>
  <si>
    <t xml:space="preserve">Single point</t>
  </si>
  <si>
    <t xml:space="preserve">Configuration Identification</t>
  </si>
  <si>
    <t xml:space="preserve">Gap - recommend tailoring</t>
  </si>
  <si>
    <t xml:space="preserve">Training record</t>
  </si>
  <si>
    <t xml:space="preserve">Staffed, credential gap</t>
  </si>
  <si>
    <t xml:space="preserve">Operating</t>
  </si>
  <si>
    <t xml:space="preserve">Gap - risk accept</t>
  </si>
  <si>
    <t xml:space="preserve">Record sample (transactional)</t>
  </si>
  <si>
    <t xml:space="preserve">Staffed and credentialed</t>
  </si>
  <si>
    <t xml:space="preserve">Engineering Release</t>
  </si>
  <si>
    <t xml:space="preserve">Effective</t>
  </si>
  <si>
    <t xml:space="preserve">Not assessed</t>
  </si>
  <si>
    <t xml:space="preserve">Metric or report output</t>
  </si>
  <si>
    <t xml:space="preserve">CSA / Data Management</t>
  </si>
  <si>
    <t xml:space="preserve">Audit or health check result</t>
  </si>
  <si>
    <t xml:space="preserve">Staffing rung is computed, not entered, so it cannot be graded generously. It derives from Executor Count and whether the named executor meets the designed Min Credential in column N.</t>
  </si>
  <si>
    <t xml:space="preserve">Configuration Audit and Verification</t>
  </si>
  <si>
    <t xml:space="preserve">Health score drives the floor gate. Operating (3) is the minimum passing rung.</t>
  </si>
  <si>
    <t xml:space="preserve">Gap - seek tailoring is available to non-floor items only.</t>
  </si>
  <si>
    <t xml:space="preserve">Interview only (insufficient alone)</t>
  </si>
  <si>
    <t xml:space="preserve">Supplier / Sub-tier CM</t>
  </si>
  <si>
    <t xml:space="preserve">None located</t>
  </si>
  <si>
    <t xml:space="preserve">Shared with Engineering</t>
  </si>
  <si>
    <t xml:space="preserve">Shared with Quality</t>
  </si>
  <si>
    <t xml:space="preserve">CM Team Roster and Load</t>
  </si>
  <si>
    <t xml:space="preserve">Enter every individual who actually performs CM work on this program. Column F counts how many Phase 1 requirements name each person in the register's Named Executor(s) column, so spell names identically in both places. Column G flags concentration.</t>
  </si>
  <si>
    <t xml:space="preserve">Concentration thresholds are a starting assumption, not a standard: 25 or more requirements on one individual is High, 15 or more is Watch. Adjust to your organisation and record the basis.</t>
  </si>
  <si>
    <t xml:space="preserve">Name</t>
  </si>
  <si>
    <t xml:space="preserve">Role title</t>
  </si>
  <si>
    <t xml:space="preserve">CM function</t>
  </si>
  <si>
    <t xml:space="preserve">Credential held</t>
  </si>
  <si>
    <t xml:space="preserve">FTE on this program</t>
  </si>
  <si>
    <t xml:space="preserve">Requirements named on</t>
  </si>
  <si>
    <t xml:space="preserve">Load flag</t>
  </si>
  <si>
    <t xml:space="preserve">Backup named?</t>
  </si>
  <si>
    <t xml:space="preserve">[example] A. Rivera</t>
  </si>
  <si>
    <t xml:space="preserve">CM Analyst II</t>
  </si>
  <si>
    <t xml:space="preserve">Example row - delete before use</t>
  </si>
  <si>
    <t xml:space="preserve">Evidence Ladder and Staffing Ladder</t>
  </si>
  <si>
    <t xml:space="preserve">Two independent scores. The health rung asks whether the activity happens. The staffing rung asks whether anyone is assigned to make it happen. A requirement can be Operating on heroics with one unbacked individual, and that is a finding even though the records look clean.</t>
  </si>
  <si>
    <t xml:space="preserve">Rung</t>
  </si>
  <si>
    <t xml:space="preserve">The test</t>
  </si>
  <si>
    <t xml:space="preserve">Evidence that satisfies it</t>
  </si>
  <si>
    <t xml:space="preserve">Evidence that does not</t>
  </si>
  <si>
    <t xml:space="preserve">Nothing located, or the only support is an assertion in interview.</t>
  </si>
  <si>
    <t xml:space="preserve">None.</t>
  </si>
  <si>
    <t xml:space="preserve">Verbal confirmation. A person's recollection that the activity happens.</t>
  </si>
  <si>
    <t xml:space="preserve">A controlled process document, procedure, or CMP section states the requirement is performed.</t>
  </si>
  <si>
    <t xml:space="preserve">Command media reference with revision and date.</t>
  </si>
  <si>
    <t xml:space="preserve">A draft. An unreleased document. A slide deck describing intent.</t>
  </si>
  <si>
    <t xml:space="preserve">A tool, workflow, or form exists and is configured to carry the activity, and the responsible role is named.</t>
  </si>
  <si>
    <t xml:space="preserve">Tool configuration, workflow definition, form template, named owner in an org record.</t>
  </si>
  <si>
    <t xml:space="preserve">A tool that is licensed but not configured. An owner role that is vacant.</t>
  </si>
  <si>
    <t xml:space="preserve">Records show the activity actually ran across the defined population and period, at the agreed sample size.</t>
  </si>
  <si>
    <t xml:space="preserve">Transactional record sample with population, period, size, and conforming count recorded on the register row.</t>
  </si>
  <si>
    <t xml:space="preserve">A single example record. A sample drawn only from one program or one month.</t>
  </si>
  <si>
    <t xml:space="preserve">The records show the control catching real problems, and each finding it raised has a traceable disposition.</t>
  </si>
  <si>
    <t xml:space="preserve">Check results including failures, with linked RFA or corrective action records showing closure or active status.</t>
  </si>
  <si>
    <t xml:space="preserve">A control that has run for two years and never found anything, with no explanation of why.</t>
  </si>
  <si>
    <t xml:space="preserve">Staffing ladder (computed, not entered)</t>
  </si>
  <si>
    <t xml:space="preserve">Condition</t>
  </si>
  <si>
    <t xml:space="preserve">What it means</t>
  </si>
  <si>
    <t xml:space="preserve">Action</t>
  </si>
  <si>
    <t xml:space="preserve">Executor Count is blank or zero.</t>
  </si>
  <si>
    <t xml:space="preserve">No individual performs this requirement. It exists in the process document and nowhere else.</t>
  </si>
  <si>
    <t xml:space="preserve">Hard gate. Target is zero. Assign before any other remediation on that row.</t>
  </si>
  <si>
    <t xml:space="preserve">Executor Count is 1.</t>
  </si>
  <si>
    <t xml:space="preserve">One individual carries the requirement with no backup. Records may look clean until that person leaves.</t>
  </si>
  <si>
    <t xml:space="preserve">Finding on floor items. Name a backup or fold the work into a shared queue.</t>
  </si>
  <si>
    <t xml:space="preserve">Executor Count is 2 or more and Credential Minimum Met is not Yes.</t>
  </si>
  <si>
    <t xml:space="preserve">Enough people, but at least one does not hold the credential the register designs for the item.</t>
  </si>
  <si>
    <t xml:space="preserve">Training or reassignment. Compare against column N.</t>
  </si>
  <si>
    <t xml:space="preserve">Executor Count is 2 or more and Credential Minimum Met is Yes.</t>
  </si>
  <si>
    <t xml:space="preserve">Capacity and competence both present.</t>
  </si>
  <si>
    <t xml:space="preserve">How to fill the execution-capacity columns</t>
  </si>
  <si>
    <t xml:space="preserve">Accountable Owner and Named Executor(s) are different people and the distinction matters. The owner answers for the requirement; the executor performs it. A requirement with an owner and no executor is unstaffed.</t>
  </si>
  <si>
    <t xml:space="preserve">Name individuals, not roles or teams. 'CM' and 'the release team' both resolve to zero named executors. Spell names exactly as they appear on the CM Team Roster sheet.</t>
  </si>
  <si>
    <t xml:space="preserve">Primary Executor Function records where the named executor actually sits, not where the register says the work belongs. That mismatch is what surfaces concentration.</t>
  </si>
  <si>
    <t xml:space="preserve">Credential Minimum Met compares the executor's held credential against column N of the register, which carries the designed minimum. Unknown is a valid answer and scores the same as No.</t>
  </si>
  <si>
    <t xml:space="preserve">A requirement can carry a person who executes it only nominally. If the roster shows one individual named on 40 requirements at 0.5 FTE, the arithmetic is the finding, not the interview.</t>
  </si>
  <si>
    <t xml:space="preserve">Sampling rules</t>
  </si>
  <si>
    <t xml:space="preserve">Define the population before drawing the sample, and record it on the register row. 'All ECPs' is not a population; 'all ECPs dispositioned on [program] between [date] and [date]' is.</t>
  </si>
  <si>
    <t xml:space="preserve">Minimum sample is 10 records per requirement, or the full population where fewer than 10 exist. Record the actual size, not the target.</t>
  </si>
  <si>
    <t xml:space="preserve">Sample period is the trailing 12 months unless the requirement is event-driven, in which case use the last 3 occurrences.</t>
  </si>
  <si>
    <t xml:space="preserve">Draw across at least two programs where the requirement applies to more than one. A single-program sample cannot support an enterprise conclusion.</t>
  </si>
  <si>
    <t xml:space="preserve">The assessor selects the records. A sample supplied by the process owner is evidence of the best case, not of the population.</t>
  </si>
  <si>
    <t xml:space="preserve">Disposition doors</t>
  </si>
  <si>
    <t xml:space="preserve">Door</t>
  </si>
  <si>
    <t xml:space="preserve">When it applies</t>
  </si>
  <si>
    <t xml:space="preserve">Availability</t>
  </si>
  <si>
    <t xml:space="preserve">Rung is Operating or Effective, the evidence is on the row, and the requirement has a named executor.</t>
  </si>
  <si>
    <t xml:space="preserve">Any item.</t>
  </si>
  <si>
    <t xml:space="preserve">The requirement applies and is not met. Build, fix, staff, or extend the control.</t>
  </si>
  <si>
    <t xml:space="preserve">The requirement applies contractually but the activity has no value on this program. This TDR is internal, so the disposition is a recommendation to Programs and Contracts to pursue relief, not a closure. Track it to the recommendation, then reassess.</t>
  </si>
  <si>
    <t xml:space="preserve">Non-floor items only.</t>
  </si>
  <si>
    <t xml:space="preserve">The gap is known and consciously accepted at the SM-0001 authority for the pre-anchored severity. VP for Severe, CEO for Catastrophic.</t>
  </si>
  <si>
    <t xml:space="preserve">Floor items follow SM-0001 authority.</t>
  </si>
  <si>
    <t xml:space="preserve">Carried into a later pass. Counts against residual exposure.</t>
  </si>
  <si>
    <t xml:space="preserve">Phase 1 TDR Dashboard</t>
  </si>
  <si>
    <t xml:space="preserve">Formula driven from 'Phase 1 Register'. Do not overwrite column B.</t>
  </si>
  <si>
    <t xml:space="preserve">Scope and completion</t>
  </si>
  <si>
    <t xml:space="preserve">Measure</t>
  </si>
  <si>
    <t xml:space="preserve">Value</t>
  </si>
  <si>
    <t xml:space="preserve">Phase 1 requirements in scope</t>
  </si>
  <si>
    <t xml:space="preserve">Floor items (not tailorable)</t>
  </si>
  <si>
    <t xml:space="preserve">Non-floor items added</t>
  </si>
  <si>
    <t xml:space="preserve">Assessed (disposition entered)</t>
  </si>
  <si>
    <t xml:space="preserve">Not yet assessed</t>
  </si>
  <si>
    <t xml:space="preserve">Completion %</t>
  </si>
  <si>
    <t xml:space="preserve">Execution capacity gates - target is zero</t>
  </si>
  <si>
    <t xml:space="preserve">Requirements with NO named executor</t>
  </si>
  <si>
    <t xml:space="preserve">   of which: floor items</t>
  </si>
  <si>
    <t xml:space="preserve">Requirements resting on a single individual</t>
  </si>
  <si>
    <t xml:space="preserve">Requirements below the designed credential</t>
  </si>
  <si>
    <t xml:space="preserve">Requirements graded Operating or better with no executor</t>
  </si>
  <si>
    <t xml:space="preserve">Compliance hard gates - target is zero</t>
  </si>
  <si>
    <t xml:space="preserve">Floor items NOT at Operating or better (includes ungraded)</t>
  </si>
  <si>
    <t xml:space="preserve">   of which: graded below Operating</t>
  </si>
  <si>
    <t xml:space="preserve">   of which: not yet graded</t>
  </si>
  <si>
    <t xml:space="preserve">Invalid tailoring claims on floor items</t>
  </si>
  <si>
    <t xml:space="preserve">Rows flagged by validation</t>
  </si>
  <si>
    <t xml:space="preserve">Staffing rung distribution</t>
  </si>
  <si>
    <t xml:space="preserve">Not yet staffing-assessed</t>
  </si>
  <si>
    <t xml:space="preserve">Health rung distribution</t>
  </si>
  <si>
    <t xml:space="preserve">Not yet graded</t>
  </si>
  <si>
    <t xml:space="preserve">Disposition distribution</t>
  </si>
  <si>
    <t xml:space="preserve">Floor severity exposure (pre-anchored, not re-rated)</t>
  </si>
  <si>
    <t xml:space="preserve">Catastrophic floor items not at Operating or better</t>
  </si>
  <si>
    <t xml:space="preserve">Severe floor items not at Operating or better</t>
  </si>
  <si>
    <t xml:space="preserve">Catastrophic floor items with no named executor</t>
  </si>
  <si>
    <t xml:space="preserve">Concentration by executor function</t>
  </si>
  <si>
    <t xml:space="preserve">This is the load-distribution view. If Change Board Admin and Engineering Release carry most of the register while Identification, Audit, and Supplier CM sit near zero, the organisation has staffed the transactions and not the discipline.</t>
  </si>
  <si>
    <t xml:space="preserve">Requirements</t>
  </si>
  <si>
    <t xml:space="preserve">Floor requirements</t>
  </si>
  <si>
    <t xml:space="preserve">% of register</t>
  </si>
  <si>
    <t xml:space="preserve">Not yet assigned a function</t>
  </si>
  <si>
    <t xml:space="preserve">By TDR group</t>
  </si>
  <si>
    <t xml:space="preserve">In scope</t>
  </si>
  <si>
    <t xml:space="preserve">Assessed</t>
  </si>
  <si>
    <t xml:space="preserve">At Operating or better</t>
  </si>
  <si>
    <t xml:space="preserve">Unstaffed</t>
  </si>
  <si>
    <t xml:space="preserve">Gaps raised</t>
  </si>
  <si>
    <t xml:space="preserve">Reading rule</t>
  </si>
  <si>
    <t xml:space="preserve">Read the two gate blocks before any distribution. A high completion percentage with a nonzero floor gate is a fail. A requirement graded Operating with no named executor is not operating; it is a record of work someone did once. Execution capacity and compliance evidence are scored separately on purpose, because a process document can pass the second while failing the first. Phase 1 asserts no compliance position on anything outside its scope. See 'Residual Scope'.</t>
  </si>
  <si>
    <t xml:space="preserve">Findings Log</t>
  </si>
  <si>
    <t xml:space="preserve">Route every finding into the existing RFA mechanism. Do not maintain a parallel TDR tracker.</t>
  </si>
  <si>
    <t xml:space="preserve">Finding ID</t>
  </si>
  <si>
    <t xml:space="preserve">Finding type</t>
  </si>
  <si>
    <t xml:space="preserve">Finding statement</t>
  </si>
  <si>
    <t xml:space="preserve">Health rung</t>
  </si>
  <si>
    <t xml:space="preserve">Staffing rung</t>
  </si>
  <si>
    <t xml:space="preserve">Root cause (clause ref if upstream)</t>
  </si>
  <si>
    <t xml:space="preserve">Severity</t>
  </si>
  <si>
    <t xml:space="preserve">RFA Ref</t>
  </si>
  <si>
    <t xml:space="preserve">Owner</t>
  </si>
  <si>
    <t xml:space="preserve">Target date</t>
  </si>
  <si>
    <t xml:space="preserve">Status</t>
  </si>
  <si>
    <t xml:space="preserve">Closure evidence</t>
  </si>
  <si>
    <t xml:space="preserve">Verified by (name / date)</t>
  </si>
  <si>
    <t xml:space="preserve">TDR-0001</t>
  </si>
  <si>
    <t xml:space="preserve">Execution capacity</t>
  </si>
  <si>
    <t xml:space="preserve">Release record creation is named to a single CM analyst at 0.8 FTE who is also named on 31 other Phase 1 requirements. No backup named.</t>
  </si>
  <si>
    <t xml:space="preserve">3.1(1)(e) CM resource planning does not allocate release staffing</t>
  </si>
  <si>
    <t xml:space="preserve">RFA-0142</t>
  </si>
  <si>
    <t xml:space="preserve">[name]</t>
  </si>
  <si>
    <t xml:space="preserve">2026-11-30</t>
  </si>
  <si>
    <t xml:space="preserve">Open</t>
  </si>
  <si>
    <t xml:space="preserve">Row 5 is an illustrative example. Delete it before use.</t>
  </si>
  <si>
    <t xml:space="preserve">Residual Scope - what Phase 1 does not cover</t>
  </si>
  <si>
    <t xml:space="preserve">The program has no recorded tailoring, so the whole of EIA-649-1A applies. Everything below is live contractual exposure today, not future work. Name an owner for it and report it in every readout.</t>
  </si>
  <si>
    <t xml:space="preserve">Clause area</t>
  </si>
  <si>
    <t xml:space="preserve">Why deferred</t>
  </si>
  <si>
    <t xml:space="preserve">Suggested pass</t>
  </si>
  <si>
    <t xml:space="preserve">Requirement enumeration basis</t>
  </si>
  <si>
    <t xml:space="preserve">Enumeration is taken from the body text of EIA-649-1A, not from the Annex A tailoring worksheet. Annex A does not reconcile cleanly to the body (clause 3.3.1.8.1 appears as 3.3.2.8.1; the software block the body numbers 3.2(3) is placed differently; the DID table cites 3.2.2(5), 3.3.2(5), 3.2.5.1(4), and 3.4.1.5 inconsistently). Keep this basis stated in the charter so later passes count the same way.</t>
  </si>
  <si>
    <t xml:space="preserve">Standing decision</t>
  </si>
  <si>
    <t xml:space="preserve">3.2.2(5) and 3.3.2(5)</t>
  </si>
  <si>
    <t xml:space="preserve">Referenced by the standard's DID table but not extracted during Phase 1 scoping. Probable Phase 1 gaps, not deferrals.</t>
  </si>
  <si>
    <t xml:space="preserve">Confirm now, add to Phase 1</t>
  </si>
  <si>
    <t xml:space="preserve">3.2.5.2(2)(a) to (d) ICWG membership duties</t>
  </si>
  <si>
    <t xml:space="preserve">Conditional on an ICWG existing, same condition as F38.</t>
  </si>
  <si>
    <t xml:space="preserve">Pass 2</t>
  </si>
  <si>
    <t xml:space="preserve">3.3(2)(a), (b), (d)</t>
  </si>
  <si>
    <t xml:space="preserve">Text not extracted during Phase 1 scoping. Confirm against the standard and add to Block F before assessment begins.</t>
  </si>
  <si>
    <t xml:space="preserve">3.3.1.2(3) and (4); 3.3.2.2(2) and (3)</t>
  </si>
  <si>
    <t xml:space="preserve">Text not extracted during Phase 1 scoping. Confirm against the standard. Likely belongs in Block F.</t>
  </si>
  <si>
    <t xml:space="preserve">3.4.1(4)(b) cyber security for CSA interoperation</t>
  </si>
  <si>
    <t xml:space="preserve">Security owner, not CM. Distinct evidence pull.</t>
  </si>
  <si>
    <t xml:space="preserve">Parallel workstream, security owner</t>
  </si>
  <si>
    <t xml:space="preserve">Lot and batch traceability as an operable control</t>
  </si>
  <si>
    <t xml:space="preserve">EIA-649-1A addresses lot and batch only obliquely, through 3.2(2)(e), 3.2(2)(f), and 3.2.4.1 marking. There is no dedicated lot or batch traceability shall. The operable requirement for this organisation more likely sits in AS9100, AS9145, or the contract quality clauses. Assess it against the right source.</t>
  </si>
  <si>
    <t xml:space="preserve">Separate scope decision needed</t>
  </si>
  <si>
    <t xml:space="preserve">3.2.5 interface management residual beyond F35 to F38 and 3.2.5.1(4)</t>
  </si>
  <si>
    <t xml:space="preserve">Remainder of interface clauses not anchored to a barrier.</t>
  </si>
  <si>
    <t xml:space="preserve">3.3.1.5 ECP decisions; 3.3.1.6 change priorities; 3.3.1.7.x related engineering changes</t>
  </si>
  <si>
    <t xml:space="preserve">Procedural clauses with no floor dependency.</t>
  </si>
  <si>
    <t xml:space="preserve">Pass 3</t>
  </si>
  <si>
    <t xml:space="preserve">3.3.2.1 recurring variances; 3.3.2.3 RFV decisions; 3.3.2.4 minor RFVs</t>
  </si>
  <si>
    <t xml:space="preserve">Variance procedure residual beyond the classification gate in Block F.</t>
  </si>
  <si>
    <t xml:space="preserve">3.3.3 Specification Change Notice</t>
  </si>
  <si>
    <t xml:space="preserve">Deliverable-bearing, no floor anchor.</t>
  </si>
  <si>
    <t xml:space="preserve">3.4 CSA residual beyond Block E</t>
  </si>
  <si>
    <t xml:space="preserve">Remaining CSA clauses not pulled into Phase 1.</t>
  </si>
  <si>
    <t xml:space="preserve">3.5 verification and audit residual, including 3.5.1, 3.5.4, 3.5.5</t>
  </si>
  <si>
    <t xml:space="preserve">Audit planning, post-audit actions, and audit certification.</t>
  </si>
  <si>
    <t xml:space="preserve">Pass 4</t>
  </si>
  <si>
    <t xml:space="preserve">DID and CDRL applicability across all cited data items</t>
  </si>
  <si>
    <t xml:space="preserve">Contracts analysis, not CM process analysis. Lower priority for an internal review whose purpose is CM capability rather than contract defence. Note that DD 1692 and DD 1694 CONTENT is already in Phase 1 via 3.3.1.3(1) and 3.3.2.2(1), independent of the CDRL.</t>
  </si>
  <si>
    <t xml:space="preserve">Parallel workstream, contracts owner</t>
  </si>
  <si>
    <t xml:space="preserve">Software CM clauses where software CIs exist</t>
  </si>
  <si>
    <t xml:space="preserve">Applicability depends on whether the program has software CIs. Confirm first.</t>
  </si>
  <si>
    <t xml:space="preserve">Pass 2 if applicable</t>
  </si>
</sst>
</file>

<file path=xl/styles.xml><?xml version="1.0" encoding="utf-8"?>
<styleSheet xmlns="http://schemas.openxmlformats.org/spreadsheetml/2006/main">
  <numFmts count="3">
    <numFmt numFmtId="164" formatCode="General"/>
    <numFmt numFmtId="165" formatCode="0.0%"/>
    <numFmt numFmtId="166"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9"/>
      <name val="Arial"/>
      <family val="0"/>
      <charset val="1"/>
    </font>
    <font>
      <b val="true"/>
      <sz val="9"/>
      <color rgb="FFFFFFFF"/>
      <name val="Arial"/>
      <family val="0"/>
      <charset val="1"/>
    </font>
    <font>
      <i val="true"/>
      <sz val="9"/>
      <color rgb="FF808080"/>
      <name val="Arial"/>
      <family val="0"/>
      <charset val="1"/>
    </font>
    <font>
      <i val="true"/>
      <sz val="9"/>
      <color rgb="FF555555"/>
      <name val="Arial"/>
      <family val="0"/>
      <charset val="1"/>
    </font>
    <font>
      <b val="true"/>
      <sz val="9"/>
      <name val="Arial"/>
      <family val="0"/>
      <charset val="1"/>
    </font>
  </fonts>
  <fills count="10">
    <fill>
      <patternFill patternType="none"/>
    </fill>
    <fill>
      <patternFill patternType="gray125"/>
    </fill>
    <fill>
      <patternFill patternType="solid">
        <fgColor rgb="FF2F5597"/>
        <bgColor rgb="FF1F3864"/>
      </patternFill>
    </fill>
    <fill>
      <patternFill patternType="solid">
        <fgColor rgb="FFFCE4D6"/>
        <bgColor rgb="FFFBE2D5"/>
      </patternFill>
    </fill>
    <fill>
      <patternFill patternType="solid">
        <fgColor rgb="FF1F3864"/>
        <bgColor rgb="FF333333"/>
      </patternFill>
    </fill>
    <fill>
      <patternFill patternType="solid">
        <fgColor rgb="FFE7E6E6"/>
        <bgColor rgb="FFDDEBF7"/>
      </patternFill>
    </fill>
    <fill>
      <patternFill patternType="solid">
        <fgColor rgb="FFFFF2CC"/>
        <bgColor rgb="FFFCE4D6"/>
      </patternFill>
    </fill>
    <fill>
      <patternFill patternType="solid">
        <fgColor rgb="FFFBE2D5"/>
        <bgColor rgb="FFFCE4D6"/>
      </patternFill>
    </fill>
    <fill>
      <patternFill patternType="solid">
        <fgColor rgb="FFDDEBF7"/>
        <bgColor rgb="FFE7E6E6"/>
      </patternFill>
    </fill>
    <fill>
      <patternFill patternType="solid">
        <fgColor rgb="FF7B3F00"/>
        <bgColor rgb="FF99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5" fontId="6" fillId="8"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6" fontId="10" fillId="8"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10" fillId="8" borderId="1" xfId="0" applyFont="true" applyBorder="true" applyAlignment="true" applyProtection="false">
      <alignment horizontal="center" vertical="bottom" textRotation="0" wrapText="false" indent="0" shrinkToFit="false"/>
      <protection locked="true" hidden="false"/>
    </xf>
    <xf numFmtId="165" fontId="10" fillId="8"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6" fontId="10" fillId="8"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E7E6E6"/>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FBE2D5"/>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CFFCC"/>
      <rgbColor rgb="FFFCE4D6"/>
      <rgbColor rgb="FF99CCFF"/>
      <rgbColor rgb="FFFF99CC"/>
      <rgbColor rgb="FFCC99FF"/>
      <rgbColor rgb="FFFBE2D5"/>
      <rgbColor rgb="FF3366FF"/>
      <rgbColor rgb="FF33CCCC"/>
      <rgbColor rgb="FF99CC00"/>
      <rgbColor rgb="FFFFCC00"/>
      <rgbColor rgb="FFFF9900"/>
      <rgbColor rgb="FFFF6600"/>
      <rgbColor rgb="FF555555"/>
      <rgbColor rgb="FF969696"/>
      <rgbColor rgb="FF1F3864"/>
      <rgbColor rgb="FF339966"/>
      <rgbColor rgb="FF003300"/>
      <rgbColor rgb="FF333300"/>
      <rgbColor rgb="FF7B3F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4" min="2" style="0" width="18"/>
  </cols>
  <sheetData>
    <row r="1" customFormat="false" ht="17.35" hidden="false" customHeight="false" outlineLevel="0" collapsed="false">
      <c r="A1" s="1" t="s">
        <v>0</v>
      </c>
    </row>
    <row r="3" customFormat="false" ht="15" hidden="false" customHeight="false" outlineLevel="0" collapsed="false">
      <c r="A3" s="2" t="s">
        <v>1</v>
      </c>
    </row>
    <row r="4" customFormat="false" ht="45" hidden="false" customHeight="true" outlineLevel="0" collapsed="false">
      <c r="A4" s="3" t="s">
        <v>2</v>
      </c>
      <c r="B4" s="3"/>
      <c r="C4" s="3"/>
      <c r="D4" s="3"/>
      <c r="E4" s="3"/>
      <c r="F4" s="3"/>
    </row>
    <row r="5" customFormat="false" ht="15" hidden="false" customHeight="true" outlineLevel="0" collapsed="false">
      <c r="A5" s="3" t="s">
        <v>3</v>
      </c>
      <c r="B5" s="3"/>
      <c r="C5" s="3"/>
      <c r="D5" s="3"/>
      <c r="E5" s="3"/>
      <c r="F5" s="3"/>
    </row>
    <row r="7" customFormat="false" ht="15" hidden="false" customHeight="false" outlineLevel="0" collapsed="false">
      <c r="A7" s="2" t="s">
        <v>4</v>
      </c>
    </row>
    <row r="8" customFormat="false" ht="30" hidden="false" customHeight="true" outlineLevel="0" collapsed="false">
      <c r="A8" s="3" t="s">
        <v>5</v>
      </c>
      <c r="B8" s="3"/>
      <c r="C8" s="3"/>
      <c r="D8" s="3"/>
      <c r="E8" s="3"/>
      <c r="F8" s="3"/>
    </row>
    <row r="9" customFormat="false" ht="15" hidden="false" customHeight="true" outlineLevel="0" collapsed="false">
      <c r="A9" s="3" t="s">
        <v>6</v>
      </c>
      <c r="B9" s="3"/>
      <c r="C9" s="3"/>
      <c r="D9" s="3"/>
      <c r="E9" s="3"/>
      <c r="F9" s="3"/>
    </row>
    <row r="10" customFormat="false" ht="30" hidden="false" customHeight="true" outlineLevel="0" collapsed="false">
      <c r="A10" s="3" t="s">
        <v>7</v>
      </c>
      <c r="B10" s="3"/>
      <c r="C10" s="3"/>
      <c r="D10" s="3"/>
      <c r="E10" s="3"/>
      <c r="F10" s="3"/>
    </row>
    <row r="11" customFormat="false" ht="30" hidden="false" customHeight="true" outlineLevel="0" collapsed="false">
      <c r="A11" s="3" t="s">
        <v>8</v>
      </c>
      <c r="B11" s="3"/>
      <c r="C11" s="3"/>
      <c r="D11" s="3"/>
      <c r="E11" s="3"/>
      <c r="F11" s="3"/>
    </row>
    <row r="12" customFormat="false" ht="30" hidden="false" customHeight="true" outlineLevel="0" collapsed="false">
      <c r="A12" s="3" t="s">
        <v>9</v>
      </c>
      <c r="B12" s="3"/>
      <c r="C12" s="3"/>
      <c r="D12" s="3"/>
      <c r="E12" s="3"/>
      <c r="F12" s="3"/>
    </row>
    <row r="13" customFormat="false" ht="30" hidden="false" customHeight="true" outlineLevel="0" collapsed="false">
      <c r="A13" s="3" t="s">
        <v>10</v>
      </c>
      <c r="B13" s="3"/>
      <c r="C13" s="3"/>
      <c r="D13" s="3"/>
      <c r="E13" s="3"/>
      <c r="F13" s="3"/>
    </row>
    <row r="15" customFormat="false" ht="15" hidden="false" customHeight="false" outlineLevel="0" collapsed="false">
      <c r="A15" s="2" t="s">
        <v>11</v>
      </c>
    </row>
    <row r="16" customFormat="false" ht="30" hidden="false" customHeight="true" outlineLevel="0" collapsed="false">
      <c r="A16" s="3" t="s">
        <v>12</v>
      </c>
      <c r="B16" s="3"/>
      <c r="C16" s="3"/>
      <c r="D16" s="3"/>
      <c r="E16" s="3"/>
      <c r="F16" s="3"/>
    </row>
    <row r="17" customFormat="false" ht="45" hidden="false" customHeight="true" outlineLevel="0" collapsed="false">
      <c r="A17" s="3" t="s">
        <v>13</v>
      </c>
      <c r="B17" s="3"/>
      <c r="C17" s="3"/>
      <c r="D17" s="3"/>
      <c r="E17" s="3"/>
      <c r="F17" s="3"/>
    </row>
    <row r="18" customFormat="false" ht="45" hidden="false" customHeight="true" outlineLevel="0" collapsed="false">
      <c r="A18" s="3" t="s">
        <v>14</v>
      </c>
      <c r="B18" s="3"/>
      <c r="C18" s="3"/>
      <c r="D18" s="3"/>
      <c r="E18" s="3"/>
      <c r="F18" s="3"/>
    </row>
    <row r="19" customFormat="false" ht="45" hidden="false" customHeight="true" outlineLevel="0" collapsed="false">
      <c r="A19" s="3" t="s">
        <v>15</v>
      </c>
      <c r="B19" s="3"/>
      <c r="C19" s="3"/>
      <c r="D19" s="3"/>
      <c r="E19" s="3"/>
      <c r="F19" s="3"/>
    </row>
    <row r="21" customFormat="false" ht="15" hidden="false" customHeight="false" outlineLevel="0" collapsed="false">
      <c r="A21" s="2" t="s">
        <v>16</v>
      </c>
    </row>
    <row r="22" customFormat="false" ht="75" hidden="false" customHeight="true" outlineLevel="0" collapsed="false">
      <c r="A22" s="3" t="s">
        <v>17</v>
      </c>
      <c r="B22" s="3"/>
      <c r="C22" s="3"/>
      <c r="D22" s="3"/>
      <c r="E22" s="3"/>
      <c r="F22" s="3"/>
    </row>
    <row r="23" customFormat="false" ht="60" hidden="false" customHeight="true" outlineLevel="0" collapsed="false">
      <c r="A23" s="3" t="s">
        <v>18</v>
      </c>
      <c r="B23" s="3"/>
      <c r="C23" s="3"/>
      <c r="D23" s="3"/>
      <c r="E23" s="3"/>
      <c r="F23" s="3"/>
    </row>
    <row r="24" customFormat="false" ht="30" hidden="false" customHeight="true" outlineLevel="0" collapsed="false">
      <c r="A24" s="3" t="s">
        <v>19</v>
      </c>
      <c r="B24" s="3"/>
      <c r="C24" s="3"/>
      <c r="D24" s="3"/>
      <c r="E24" s="3"/>
      <c r="F24" s="3"/>
    </row>
    <row r="26" customFormat="false" ht="15" hidden="false" customHeight="false" outlineLevel="0" collapsed="false">
      <c r="A26" s="2" t="s">
        <v>20</v>
      </c>
    </row>
    <row r="27" customFormat="false" ht="45" hidden="false" customHeight="true" outlineLevel="0" collapsed="false">
      <c r="A27" s="3" t="s">
        <v>21</v>
      </c>
      <c r="B27" s="3"/>
      <c r="C27" s="3"/>
      <c r="D27" s="3"/>
      <c r="E27" s="3"/>
      <c r="F27" s="3"/>
    </row>
    <row r="28" customFormat="false" ht="30" hidden="false" customHeight="true" outlineLevel="0" collapsed="false">
      <c r="A28" s="3" t="s">
        <v>22</v>
      </c>
      <c r="B28" s="3"/>
      <c r="C28" s="3"/>
      <c r="D28" s="3"/>
      <c r="E28" s="3"/>
      <c r="F28" s="3"/>
    </row>
    <row r="30" customFormat="false" ht="15" hidden="false" customHeight="false" outlineLevel="0" collapsed="false">
      <c r="A30" s="2" t="s">
        <v>23</v>
      </c>
    </row>
    <row r="31" customFormat="false" ht="15" hidden="false" customHeight="true" outlineLevel="0" collapsed="false">
      <c r="A31" s="3" t="s">
        <v>24</v>
      </c>
      <c r="B31" s="3"/>
      <c r="C31" s="3"/>
      <c r="D31" s="3"/>
      <c r="E31" s="3"/>
      <c r="F31" s="3"/>
    </row>
    <row r="32" customFormat="false" ht="15" hidden="false" customHeight="true" outlineLevel="0" collapsed="false">
      <c r="A32" s="3" t="s">
        <v>25</v>
      </c>
      <c r="B32" s="3"/>
      <c r="C32" s="3"/>
      <c r="D32" s="3"/>
      <c r="E32" s="3"/>
      <c r="F32" s="3"/>
    </row>
    <row r="33" customFormat="false" ht="30" hidden="false" customHeight="true" outlineLevel="0" collapsed="false">
      <c r="A33" s="3" t="s">
        <v>26</v>
      </c>
      <c r="B33" s="3"/>
      <c r="C33" s="3"/>
      <c r="D33" s="3"/>
      <c r="E33" s="3"/>
      <c r="F33" s="3"/>
    </row>
    <row r="34" customFormat="false" ht="15" hidden="false" customHeight="true" outlineLevel="0" collapsed="false">
      <c r="A34" s="3" t="s">
        <v>27</v>
      </c>
      <c r="B34" s="3"/>
      <c r="C34" s="3"/>
      <c r="D34" s="3"/>
      <c r="E34" s="3"/>
      <c r="F34" s="3"/>
    </row>
    <row r="36" customFormat="false" ht="15" hidden="false" customHeight="false" outlineLevel="0" collapsed="false">
      <c r="A36" s="2" t="s">
        <v>28</v>
      </c>
    </row>
    <row r="37" customFormat="false" ht="30" hidden="false" customHeight="true" outlineLevel="0" collapsed="false">
      <c r="A37" s="3" t="s">
        <v>29</v>
      </c>
      <c r="B37" s="3"/>
      <c r="C37" s="3"/>
      <c r="D37" s="3"/>
      <c r="E37" s="3"/>
      <c r="F37" s="3"/>
    </row>
    <row r="38" customFormat="false" ht="30" hidden="false" customHeight="true" outlineLevel="0" collapsed="false">
      <c r="A38" s="3" t="s">
        <v>30</v>
      </c>
      <c r="B38" s="3"/>
      <c r="C38" s="3"/>
      <c r="D38" s="3"/>
      <c r="E38" s="3"/>
      <c r="F38" s="3"/>
    </row>
    <row r="40" customFormat="false" ht="15" hidden="false" customHeight="false" outlineLevel="0" collapsed="false">
      <c r="A40" s="2" t="s">
        <v>31</v>
      </c>
    </row>
    <row r="42" customFormat="false" ht="30" hidden="false" customHeight="true" outlineLevel="0" collapsed="false">
      <c r="A42" s="4" t="s">
        <v>32</v>
      </c>
      <c r="B42" s="4" t="s">
        <v>33</v>
      </c>
      <c r="C42" s="4" t="s">
        <v>34</v>
      </c>
      <c r="D42" s="4" t="s">
        <v>35</v>
      </c>
      <c r="E42" s="4" t="s">
        <v>36</v>
      </c>
      <c r="F42" s="4" t="s">
        <v>37</v>
      </c>
      <c r="G42" s="4" t="s">
        <v>38</v>
      </c>
      <c r="H42" s="4" t="s">
        <v>39</v>
      </c>
      <c r="I42" s="4" t="s">
        <v>40</v>
      </c>
      <c r="J42" s="4" t="s">
        <v>41</v>
      </c>
      <c r="K42" s="4" t="s">
        <v>42</v>
      </c>
      <c r="L42" s="4" t="s">
        <v>43</v>
      </c>
      <c r="M42" s="4" t="s">
        <v>44</v>
      </c>
      <c r="N42" s="4" t="s">
        <v>45</v>
      </c>
    </row>
    <row r="43" customFormat="false" ht="22.35" hidden="false" customHeight="false" outlineLevel="0" collapsed="false">
      <c r="A43" s="5" t="s">
        <v>46</v>
      </c>
      <c r="B43" s="5" t="s">
        <v>47</v>
      </c>
      <c r="C43" s="5" t="s">
        <v>48</v>
      </c>
      <c r="D43" s="5" t="s">
        <v>49</v>
      </c>
      <c r="E43" s="5" t="s">
        <v>50</v>
      </c>
      <c r="F43" s="5" t="s">
        <v>51</v>
      </c>
      <c r="G43" s="5" t="n">
        <v>1</v>
      </c>
      <c r="H43" s="5" t="s">
        <v>52</v>
      </c>
      <c r="I43" s="5" t="s">
        <v>53</v>
      </c>
      <c r="J43" s="5" t="s">
        <v>54</v>
      </c>
      <c r="K43" s="5" t="s">
        <v>55</v>
      </c>
      <c r="L43" s="5" t="n">
        <v>12</v>
      </c>
      <c r="M43" s="5" t="n">
        <v>8</v>
      </c>
      <c r="N43" s="5" t="s">
        <v>56</v>
      </c>
    </row>
    <row r="45" customFormat="false" ht="15" hidden="false" customHeight="true" outlineLevel="0" collapsed="false">
      <c r="A45" s="6" t="s">
        <v>57</v>
      </c>
      <c r="B45" s="6"/>
      <c r="C45" s="6"/>
      <c r="D45" s="6"/>
      <c r="E45" s="6"/>
      <c r="F45" s="6"/>
      <c r="G45" s="6"/>
      <c r="H45" s="6"/>
      <c r="I45" s="6"/>
      <c r="J45" s="6"/>
      <c r="K45" s="6"/>
      <c r="L45" s="6"/>
      <c r="M45" s="6"/>
      <c r="N45" s="6"/>
    </row>
    <row r="46" customFormat="false" ht="15" hidden="false" customHeight="false" outlineLevel="0" collapsed="false">
      <c r="A46" s="6"/>
      <c r="B46" s="6"/>
      <c r="C46" s="6"/>
      <c r="D46" s="6"/>
      <c r="E46" s="6"/>
      <c r="F46" s="6"/>
      <c r="G46" s="6"/>
      <c r="H46" s="6"/>
      <c r="I46" s="6"/>
      <c r="J46" s="6"/>
      <c r="K46" s="6"/>
      <c r="L46" s="6"/>
      <c r="M46" s="6"/>
      <c r="N46" s="6"/>
    </row>
    <row r="47" customFormat="false" ht="15" hidden="false" customHeight="false" outlineLevel="0" collapsed="false">
      <c r="A47" s="6"/>
      <c r="B47" s="6"/>
      <c r="C47" s="6"/>
      <c r="D47" s="6"/>
      <c r="E47" s="6"/>
      <c r="F47" s="6"/>
      <c r="G47" s="6"/>
      <c r="H47" s="6"/>
      <c r="I47" s="6"/>
      <c r="J47" s="6"/>
      <c r="K47" s="6"/>
      <c r="L47" s="6"/>
      <c r="M47" s="6"/>
      <c r="N47" s="6"/>
    </row>
  </sheetData>
  <mergeCells count="24">
    <mergeCell ref="A4:F4"/>
    <mergeCell ref="A5:F5"/>
    <mergeCell ref="A8:F8"/>
    <mergeCell ref="A9:F9"/>
    <mergeCell ref="A10:F10"/>
    <mergeCell ref="A11:F11"/>
    <mergeCell ref="A12:F12"/>
    <mergeCell ref="A13:F13"/>
    <mergeCell ref="A16:F16"/>
    <mergeCell ref="A17:F17"/>
    <mergeCell ref="A18:F18"/>
    <mergeCell ref="A19:F19"/>
    <mergeCell ref="A22:F22"/>
    <mergeCell ref="A23:F23"/>
    <mergeCell ref="A24:F24"/>
    <mergeCell ref="A27:F27"/>
    <mergeCell ref="A28:F28"/>
    <mergeCell ref="A31:F31"/>
    <mergeCell ref="A32:F32"/>
    <mergeCell ref="A33:F33"/>
    <mergeCell ref="A34:F34"/>
    <mergeCell ref="A37:F37"/>
    <mergeCell ref="A38:F38"/>
    <mergeCell ref="A45:N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22"/>
    <col collapsed="false" customWidth="true" hidden="false" outlineLevel="0" max="4" min="4" style="0" width="17"/>
    <col collapsed="false" customWidth="true" hidden="false" outlineLevel="0" max="5" min="5" style="0" width="52"/>
    <col collapsed="false" customWidth="true" hidden="false" outlineLevel="0" max="6" min="6" style="0" width="8"/>
    <col collapsed="false" customWidth="true" hidden="false" outlineLevel="0" max="7" min="7" style="0" width="22"/>
    <col collapsed="false" customWidth="true" hidden="false" outlineLevel="0" max="8" min="8" style="0" width="10"/>
    <col collapsed="false" customWidth="true" hidden="false" outlineLevel="0" max="9" min="9" style="0" width="20"/>
    <col collapsed="false" customWidth="true" hidden="false" outlineLevel="0" max="10" min="10" style="0" width="15"/>
    <col collapsed="false" customWidth="true" hidden="false" outlineLevel="0" max="11" min="11" style="0" width="12"/>
    <col collapsed="false" customWidth="true" hidden="false" outlineLevel="0" max="12" min="12" style="0" width="10"/>
    <col collapsed="false" customWidth="true" hidden="false" outlineLevel="0" max="13" min="13" style="0" width="9"/>
    <col collapsed="false" customWidth="true" hidden="false" outlineLevel="0" max="14" min="14" style="0" width="13"/>
    <col collapsed="false" customWidth="true" hidden="false" outlineLevel="0" max="15" min="15" style="0" width="11"/>
    <col collapsed="false" customWidth="true" hidden="false" outlineLevel="0" max="16" min="16" style="0" width="34"/>
    <col collapsed="false" customWidth="true" hidden="false" outlineLevel="0" max="17" min="17" style="0" width="10"/>
    <col collapsed="false" customWidth="true" hidden="false" outlineLevel="0" max="19" min="18" style="0" width="22"/>
    <col collapsed="false" customWidth="true" hidden="false" outlineLevel="0" max="22" min="20" style="0" width="20"/>
    <col collapsed="false" customWidth="true" hidden="false" outlineLevel="0" max="23" min="23" style="0" width="32"/>
    <col collapsed="false" customWidth="true" hidden="false" outlineLevel="0" max="24" min="24" style="0" width="9"/>
    <col collapsed="false" customWidth="true" hidden="false" outlineLevel="0" max="25" min="25" style="0" width="24"/>
    <col collapsed="false" customWidth="true" hidden="false" outlineLevel="0" max="26" min="26" style="0" width="12"/>
    <col collapsed="false" customWidth="true" hidden="false" outlineLevel="0" max="27" min="27" style="0" width="18"/>
    <col collapsed="false" customWidth="true" hidden="false" outlineLevel="0" max="28" min="28" style="0" width="9"/>
    <col collapsed="false" customWidth="true" hidden="false" outlineLevel="0" max="29" min="29" style="0" width="17"/>
    <col collapsed="false" customWidth="true" hidden="false" outlineLevel="0" max="30" min="30" style="0" width="8"/>
    <col collapsed="false" customWidth="true" hidden="false" outlineLevel="0" max="31" min="31" style="0" width="20"/>
    <col collapsed="false" customWidth="true" hidden="false" outlineLevel="0" max="32" min="32" style="0" width="24"/>
    <col collapsed="false" customWidth="true" hidden="false" outlineLevel="0" max="33" min="33" style="0" width="22"/>
    <col collapsed="false" customWidth="true" hidden="false" outlineLevel="0" max="34" min="34" style="0" width="9"/>
    <col collapsed="false" customWidth="true" hidden="false" outlineLevel="0" max="35" min="35" style="0" width="15"/>
    <col collapsed="false" customWidth="true" hidden="false" outlineLevel="0" max="37" min="36" style="0" width="11"/>
    <col collapsed="false" customWidth="true" hidden="false" outlineLevel="0" max="38" min="38" style="0" width="20"/>
    <col collapsed="false" customWidth="true" hidden="false" outlineLevel="0" max="39" min="39" style="0" width="14"/>
    <col collapsed="false" customWidth="true" hidden="false" outlineLevel="0" max="40" min="40" style="0" width="30"/>
    <col collapsed="false" customWidth="true" hidden="false" outlineLevel="0" max="41" min="41" style="0" width="20"/>
    <col collapsed="false" customWidth="true" hidden="false" outlineLevel="0" max="42" min="42" style="0" width="22"/>
    <col collapsed="false" customWidth="true" hidden="false" outlineLevel="0" max="43" min="43" style="0" width="30"/>
  </cols>
  <sheetData>
    <row r="1" customFormat="false" ht="17.35" hidden="false" customHeight="false" outlineLevel="0" collapsed="false">
      <c r="A1" s="1" t="s">
        <v>58</v>
      </c>
    </row>
    <row r="2" customFormat="false" ht="15" hidden="false" customHeight="false" outlineLevel="0" collapsed="false">
      <c r="A2" s="7" t="s">
        <v>59</v>
      </c>
    </row>
    <row r="3" customFormat="false" ht="15" hidden="false" customHeight="false" outlineLevel="0" collapsed="false">
      <c r="A3" s="7" t="s">
        <v>60</v>
      </c>
    </row>
    <row r="4" customFormat="false" ht="43.5" hidden="false" customHeight="true" outlineLevel="0" collapsed="false">
      <c r="A4" s="8" t="s">
        <v>32</v>
      </c>
      <c r="B4" s="8" t="s">
        <v>61</v>
      </c>
      <c r="C4" s="8" t="s">
        <v>62</v>
      </c>
      <c r="D4" s="8" t="s">
        <v>63</v>
      </c>
      <c r="E4" s="8" t="s">
        <v>64</v>
      </c>
      <c r="F4" s="8" t="s">
        <v>65</v>
      </c>
      <c r="G4" s="8" t="s">
        <v>66</v>
      </c>
      <c r="H4" s="8" t="s">
        <v>67</v>
      </c>
      <c r="I4" s="8" t="s">
        <v>68</v>
      </c>
      <c r="J4" s="8" t="s">
        <v>69</v>
      </c>
      <c r="K4" s="8" t="s">
        <v>70</v>
      </c>
      <c r="L4" s="8" t="s">
        <v>71</v>
      </c>
      <c r="M4" s="8" t="s">
        <v>72</v>
      </c>
      <c r="N4" s="8" t="s">
        <v>73</v>
      </c>
      <c r="O4" s="8" t="s">
        <v>74</v>
      </c>
      <c r="P4" s="8" t="s">
        <v>75</v>
      </c>
      <c r="Q4" s="8" t="s">
        <v>76</v>
      </c>
      <c r="R4" s="8" t="s">
        <v>77</v>
      </c>
      <c r="S4" s="8" t="s">
        <v>78</v>
      </c>
      <c r="T4" s="8" t="s">
        <v>79</v>
      </c>
      <c r="U4" s="8" t="s">
        <v>80</v>
      </c>
      <c r="V4" s="8" t="s">
        <v>81</v>
      </c>
      <c r="W4" s="8" t="s">
        <v>82</v>
      </c>
      <c r="X4" s="8" t="s">
        <v>83</v>
      </c>
      <c r="Y4" s="8" t="s">
        <v>84</v>
      </c>
      <c r="Z4" s="8" t="s">
        <v>85</v>
      </c>
      <c r="AA4" s="8" t="s">
        <v>41</v>
      </c>
      <c r="AB4" s="8" t="s">
        <v>86</v>
      </c>
      <c r="AC4" s="8" t="s">
        <v>42</v>
      </c>
      <c r="AD4" s="8" t="s">
        <v>87</v>
      </c>
      <c r="AE4" s="8" t="s">
        <v>88</v>
      </c>
      <c r="AF4" s="8" t="s">
        <v>89</v>
      </c>
      <c r="AG4" s="8" t="s">
        <v>90</v>
      </c>
      <c r="AH4" s="8" t="s">
        <v>91</v>
      </c>
      <c r="AI4" s="8" t="s">
        <v>92</v>
      </c>
      <c r="AJ4" s="8" t="s">
        <v>93</v>
      </c>
      <c r="AK4" s="8" t="s">
        <v>94</v>
      </c>
      <c r="AL4" s="8" t="s">
        <v>45</v>
      </c>
      <c r="AM4" s="8" t="s">
        <v>95</v>
      </c>
      <c r="AN4" s="8" t="s">
        <v>96</v>
      </c>
      <c r="AO4" s="8" t="s">
        <v>97</v>
      </c>
      <c r="AP4" s="8" t="s">
        <v>98</v>
      </c>
      <c r="AQ4" s="8" t="s">
        <v>99</v>
      </c>
    </row>
    <row r="5" customFormat="false" ht="22.35" hidden="false" customHeight="false" outlineLevel="0" collapsed="false">
      <c r="A5" s="9" t="s">
        <v>100</v>
      </c>
      <c r="B5" s="9" t="s">
        <v>101</v>
      </c>
      <c r="C5" s="9" t="s">
        <v>102</v>
      </c>
      <c r="D5" s="9" t="s">
        <v>103</v>
      </c>
      <c r="E5" s="9" t="s">
        <v>104</v>
      </c>
      <c r="F5" s="9" t="s">
        <v>105</v>
      </c>
      <c r="G5" s="9" t="s">
        <v>106</v>
      </c>
      <c r="H5" s="9" t="s">
        <v>107</v>
      </c>
      <c r="I5" s="9" t="s">
        <v>108</v>
      </c>
      <c r="J5" s="9" t="s">
        <v>109</v>
      </c>
      <c r="K5" s="9" t="s">
        <v>110</v>
      </c>
      <c r="L5" s="9" t="s">
        <v>111</v>
      </c>
      <c r="M5" s="9" t="s">
        <v>112</v>
      </c>
      <c r="N5" s="9" t="s">
        <v>113</v>
      </c>
      <c r="O5" s="9" t="s">
        <v>114</v>
      </c>
      <c r="P5" s="9" t="s">
        <v>115</v>
      </c>
      <c r="Q5" s="9" t="s">
        <v>116</v>
      </c>
      <c r="R5" s="9" t="s">
        <v>117</v>
      </c>
      <c r="S5" s="10"/>
      <c r="T5" s="10"/>
      <c r="U5" s="10"/>
      <c r="V5" s="10"/>
      <c r="W5" s="11"/>
      <c r="X5" s="11"/>
      <c r="Y5" s="11"/>
      <c r="Z5" s="11"/>
      <c r="AA5" s="12" t="str">
        <f aca="false">IF(X5="","",IF(X5=0,"Unassigned",IF(X5=1,"Single point",IF(Z5="Yes","Staffed and credentialed","Staffed, credential gap"))))</f>
        <v/>
      </c>
      <c r="AB5" s="12" t="str">
        <f aca="false">IFERROR(INDEX(Lists!$H$3:$H$6,MATCH(AA5,Lists!$G$3:$G$6,0)),"")</f>
        <v/>
      </c>
      <c r="AC5" s="10"/>
      <c r="AD5" s="12" t="str">
        <f aca="false">IFERROR(INDEX(Lists!$B$3:$B$7,MATCH(AC5,Lists!$A$3:$A$7,0)),"")</f>
        <v/>
      </c>
      <c r="AE5" s="10"/>
      <c r="AF5" s="10"/>
      <c r="AG5" s="10"/>
      <c r="AH5" s="10"/>
      <c r="AI5" s="10"/>
      <c r="AJ5" s="10"/>
      <c r="AK5" s="13" t="str">
        <f aca="false">IF(OR(AH5="",AH5=0),"",AJ5/AH5)</f>
        <v/>
      </c>
      <c r="AL5" s="10"/>
      <c r="AM5" s="10"/>
      <c r="AN5" s="12" t="str">
        <f aca="false">IF(AL5="","Not assessed",IF(AND(Q5="No",AL5="Gap - recommend tailoring"),"INVALID: floor item is not tailorable",IF(OR(X5="",X5=0),"NO NAMED EXECUTOR",IF(AND(N(AD5)&gt;=3,AH5=""),"Operating claimed with no sample",IF(AND(N(AD5)&gt;=3,X5=1),"Operating rests on one individual",IF(AND(N(AD5)&gt;=3,Z5&lt;&gt;"Yes"),"Operating claimed below designed credential",IF(AND(Q5="No",N(AD5)&lt;3),"FLOOR GATE: below Operating",IF(AND(N(AD5)&gt;=3,AH5&lt;&gt;"",AJ5=""),"Sample size with no conforming count","OK"))))))))</f>
        <v>Not assessed</v>
      </c>
      <c r="AO5" s="10"/>
      <c r="AP5" s="10"/>
      <c r="AQ5" s="10"/>
    </row>
    <row r="6" customFormat="false" ht="22.35" hidden="false" customHeight="false" outlineLevel="0" collapsed="false">
      <c r="A6" s="9" t="s">
        <v>118</v>
      </c>
      <c r="B6" s="9" t="s">
        <v>101</v>
      </c>
      <c r="C6" s="9" t="s">
        <v>119</v>
      </c>
      <c r="D6" s="9" t="s">
        <v>120</v>
      </c>
      <c r="E6" s="9" t="s">
        <v>121</v>
      </c>
      <c r="F6" s="9" t="s">
        <v>122</v>
      </c>
      <c r="G6" s="9" t="s">
        <v>106</v>
      </c>
      <c r="H6" s="9" t="s">
        <v>123</v>
      </c>
      <c r="I6" s="9" t="s">
        <v>124</v>
      </c>
      <c r="J6" s="9" t="s">
        <v>109</v>
      </c>
      <c r="K6" s="9" t="s">
        <v>110</v>
      </c>
      <c r="L6" s="9" t="s">
        <v>111</v>
      </c>
      <c r="M6" s="9" t="s">
        <v>112</v>
      </c>
      <c r="N6" s="9" t="s">
        <v>113</v>
      </c>
      <c r="O6" s="9" t="s">
        <v>114</v>
      </c>
      <c r="P6" s="9" t="s">
        <v>115</v>
      </c>
      <c r="Q6" s="9" t="s">
        <v>116</v>
      </c>
      <c r="R6" s="9"/>
      <c r="S6" s="10"/>
      <c r="T6" s="10"/>
      <c r="U6" s="10"/>
      <c r="V6" s="10"/>
      <c r="W6" s="11"/>
      <c r="X6" s="11"/>
      <c r="Y6" s="11"/>
      <c r="Z6" s="11"/>
      <c r="AA6" s="12" t="str">
        <f aca="false">IF(X6="","",IF(X6=0,"Unassigned",IF(X6=1,"Single point",IF(Z6="Yes","Staffed and credentialed","Staffed, credential gap"))))</f>
        <v/>
      </c>
      <c r="AB6" s="12" t="str">
        <f aca="false">IFERROR(INDEX(Lists!$H$3:$H$6,MATCH(AA6,Lists!$G$3:$G$6,0)),"")</f>
        <v/>
      </c>
      <c r="AC6" s="10"/>
      <c r="AD6" s="12" t="str">
        <f aca="false">IFERROR(INDEX(Lists!$B$3:$B$7,MATCH(AC6,Lists!$A$3:$A$7,0)),"")</f>
        <v/>
      </c>
      <c r="AE6" s="10"/>
      <c r="AF6" s="10"/>
      <c r="AG6" s="10"/>
      <c r="AH6" s="10"/>
      <c r="AI6" s="10"/>
      <c r="AJ6" s="10"/>
      <c r="AK6" s="13" t="str">
        <f aca="false">IF(OR(AH6="",AH6=0),"",AJ6/AH6)</f>
        <v/>
      </c>
      <c r="AL6" s="10"/>
      <c r="AM6" s="10"/>
      <c r="AN6" s="12" t="str">
        <f aca="false">IF(AL6="","Not assessed",IF(AND(Q6="No",AL6="Gap - recommend tailoring"),"INVALID: floor item is not tailorable",IF(OR(X6="",X6=0),"NO NAMED EXECUTOR",IF(AND(N(AD6)&gt;=3,AH6=""),"Operating claimed with no sample",IF(AND(N(AD6)&gt;=3,X6=1),"Operating rests on one individual",IF(AND(N(AD6)&gt;=3,Z6&lt;&gt;"Yes"),"Operating claimed below designed credential",IF(AND(Q6="No",N(AD6)&lt;3),"FLOOR GATE: below Operating",IF(AND(N(AD6)&gt;=3,AH6&lt;&gt;"",AJ6=""),"Sample size with no conforming count","OK"))))))))</f>
        <v>Not assessed</v>
      </c>
      <c r="AO6" s="10"/>
      <c r="AP6" s="10"/>
      <c r="AQ6" s="10"/>
    </row>
    <row r="7" customFormat="false" ht="22.35" hidden="false" customHeight="false" outlineLevel="0" collapsed="false">
      <c r="A7" s="9" t="s">
        <v>125</v>
      </c>
      <c r="B7" s="9" t="s">
        <v>101</v>
      </c>
      <c r="C7" s="9" t="s">
        <v>119</v>
      </c>
      <c r="D7" s="9" t="s">
        <v>126</v>
      </c>
      <c r="E7" s="9" t="s">
        <v>127</v>
      </c>
      <c r="F7" s="9" t="s">
        <v>128</v>
      </c>
      <c r="G7" s="9" t="s">
        <v>106</v>
      </c>
      <c r="H7" s="9" t="s">
        <v>123</v>
      </c>
      <c r="I7" s="9" t="s">
        <v>124</v>
      </c>
      <c r="J7" s="9" t="s">
        <v>109</v>
      </c>
      <c r="K7" s="9" t="s">
        <v>110</v>
      </c>
      <c r="L7" s="9" t="s">
        <v>111</v>
      </c>
      <c r="M7" s="9" t="s">
        <v>112</v>
      </c>
      <c r="N7" s="9" t="s">
        <v>113</v>
      </c>
      <c r="O7" s="9" t="s">
        <v>114</v>
      </c>
      <c r="P7" s="9" t="s">
        <v>115</v>
      </c>
      <c r="Q7" s="9" t="s">
        <v>116</v>
      </c>
      <c r="R7" s="9"/>
      <c r="S7" s="10"/>
      <c r="T7" s="10"/>
      <c r="U7" s="10"/>
      <c r="V7" s="10"/>
      <c r="W7" s="11"/>
      <c r="X7" s="11"/>
      <c r="Y7" s="11"/>
      <c r="Z7" s="11"/>
      <c r="AA7" s="12" t="str">
        <f aca="false">IF(X7="","",IF(X7=0,"Unassigned",IF(X7=1,"Single point",IF(Z7="Yes","Staffed and credentialed","Staffed, credential gap"))))</f>
        <v/>
      </c>
      <c r="AB7" s="12" t="str">
        <f aca="false">IFERROR(INDEX(Lists!$H$3:$H$6,MATCH(AA7,Lists!$G$3:$G$6,0)),"")</f>
        <v/>
      </c>
      <c r="AC7" s="10"/>
      <c r="AD7" s="12" t="str">
        <f aca="false">IFERROR(INDEX(Lists!$B$3:$B$7,MATCH(AC7,Lists!$A$3:$A$7,0)),"")</f>
        <v/>
      </c>
      <c r="AE7" s="10"/>
      <c r="AF7" s="10"/>
      <c r="AG7" s="10"/>
      <c r="AH7" s="10"/>
      <c r="AI7" s="10"/>
      <c r="AJ7" s="10"/>
      <c r="AK7" s="13" t="str">
        <f aca="false">IF(OR(AH7="",AH7=0),"",AJ7/AH7)</f>
        <v/>
      </c>
      <c r="AL7" s="10"/>
      <c r="AM7" s="10"/>
      <c r="AN7" s="12" t="str">
        <f aca="false">IF(AL7="","Not assessed",IF(AND(Q7="No",AL7="Gap - recommend tailoring"),"INVALID: floor item is not tailorable",IF(OR(X7="",X7=0),"NO NAMED EXECUTOR",IF(AND(N(AD7)&gt;=3,AH7=""),"Operating claimed with no sample",IF(AND(N(AD7)&gt;=3,X7=1),"Operating rests on one individual",IF(AND(N(AD7)&gt;=3,Z7&lt;&gt;"Yes"),"Operating claimed below designed credential",IF(AND(Q7="No",N(AD7)&lt;3),"FLOOR GATE: below Operating",IF(AND(N(AD7)&gt;=3,AH7&lt;&gt;"",AJ7=""),"Sample size with no conforming count","OK"))))))))</f>
        <v>Not assessed</v>
      </c>
      <c r="AO7" s="10"/>
      <c r="AP7" s="10"/>
      <c r="AQ7" s="10"/>
    </row>
    <row r="8" customFormat="false" ht="22.35" hidden="false" customHeight="false" outlineLevel="0" collapsed="false">
      <c r="A8" s="9" t="s">
        <v>129</v>
      </c>
      <c r="B8" s="9" t="s">
        <v>101</v>
      </c>
      <c r="C8" s="9" t="s">
        <v>119</v>
      </c>
      <c r="D8" s="9" t="s">
        <v>130</v>
      </c>
      <c r="E8" s="9" t="s">
        <v>131</v>
      </c>
      <c r="F8" s="9" t="s">
        <v>132</v>
      </c>
      <c r="G8" s="9" t="s">
        <v>106</v>
      </c>
      <c r="H8" s="9" t="s">
        <v>123</v>
      </c>
      <c r="I8" s="9" t="s">
        <v>124</v>
      </c>
      <c r="J8" s="9" t="s">
        <v>109</v>
      </c>
      <c r="K8" s="9" t="s">
        <v>133</v>
      </c>
      <c r="L8" s="9" t="s">
        <v>111</v>
      </c>
      <c r="M8" s="9" t="s">
        <v>112</v>
      </c>
      <c r="N8" s="9" t="s">
        <v>113</v>
      </c>
      <c r="O8" s="9" t="s">
        <v>134</v>
      </c>
      <c r="P8" s="9" t="s">
        <v>115</v>
      </c>
      <c r="Q8" s="9" t="s">
        <v>116</v>
      </c>
      <c r="R8" s="9"/>
      <c r="S8" s="10"/>
      <c r="T8" s="10"/>
      <c r="U8" s="10"/>
      <c r="V8" s="10"/>
      <c r="W8" s="11"/>
      <c r="X8" s="11"/>
      <c r="Y8" s="11"/>
      <c r="Z8" s="11"/>
      <c r="AA8" s="12" t="str">
        <f aca="false">IF(X8="","",IF(X8=0,"Unassigned",IF(X8=1,"Single point",IF(Z8="Yes","Staffed and credentialed","Staffed, credential gap"))))</f>
        <v/>
      </c>
      <c r="AB8" s="12" t="str">
        <f aca="false">IFERROR(INDEX(Lists!$H$3:$H$6,MATCH(AA8,Lists!$G$3:$G$6,0)),"")</f>
        <v/>
      </c>
      <c r="AC8" s="10"/>
      <c r="AD8" s="12" t="str">
        <f aca="false">IFERROR(INDEX(Lists!$B$3:$B$7,MATCH(AC8,Lists!$A$3:$A$7,0)),"")</f>
        <v/>
      </c>
      <c r="AE8" s="10"/>
      <c r="AF8" s="10"/>
      <c r="AG8" s="10"/>
      <c r="AH8" s="10"/>
      <c r="AI8" s="10"/>
      <c r="AJ8" s="10"/>
      <c r="AK8" s="13" t="str">
        <f aca="false">IF(OR(AH8="",AH8=0),"",AJ8/AH8)</f>
        <v/>
      </c>
      <c r="AL8" s="10"/>
      <c r="AM8" s="10"/>
      <c r="AN8" s="12" t="str">
        <f aca="false">IF(AL8="","Not assessed",IF(AND(Q8="No",AL8="Gap - recommend tailoring"),"INVALID: floor item is not tailorable",IF(OR(X8="",X8=0),"NO NAMED EXECUTOR",IF(AND(N(AD8)&gt;=3,AH8=""),"Operating claimed with no sample",IF(AND(N(AD8)&gt;=3,X8=1),"Operating rests on one individual",IF(AND(N(AD8)&gt;=3,Z8&lt;&gt;"Yes"),"Operating claimed below designed credential",IF(AND(Q8="No",N(AD8)&lt;3),"FLOOR GATE: below Operating",IF(AND(N(AD8)&gt;=3,AH8&lt;&gt;"",AJ8=""),"Sample size with no conforming count","OK"))))))))</f>
        <v>Not assessed</v>
      </c>
      <c r="AO8" s="10"/>
      <c r="AP8" s="10"/>
      <c r="AQ8" s="10"/>
    </row>
    <row r="9" customFormat="false" ht="22.35" hidden="false" customHeight="false" outlineLevel="0" collapsed="false">
      <c r="A9" s="9" t="s">
        <v>135</v>
      </c>
      <c r="B9" s="9" t="s">
        <v>101</v>
      </c>
      <c r="C9" s="9" t="s">
        <v>119</v>
      </c>
      <c r="D9" s="9" t="s">
        <v>136</v>
      </c>
      <c r="E9" s="9" t="s">
        <v>137</v>
      </c>
      <c r="F9" s="9" t="s">
        <v>138</v>
      </c>
      <c r="G9" s="9" t="s">
        <v>106</v>
      </c>
      <c r="H9" s="9" t="s">
        <v>123</v>
      </c>
      <c r="I9" s="9" t="s">
        <v>124</v>
      </c>
      <c r="J9" s="9" t="s">
        <v>109</v>
      </c>
      <c r="K9" s="9" t="s">
        <v>133</v>
      </c>
      <c r="L9" s="9" t="s">
        <v>111</v>
      </c>
      <c r="M9" s="9" t="s">
        <v>112</v>
      </c>
      <c r="N9" s="9" t="s">
        <v>113</v>
      </c>
      <c r="O9" s="9" t="s">
        <v>134</v>
      </c>
      <c r="P9" s="9" t="s">
        <v>115</v>
      </c>
      <c r="Q9" s="9" t="s">
        <v>116</v>
      </c>
      <c r="R9" s="9"/>
      <c r="S9" s="10"/>
      <c r="T9" s="10"/>
      <c r="U9" s="10"/>
      <c r="V9" s="10"/>
      <c r="W9" s="11"/>
      <c r="X9" s="11"/>
      <c r="Y9" s="11"/>
      <c r="Z9" s="11"/>
      <c r="AA9" s="12" t="str">
        <f aca="false">IF(X9="","",IF(X9=0,"Unassigned",IF(X9=1,"Single point",IF(Z9="Yes","Staffed and credentialed","Staffed, credential gap"))))</f>
        <v/>
      </c>
      <c r="AB9" s="12" t="str">
        <f aca="false">IFERROR(INDEX(Lists!$H$3:$H$6,MATCH(AA9,Lists!$G$3:$G$6,0)),"")</f>
        <v/>
      </c>
      <c r="AC9" s="10"/>
      <c r="AD9" s="12" t="str">
        <f aca="false">IFERROR(INDEX(Lists!$B$3:$B$7,MATCH(AC9,Lists!$A$3:$A$7,0)),"")</f>
        <v/>
      </c>
      <c r="AE9" s="10"/>
      <c r="AF9" s="10"/>
      <c r="AG9" s="10"/>
      <c r="AH9" s="10"/>
      <c r="AI9" s="10"/>
      <c r="AJ9" s="10"/>
      <c r="AK9" s="13" t="str">
        <f aca="false">IF(OR(AH9="",AH9=0),"",AJ9/AH9)</f>
        <v/>
      </c>
      <c r="AL9" s="10"/>
      <c r="AM9" s="10"/>
      <c r="AN9" s="12" t="str">
        <f aca="false">IF(AL9="","Not assessed",IF(AND(Q9="No",AL9="Gap - recommend tailoring"),"INVALID: floor item is not tailorable",IF(OR(X9="",X9=0),"NO NAMED EXECUTOR",IF(AND(N(AD9)&gt;=3,AH9=""),"Operating claimed with no sample",IF(AND(N(AD9)&gt;=3,X9=1),"Operating rests on one individual",IF(AND(N(AD9)&gt;=3,Z9&lt;&gt;"Yes"),"Operating claimed below designed credential",IF(AND(Q9="No",N(AD9)&lt;3),"FLOOR GATE: below Operating",IF(AND(N(AD9)&gt;=3,AH9&lt;&gt;"",AJ9=""),"Sample size with no conforming count","OK"))))))))</f>
        <v>Not assessed</v>
      </c>
      <c r="AO9" s="10"/>
      <c r="AP9" s="10"/>
      <c r="AQ9" s="10"/>
    </row>
    <row r="10" customFormat="false" ht="22.35" hidden="false" customHeight="false" outlineLevel="0" collapsed="false">
      <c r="A10" s="9" t="s">
        <v>139</v>
      </c>
      <c r="B10" s="9" t="s">
        <v>101</v>
      </c>
      <c r="C10" s="9" t="s">
        <v>119</v>
      </c>
      <c r="D10" s="9" t="s">
        <v>140</v>
      </c>
      <c r="E10" s="9" t="s">
        <v>141</v>
      </c>
      <c r="F10" s="9" t="s">
        <v>142</v>
      </c>
      <c r="G10" s="9" t="s">
        <v>143</v>
      </c>
      <c r="H10" s="9" t="s">
        <v>144</v>
      </c>
      <c r="I10" s="9" t="s">
        <v>145</v>
      </c>
      <c r="J10" s="9" t="s">
        <v>109</v>
      </c>
      <c r="K10" s="9" t="s">
        <v>110</v>
      </c>
      <c r="L10" s="9" t="s">
        <v>111</v>
      </c>
      <c r="M10" s="9" t="s">
        <v>112</v>
      </c>
      <c r="N10" s="9" t="s">
        <v>113</v>
      </c>
      <c r="O10" s="9" t="s">
        <v>114</v>
      </c>
      <c r="P10" s="9" t="s">
        <v>115</v>
      </c>
      <c r="Q10" s="9" t="s">
        <v>116</v>
      </c>
      <c r="R10" s="9"/>
      <c r="S10" s="10"/>
      <c r="T10" s="10"/>
      <c r="U10" s="10"/>
      <c r="V10" s="10"/>
      <c r="W10" s="11"/>
      <c r="X10" s="11"/>
      <c r="Y10" s="11"/>
      <c r="Z10" s="11"/>
      <c r="AA10" s="12" t="str">
        <f aca="false">IF(X10="","",IF(X10=0,"Unassigned",IF(X10=1,"Single point",IF(Z10="Yes","Staffed and credentialed","Staffed, credential gap"))))</f>
        <v/>
      </c>
      <c r="AB10" s="12" t="str">
        <f aca="false">IFERROR(INDEX(Lists!$H$3:$H$6,MATCH(AA10,Lists!$G$3:$G$6,0)),"")</f>
        <v/>
      </c>
      <c r="AC10" s="10"/>
      <c r="AD10" s="12" t="str">
        <f aca="false">IFERROR(INDEX(Lists!$B$3:$B$7,MATCH(AC10,Lists!$A$3:$A$7,0)),"")</f>
        <v/>
      </c>
      <c r="AE10" s="10"/>
      <c r="AF10" s="10"/>
      <c r="AG10" s="10"/>
      <c r="AH10" s="10"/>
      <c r="AI10" s="10"/>
      <c r="AJ10" s="10"/>
      <c r="AK10" s="13" t="str">
        <f aca="false">IF(OR(AH10="",AH10=0),"",AJ10/AH10)</f>
        <v/>
      </c>
      <c r="AL10" s="10"/>
      <c r="AM10" s="10"/>
      <c r="AN10" s="12" t="str">
        <f aca="false">IF(AL10="","Not assessed",IF(AND(Q10="No",AL10="Gap - recommend tailoring"),"INVALID: floor item is not tailorable",IF(OR(X10="",X10=0),"NO NAMED EXECUTOR",IF(AND(N(AD10)&gt;=3,AH10=""),"Operating claimed with no sample",IF(AND(N(AD10)&gt;=3,X10=1),"Operating rests on one individual",IF(AND(N(AD10)&gt;=3,Z10&lt;&gt;"Yes"),"Operating claimed below designed credential",IF(AND(Q10="No",N(AD10)&lt;3),"FLOOR GATE: below Operating",IF(AND(N(AD10)&gt;=3,AH10&lt;&gt;"",AJ10=""),"Sample size with no conforming count","OK"))))))))</f>
        <v>Not assessed</v>
      </c>
      <c r="AO10" s="10"/>
      <c r="AP10" s="10"/>
      <c r="AQ10" s="10"/>
    </row>
    <row r="11" customFormat="false" ht="22.35" hidden="false" customHeight="false" outlineLevel="0" collapsed="false">
      <c r="A11" s="9" t="s">
        <v>146</v>
      </c>
      <c r="B11" s="9" t="s">
        <v>101</v>
      </c>
      <c r="C11" s="9" t="s">
        <v>119</v>
      </c>
      <c r="D11" s="9" t="s">
        <v>147</v>
      </c>
      <c r="E11" s="9" t="s">
        <v>148</v>
      </c>
      <c r="F11" s="9" t="s">
        <v>149</v>
      </c>
      <c r="G11" s="9" t="s">
        <v>143</v>
      </c>
      <c r="H11" s="9" t="s">
        <v>144</v>
      </c>
      <c r="I11" s="9" t="s">
        <v>145</v>
      </c>
      <c r="J11" s="9" t="s">
        <v>109</v>
      </c>
      <c r="K11" s="9" t="s">
        <v>110</v>
      </c>
      <c r="L11" s="9" t="s">
        <v>111</v>
      </c>
      <c r="M11" s="9" t="s">
        <v>112</v>
      </c>
      <c r="N11" s="9" t="s">
        <v>113</v>
      </c>
      <c r="O11" s="9" t="s">
        <v>150</v>
      </c>
      <c r="P11" s="9" t="s">
        <v>115</v>
      </c>
      <c r="Q11" s="9" t="s">
        <v>116</v>
      </c>
      <c r="R11" s="9"/>
      <c r="S11" s="10"/>
      <c r="T11" s="10"/>
      <c r="U11" s="10"/>
      <c r="V11" s="10"/>
      <c r="W11" s="11"/>
      <c r="X11" s="11"/>
      <c r="Y11" s="11"/>
      <c r="Z11" s="11"/>
      <c r="AA11" s="12" t="str">
        <f aca="false">IF(X11="","",IF(X11=0,"Unassigned",IF(X11=1,"Single point",IF(Z11="Yes","Staffed and credentialed","Staffed, credential gap"))))</f>
        <v/>
      </c>
      <c r="AB11" s="12" t="str">
        <f aca="false">IFERROR(INDEX(Lists!$H$3:$H$6,MATCH(AA11,Lists!$G$3:$G$6,0)),"")</f>
        <v/>
      </c>
      <c r="AC11" s="10"/>
      <c r="AD11" s="12" t="str">
        <f aca="false">IFERROR(INDEX(Lists!$B$3:$B$7,MATCH(AC11,Lists!$A$3:$A$7,0)),"")</f>
        <v/>
      </c>
      <c r="AE11" s="10"/>
      <c r="AF11" s="10"/>
      <c r="AG11" s="10"/>
      <c r="AH11" s="10"/>
      <c r="AI11" s="10"/>
      <c r="AJ11" s="10"/>
      <c r="AK11" s="13" t="str">
        <f aca="false">IF(OR(AH11="",AH11=0),"",AJ11/AH11)</f>
        <v/>
      </c>
      <c r="AL11" s="10"/>
      <c r="AM11" s="10"/>
      <c r="AN11" s="12" t="str">
        <f aca="false">IF(AL11="","Not assessed",IF(AND(Q11="No",AL11="Gap - recommend tailoring"),"INVALID: floor item is not tailorable",IF(OR(X11="",X11=0),"NO NAMED EXECUTOR",IF(AND(N(AD11)&gt;=3,AH11=""),"Operating claimed with no sample",IF(AND(N(AD11)&gt;=3,X11=1),"Operating rests on one individual",IF(AND(N(AD11)&gt;=3,Z11&lt;&gt;"Yes"),"Operating claimed below designed credential",IF(AND(Q11="No",N(AD11)&lt;3),"FLOOR GATE: below Operating",IF(AND(N(AD11)&gt;=3,AH11&lt;&gt;"",AJ11=""),"Sample size with no conforming count","OK"))))))))</f>
        <v>Not assessed</v>
      </c>
      <c r="AO11" s="10"/>
      <c r="AP11" s="10"/>
      <c r="AQ11" s="10"/>
    </row>
    <row r="12" customFormat="false" ht="22.35" hidden="false" customHeight="false" outlineLevel="0" collapsed="false">
      <c r="A12" s="9" t="s">
        <v>151</v>
      </c>
      <c r="B12" s="9" t="s">
        <v>101</v>
      </c>
      <c r="C12" s="9" t="s">
        <v>119</v>
      </c>
      <c r="D12" s="9" t="s">
        <v>152</v>
      </c>
      <c r="E12" s="9" t="s">
        <v>153</v>
      </c>
      <c r="F12" s="9" t="s">
        <v>154</v>
      </c>
      <c r="G12" s="9" t="s">
        <v>143</v>
      </c>
      <c r="H12" s="9" t="s">
        <v>144</v>
      </c>
      <c r="I12" s="9" t="s">
        <v>145</v>
      </c>
      <c r="J12" s="9" t="s">
        <v>109</v>
      </c>
      <c r="K12" s="9" t="s">
        <v>110</v>
      </c>
      <c r="L12" s="9" t="s">
        <v>155</v>
      </c>
      <c r="M12" s="9" t="s">
        <v>114</v>
      </c>
      <c r="N12" s="9" t="s">
        <v>156</v>
      </c>
      <c r="O12" s="9" t="s">
        <v>112</v>
      </c>
      <c r="P12" s="9" t="s">
        <v>115</v>
      </c>
      <c r="Q12" s="9" t="s">
        <v>116</v>
      </c>
      <c r="R12" s="9"/>
      <c r="S12" s="10"/>
      <c r="T12" s="10"/>
      <c r="U12" s="10"/>
      <c r="V12" s="10"/>
      <c r="W12" s="11"/>
      <c r="X12" s="11"/>
      <c r="Y12" s="11"/>
      <c r="Z12" s="11"/>
      <c r="AA12" s="12" t="str">
        <f aca="false">IF(X12="","",IF(X12=0,"Unassigned",IF(X12=1,"Single point",IF(Z12="Yes","Staffed and credentialed","Staffed, credential gap"))))</f>
        <v/>
      </c>
      <c r="AB12" s="12" t="str">
        <f aca="false">IFERROR(INDEX(Lists!$H$3:$H$6,MATCH(AA12,Lists!$G$3:$G$6,0)),"")</f>
        <v/>
      </c>
      <c r="AC12" s="10"/>
      <c r="AD12" s="12" t="str">
        <f aca="false">IFERROR(INDEX(Lists!$B$3:$B$7,MATCH(AC12,Lists!$A$3:$A$7,0)),"")</f>
        <v/>
      </c>
      <c r="AE12" s="10"/>
      <c r="AF12" s="10"/>
      <c r="AG12" s="10"/>
      <c r="AH12" s="10"/>
      <c r="AI12" s="10"/>
      <c r="AJ12" s="10"/>
      <c r="AK12" s="13" t="str">
        <f aca="false">IF(OR(AH12="",AH12=0),"",AJ12/AH12)</f>
        <v/>
      </c>
      <c r="AL12" s="10"/>
      <c r="AM12" s="10"/>
      <c r="AN12" s="12" t="str">
        <f aca="false">IF(AL12="","Not assessed",IF(AND(Q12="No",AL12="Gap - recommend tailoring"),"INVALID: floor item is not tailorable",IF(OR(X12="",X12=0),"NO NAMED EXECUTOR",IF(AND(N(AD12)&gt;=3,AH12=""),"Operating claimed with no sample",IF(AND(N(AD12)&gt;=3,X12=1),"Operating rests on one individual",IF(AND(N(AD12)&gt;=3,Z12&lt;&gt;"Yes"),"Operating claimed below designed credential",IF(AND(Q12="No",N(AD12)&lt;3),"FLOOR GATE: below Operating",IF(AND(N(AD12)&gt;=3,AH12&lt;&gt;"",AJ12=""),"Sample size with no conforming count","OK"))))))))</f>
        <v>Not assessed</v>
      </c>
      <c r="AO12" s="10"/>
      <c r="AP12" s="10"/>
      <c r="AQ12" s="10"/>
    </row>
    <row r="13" customFormat="false" ht="22.35" hidden="false" customHeight="false" outlineLevel="0" collapsed="false">
      <c r="A13" s="9" t="s">
        <v>157</v>
      </c>
      <c r="B13" s="9" t="s">
        <v>101</v>
      </c>
      <c r="C13" s="9" t="s">
        <v>119</v>
      </c>
      <c r="D13" s="9" t="s">
        <v>158</v>
      </c>
      <c r="E13" s="9" t="s">
        <v>159</v>
      </c>
      <c r="F13" s="9" t="s">
        <v>160</v>
      </c>
      <c r="G13" s="9" t="s">
        <v>143</v>
      </c>
      <c r="H13" s="9" t="s">
        <v>144</v>
      </c>
      <c r="I13" s="9" t="s">
        <v>145</v>
      </c>
      <c r="J13" s="9" t="s">
        <v>109</v>
      </c>
      <c r="K13" s="9" t="s">
        <v>110</v>
      </c>
      <c r="L13" s="9" t="s">
        <v>155</v>
      </c>
      <c r="M13" s="9" t="s">
        <v>114</v>
      </c>
      <c r="N13" s="9" t="s">
        <v>156</v>
      </c>
      <c r="O13" s="9" t="s">
        <v>112</v>
      </c>
      <c r="P13" s="9" t="s">
        <v>115</v>
      </c>
      <c r="Q13" s="9" t="s">
        <v>116</v>
      </c>
      <c r="R13" s="9"/>
      <c r="S13" s="10"/>
      <c r="T13" s="10"/>
      <c r="U13" s="10"/>
      <c r="V13" s="10"/>
      <c r="W13" s="11"/>
      <c r="X13" s="11"/>
      <c r="Y13" s="11"/>
      <c r="Z13" s="11"/>
      <c r="AA13" s="12" t="str">
        <f aca="false">IF(X13="","",IF(X13=0,"Unassigned",IF(X13=1,"Single point",IF(Z13="Yes","Staffed and credentialed","Staffed, credential gap"))))</f>
        <v/>
      </c>
      <c r="AB13" s="12" t="str">
        <f aca="false">IFERROR(INDEX(Lists!$H$3:$H$6,MATCH(AA13,Lists!$G$3:$G$6,0)),"")</f>
        <v/>
      </c>
      <c r="AC13" s="10"/>
      <c r="AD13" s="12" t="str">
        <f aca="false">IFERROR(INDEX(Lists!$B$3:$B$7,MATCH(AC13,Lists!$A$3:$A$7,0)),"")</f>
        <v/>
      </c>
      <c r="AE13" s="10"/>
      <c r="AF13" s="10"/>
      <c r="AG13" s="10"/>
      <c r="AH13" s="10"/>
      <c r="AI13" s="10"/>
      <c r="AJ13" s="10"/>
      <c r="AK13" s="13" t="str">
        <f aca="false">IF(OR(AH13="",AH13=0),"",AJ13/AH13)</f>
        <v/>
      </c>
      <c r="AL13" s="10"/>
      <c r="AM13" s="10"/>
      <c r="AN13" s="12" t="str">
        <f aca="false">IF(AL13="","Not assessed",IF(AND(Q13="No",AL13="Gap - recommend tailoring"),"INVALID: floor item is not tailorable",IF(OR(X13="",X13=0),"NO NAMED EXECUTOR",IF(AND(N(AD13)&gt;=3,AH13=""),"Operating claimed with no sample",IF(AND(N(AD13)&gt;=3,X13=1),"Operating rests on one individual",IF(AND(N(AD13)&gt;=3,Z13&lt;&gt;"Yes"),"Operating claimed below designed credential",IF(AND(Q13="No",N(AD13)&lt;3),"FLOOR GATE: below Operating",IF(AND(N(AD13)&gt;=3,AH13&lt;&gt;"",AJ13=""),"Sample size with no conforming count","OK"))))))))</f>
        <v>Not assessed</v>
      </c>
      <c r="AO13" s="10"/>
      <c r="AP13" s="10"/>
      <c r="AQ13" s="10"/>
    </row>
    <row r="14" customFormat="false" ht="22.35" hidden="false" customHeight="false" outlineLevel="0" collapsed="false">
      <c r="A14" s="9" t="s">
        <v>161</v>
      </c>
      <c r="B14" s="9" t="s">
        <v>101</v>
      </c>
      <c r="C14" s="9" t="s">
        <v>119</v>
      </c>
      <c r="D14" s="9" t="s">
        <v>162</v>
      </c>
      <c r="E14" s="9" t="s">
        <v>163</v>
      </c>
      <c r="F14" s="9" t="s">
        <v>164</v>
      </c>
      <c r="G14" s="9" t="s">
        <v>143</v>
      </c>
      <c r="H14" s="9" t="s">
        <v>165</v>
      </c>
      <c r="I14" s="9" t="s">
        <v>145</v>
      </c>
      <c r="J14" s="9" t="s">
        <v>109</v>
      </c>
      <c r="K14" s="9" t="s">
        <v>110</v>
      </c>
      <c r="L14" s="9" t="s">
        <v>155</v>
      </c>
      <c r="M14" s="9" t="s">
        <v>114</v>
      </c>
      <c r="N14" s="9" t="s">
        <v>156</v>
      </c>
      <c r="O14" s="9" t="s">
        <v>112</v>
      </c>
      <c r="P14" s="9" t="s">
        <v>115</v>
      </c>
      <c r="Q14" s="9" t="s">
        <v>116</v>
      </c>
      <c r="R14" s="9" t="s">
        <v>166</v>
      </c>
      <c r="S14" s="10"/>
      <c r="T14" s="10"/>
      <c r="U14" s="10"/>
      <c r="V14" s="10"/>
      <c r="W14" s="11"/>
      <c r="X14" s="11"/>
      <c r="Y14" s="11"/>
      <c r="Z14" s="11"/>
      <c r="AA14" s="12" t="str">
        <f aca="false">IF(X14="","",IF(X14=0,"Unassigned",IF(X14=1,"Single point",IF(Z14="Yes","Staffed and credentialed","Staffed, credential gap"))))</f>
        <v/>
      </c>
      <c r="AB14" s="12" t="str">
        <f aca="false">IFERROR(INDEX(Lists!$H$3:$H$6,MATCH(AA14,Lists!$G$3:$G$6,0)),"")</f>
        <v/>
      </c>
      <c r="AC14" s="10"/>
      <c r="AD14" s="12" t="str">
        <f aca="false">IFERROR(INDEX(Lists!$B$3:$B$7,MATCH(AC14,Lists!$A$3:$A$7,0)),"")</f>
        <v/>
      </c>
      <c r="AE14" s="10"/>
      <c r="AF14" s="10"/>
      <c r="AG14" s="10"/>
      <c r="AH14" s="10"/>
      <c r="AI14" s="10"/>
      <c r="AJ14" s="10"/>
      <c r="AK14" s="13" t="str">
        <f aca="false">IF(OR(AH14="",AH14=0),"",AJ14/AH14)</f>
        <v/>
      </c>
      <c r="AL14" s="10"/>
      <c r="AM14" s="10"/>
      <c r="AN14" s="12" t="str">
        <f aca="false">IF(AL14="","Not assessed",IF(AND(Q14="No",AL14="Gap - recommend tailoring"),"INVALID: floor item is not tailorable",IF(OR(X14="",X14=0),"NO NAMED EXECUTOR",IF(AND(N(AD14)&gt;=3,AH14=""),"Operating claimed with no sample",IF(AND(N(AD14)&gt;=3,X14=1),"Operating rests on one individual",IF(AND(N(AD14)&gt;=3,Z14&lt;&gt;"Yes"),"Operating claimed below designed credential",IF(AND(Q14="No",N(AD14)&lt;3),"FLOOR GATE: below Operating",IF(AND(N(AD14)&gt;=3,AH14&lt;&gt;"",AJ14=""),"Sample size with no conforming count","OK"))))))))</f>
        <v>Not assessed</v>
      </c>
      <c r="AO14" s="10"/>
      <c r="AP14" s="10"/>
      <c r="AQ14" s="10"/>
    </row>
    <row r="15" customFormat="false" ht="22.35" hidden="false" customHeight="false" outlineLevel="0" collapsed="false">
      <c r="A15" s="9" t="s">
        <v>167</v>
      </c>
      <c r="B15" s="9" t="s">
        <v>101</v>
      </c>
      <c r="C15" s="9" t="s">
        <v>119</v>
      </c>
      <c r="D15" s="9" t="s">
        <v>168</v>
      </c>
      <c r="E15" s="9" t="s">
        <v>169</v>
      </c>
      <c r="F15" s="9" t="s">
        <v>170</v>
      </c>
      <c r="G15" s="9" t="s">
        <v>143</v>
      </c>
      <c r="H15" s="9" t="s">
        <v>144</v>
      </c>
      <c r="I15" s="9" t="s">
        <v>145</v>
      </c>
      <c r="J15" s="9" t="s">
        <v>109</v>
      </c>
      <c r="K15" s="9" t="s">
        <v>133</v>
      </c>
      <c r="L15" s="9" t="s">
        <v>111</v>
      </c>
      <c r="M15" s="9" t="s">
        <v>112</v>
      </c>
      <c r="N15" s="9" t="s">
        <v>113</v>
      </c>
      <c r="O15" s="9" t="s">
        <v>114</v>
      </c>
      <c r="P15" s="9" t="s">
        <v>115</v>
      </c>
      <c r="Q15" s="9" t="s">
        <v>116</v>
      </c>
      <c r="R15" s="9"/>
      <c r="S15" s="10"/>
      <c r="T15" s="10"/>
      <c r="U15" s="10"/>
      <c r="V15" s="10"/>
      <c r="W15" s="11"/>
      <c r="X15" s="11"/>
      <c r="Y15" s="11"/>
      <c r="Z15" s="11"/>
      <c r="AA15" s="12" t="str">
        <f aca="false">IF(X15="","",IF(X15=0,"Unassigned",IF(X15=1,"Single point",IF(Z15="Yes","Staffed and credentialed","Staffed, credential gap"))))</f>
        <v/>
      </c>
      <c r="AB15" s="12" t="str">
        <f aca="false">IFERROR(INDEX(Lists!$H$3:$H$6,MATCH(AA15,Lists!$G$3:$G$6,0)),"")</f>
        <v/>
      </c>
      <c r="AC15" s="10"/>
      <c r="AD15" s="12" t="str">
        <f aca="false">IFERROR(INDEX(Lists!$B$3:$B$7,MATCH(AC15,Lists!$A$3:$A$7,0)),"")</f>
        <v/>
      </c>
      <c r="AE15" s="10"/>
      <c r="AF15" s="10"/>
      <c r="AG15" s="10"/>
      <c r="AH15" s="10"/>
      <c r="AI15" s="10"/>
      <c r="AJ15" s="10"/>
      <c r="AK15" s="13" t="str">
        <f aca="false">IF(OR(AH15="",AH15=0),"",AJ15/AH15)</f>
        <v/>
      </c>
      <c r="AL15" s="10"/>
      <c r="AM15" s="10"/>
      <c r="AN15" s="12" t="str">
        <f aca="false">IF(AL15="","Not assessed",IF(AND(Q15="No",AL15="Gap - recommend tailoring"),"INVALID: floor item is not tailorable",IF(OR(X15="",X15=0),"NO NAMED EXECUTOR",IF(AND(N(AD15)&gt;=3,AH15=""),"Operating claimed with no sample",IF(AND(N(AD15)&gt;=3,X15=1),"Operating rests on one individual",IF(AND(N(AD15)&gt;=3,Z15&lt;&gt;"Yes"),"Operating claimed below designed credential",IF(AND(Q15="No",N(AD15)&lt;3),"FLOOR GATE: below Operating",IF(AND(N(AD15)&gt;=3,AH15&lt;&gt;"",AJ15=""),"Sample size with no conforming count","OK"))))))))</f>
        <v>Not assessed</v>
      </c>
      <c r="AO15" s="10"/>
      <c r="AP15" s="10"/>
      <c r="AQ15" s="10"/>
    </row>
    <row r="16" customFormat="false" ht="22.35" hidden="false" customHeight="false" outlineLevel="0" collapsed="false">
      <c r="A16" s="9" t="s">
        <v>171</v>
      </c>
      <c r="B16" s="9" t="s">
        <v>101</v>
      </c>
      <c r="C16" s="9" t="s">
        <v>119</v>
      </c>
      <c r="D16" s="9" t="s">
        <v>172</v>
      </c>
      <c r="E16" s="9" t="s">
        <v>173</v>
      </c>
      <c r="F16" s="9" t="s">
        <v>174</v>
      </c>
      <c r="G16" s="9" t="s">
        <v>143</v>
      </c>
      <c r="H16" s="9" t="s">
        <v>144</v>
      </c>
      <c r="I16" s="9" t="s">
        <v>145</v>
      </c>
      <c r="J16" s="9" t="s">
        <v>109</v>
      </c>
      <c r="K16" s="9" t="s">
        <v>110</v>
      </c>
      <c r="L16" s="9" t="s">
        <v>155</v>
      </c>
      <c r="M16" s="9" t="s">
        <v>114</v>
      </c>
      <c r="N16" s="9" t="s">
        <v>156</v>
      </c>
      <c r="O16" s="9" t="s">
        <v>112</v>
      </c>
      <c r="P16" s="9" t="s">
        <v>115</v>
      </c>
      <c r="Q16" s="9" t="s">
        <v>116</v>
      </c>
      <c r="R16" s="9"/>
      <c r="S16" s="10"/>
      <c r="T16" s="10"/>
      <c r="U16" s="10"/>
      <c r="V16" s="10"/>
      <c r="W16" s="11"/>
      <c r="X16" s="11"/>
      <c r="Y16" s="11"/>
      <c r="Z16" s="11"/>
      <c r="AA16" s="12" t="str">
        <f aca="false">IF(X16="","",IF(X16=0,"Unassigned",IF(X16=1,"Single point",IF(Z16="Yes","Staffed and credentialed","Staffed, credential gap"))))</f>
        <v/>
      </c>
      <c r="AB16" s="12" t="str">
        <f aca="false">IFERROR(INDEX(Lists!$H$3:$H$6,MATCH(AA16,Lists!$G$3:$G$6,0)),"")</f>
        <v/>
      </c>
      <c r="AC16" s="10"/>
      <c r="AD16" s="12" t="str">
        <f aca="false">IFERROR(INDEX(Lists!$B$3:$B$7,MATCH(AC16,Lists!$A$3:$A$7,0)),"")</f>
        <v/>
      </c>
      <c r="AE16" s="10"/>
      <c r="AF16" s="10"/>
      <c r="AG16" s="10"/>
      <c r="AH16" s="10"/>
      <c r="AI16" s="10"/>
      <c r="AJ16" s="10"/>
      <c r="AK16" s="13" t="str">
        <f aca="false">IF(OR(AH16="",AH16=0),"",AJ16/AH16)</f>
        <v/>
      </c>
      <c r="AL16" s="10"/>
      <c r="AM16" s="10"/>
      <c r="AN16" s="12" t="str">
        <f aca="false">IF(AL16="","Not assessed",IF(AND(Q16="No",AL16="Gap - recommend tailoring"),"INVALID: floor item is not tailorable",IF(OR(X16="",X16=0),"NO NAMED EXECUTOR",IF(AND(N(AD16)&gt;=3,AH16=""),"Operating claimed with no sample",IF(AND(N(AD16)&gt;=3,X16=1),"Operating rests on one individual",IF(AND(N(AD16)&gt;=3,Z16&lt;&gt;"Yes"),"Operating claimed below designed credential",IF(AND(Q16="No",N(AD16)&lt;3),"FLOOR GATE: below Operating",IF(AND(N(AD16)&gt;=3,AH16&lt;&gt;"",AJ16=""),"Sample size with no conforming count","OK"))))))))</f>
        <v>Not assessed</v>
      </c>
      <c r="AO16" s="10"/>
      <c r="AP16" s="10"/>
      <c r="AQ16" s="10"/>
    </row>
    <row r="17" customFormat="false" ht="22.35" hidden="false" customHeight="false" outlineLevel="0" collapsed="false">
      <c r="A17" s="9" t="s">
        <v>46</v>
      </c>
      <c r="B17" s="9" t="s">
        <v>101</v>
      </c>
      <c r="C17" s="9" t="s">
        <v>119</v>
      </c>
      <c r="D17" s="9" t="s">
        <v>47</v>
      </c>
      <c r="E17" s="9" t="s">
        <v>175</v>
      </c>
      <c r="F17" s="9" t="s">
        <v>176</v>
      </c>
      <c r="G17" s="9" t="s">
        <v>143</v>
      </c>
      <c r="H17" s="9" t="s">
        <v>144</v>
      </c>
      <c r="I17" s="9" t="s">
        <v>145</v>
      </c>
      <c r="J17" s="9" t="s">
        <v>109</v>
      </c>
      <c r="K17" s="9" t="s">
        <v>110</v>
      </c>
      <c r="L17" s="9" t="s">
        <v>155</v>
      </c>
      <c r="M17" s="9" t="s">
        <v>114</v>
      </c>
      <c r="N17" s="9" t="s">
        <v>156</v>
      </c>
      <c r="O17" s="9" t="s">
        <v>112</v>
      </c>
      <c r="P17" s="9" t="s">
        <v>115</v>
      </c>
      <c r="Q17" s="9" t="s">
        <v>116</v>
      </c>
      <c r="R17" s="9" t="s">
        <v>177</v>
      </c>
      <c r="S17" s="10"/>
      <c r="T17" s="10"/>
      <c r="U17" s="10"/>
      <c r="V17" s="10"/>
      <c r="W17" s="11"/>
      <c r="X17" s="11"/>
      <c r="Y17" s="11"/>
      <c r="Z17" s="11"/>
      <c r="AA17" s="12" t="str">
        <f aca="false">IF(X17="","",IF(X17=0,"Unassigned",IF(X17=1,"Single point",IF(Z17="Yes","Staffed and credentialed","Staffed, credential gap"))))</f>
        <v/>
      </c>
      <c r="AB17" s="12" t="str">
        <f aca="false">IFERROR(INDEX(Lists!$H$3:$H$6,MATCH(AA17,Lists!$G$3:$G$6,0)),"")</f>
        <v/>
      </c>
      <c r="AC17" s="10"/>
      <c r="AD17" s="12" t="str">
        <f aca="false">IFERROR(INDEX(Lists!$B$3:$B$7,MATCH(AC17,Lists!$A$3:$A$7,0)),"")</f>
        <v/>
      </c>
      <c r="AE17" s="10"/>
      <c r="AF17" s="10"/>
      <c r="AG17" s="10"/>
      <c r="AH17" s="10"/>
      <c r="AI17" s="10"/>
      <c r="AJ17" s="10"/>
      <c r="AK17" s="13" t="str">
        <f aca="false">IF(OR(AH17="",AH17=0),"",AJ17/AH17)</f>
        <v/>
      </c>
      <c r="AL17" s="10"/>
      <c r="AM17" s="10"/>
      <c r="AN17" s="12" t="str">
        <f aca="false">IF(AL17="","Not assessed",IF(AND(Q17="No",AL17="Gap - recommend tailoring"),"INVALID: floor item is not tailorable",IF(OR(X17="",X17=0),"NO NAMED EXECUTOR",IF(AND(N(AD17)&gt;=3,AH17=""),"Operating claimed with no sample",IF(AND(N(AD17)&gt;=3,X17=1),"Operating rests on one individual",IF(AND(N(AD17)&gt;=3,Z17&lt;&gt;"Yes"),"Operating claimed below designed credential",IF(AND(Q17="No",N(AD17)&lt;3),"FLOOR GATE: below Operating",IF(AND(N(AD17)&gt;=3,AH17&lt;&gt;"",AJ17=""),"Sample size with no conforming count","OK"))))))))</f>
        <v>Not assessed</v>
      </c>
      <c r="AO17" s="10"/>
      <c r="AP17" s="10"/>
      <c r="AQ17" s="10"/>
    </row>
    <row r="18" customFormat="false" ht="22.35" hidden="false" customHeight="false" outlineLevel="0" collapsed="false">
      <c r="A18" s="9" t="s">
        <v>178</v>
      </c>
      <c r="B18" s="9" t="s">
        <v>101</v>
      </c>
      <c r="C18" s="9" t="s">
        <v>119</v>
      </c>
      <c r="D18" s="9" t="s">
        <v>179</v>
      </c>
      <c r="E18" s="9" t="s">
        <v>180</v>
      </c>
      <c r="F18" s="9" t="s">
        <v>181</v>
      </c>
      <c r="G18" s="9" t="s">
        <v>143</v>
      </c>
      <c r="H18" s="9" t="s">
        <v>144</v>
      </c>
      <c r="I18" s="9" t="s">
        <v>145</v>
      </c>
      <c r="J18" s="9" t="s">
        <v>109</v>
      </c>
      <c r="K18" s="9" t="s">
        <v>110</v>
      </c>
      <c r="L18" s="9" t="s">
        <v>182</v>
      </c>
      <c r="M18" s="9" t="s">
        <v>183</v>
      </c>
      <c r="N18" s="9" t="s">
        <v>184</v>
      </c>
      <c r="O18" s="9" t="s">
        <v>114</v>
      </c>
      <c r="P18" s="9" t="s">
        <v>115</v>
      </c>
      <c r="Q18" s="9" t="s">
        <v>116</v>
      </c>
      <c r="R18" s="9" t="s">
        <v>185</v>
      </c>
      <c r="S18" s="10"/>
      <c r="T18" s="10"/>
      <c r="U18" s="10"/>
      <c r="V18" s="10"/>
      <c r="W18" s="11"/>
      <c r="X18" s="11"/>
      <c r="Y18" s="11"/>
      <c r="Z18" s="11"/>
      <c r="AA18" s="12" t="str">
        <f aca="false">IF(X18="","",IF(X18=0,"Unassigned",IF(X18=1,"Single point",IF(Z18="Yes","Staffed and credentialed","Staffed, credential gap"))))</f>
        <v/>
      </c>
      <c r="AB18" s="12" t="str">
        <f aca="false">IFERROR(INDEX(Lists!$H$3:$H$6,MATCH(AA18,Lists!$G$3:$G$6,0)),"")</f>
        <v/>
      </c>
      <c r="AC18" s="10"/>
      <c r="AD18" s="12" t="str">
        <f aca="false">IFERROR(INDEX(Lists!$B$3:$B$7,MATCH(AC18,Lists!$A$3:$A$7,0)),"")</f>
        <v/>
      </c>
      <c r="AE18" s="10"/>
      <c r="AF18" s="10"/>
      <c r="AG18" s="10"/>
      <c r="AH18" s="10"/>
      <c r="AI18" s="10"/>
      <c r="AJ18" s="10"/>
      <c r="AK18" s="13" t="str">
        <f aca="false">IF(OR(AH18="",AH18=0),"",AJ18/AH18)</f>
        <v/>
      </c>
      <c r="AL18" s="10"/>
      <c r="AM18" s="10"/>
      <c r="AN18" s="12" t="str">
        <f aca="false">IF(AL18="","Not assessed",IF(AND(Q18="No",AL18="Gap - recommend tailoring"),"INVALID: floor item is not tailorable",IF(OR(X18="",X18=0),"NO NAMED EXECUTOR",IF(AND(N(AD18)&gt;=3,AH18=""),"Operating claimed with no sample",IF(AND(N(AD18)&gt;=3,X18=1),"Operating rests on one individual",IF(AND(N(AD18)&gt;=3,Z18&lt;&gt;"Yes"),"Operating claimed below designed credential",IF(AND(Q18="No",N(AD18)&lt;3),"FLOOR GATE: below Operating",IF(AND(N(AD18)&gt;=3,AH18&lt;&gt;"",AJ18=""),"Sample size with no conforming count","OK"))))))))</f>
        <v>Not assessed</v>
      </c>
      <c r="AO18" s="10"/>
      <c r="AP18" s="10"/>
      <c r="AQ18" s="10"/>
    </row>
    <row r="19" customFormat="false" ht="22.35" hidden="false" customHeight="false" outlineLevel="0" collapsed="false">
      <c r="A19" s="9" t="s">
        <v>186</v>
      </c>
      <c r="B19" s="9" t="s">
        <v>101</v>
      </c>
      <c r="C19" s="9" t="s">
        <v>119</v>
      </c>
      <c r="D19" s="9" t="s">
        <v>187</v>
      </c>
      <c r="E19" s="9" t="s">
        <v>188</v>
      </c>
      <c r="F19" s="9" t="s">
        <v>189</v>
      </c>
      <c r="G19" s="9" t="s">
        <v>143</v>
      </c>
      <c r="H19" s="9" t="s">
        <v>144</v>
      </c>
      <c r="I19" s="9" t="s">
        <v>145</v>
      </c>
      <c r="J19" s="9" t="s">
        <v>109</v>
      </c>
      <c r="K19" s="9" t="s">
        <v>110</v>
      </c>
      <c r="L19" s="9" t="s">
        <v>111</v>
      </c>
      <c r="M19" s="9" t="s">
        <v>112</v>
      </c>
      <c r="N19" s="9" t="s">
        <v>113</v>
      </c>
      <c r="O19" s="9" t="s">
        <v>114</v>
      </c>
      <c r="P19" s="9" t="s">
        <v>115</v>
      </c>
      <c r="Q19" s="9" t="s">
        <v>116</v>
      </c>
      <c r="R19" s="9"/>
      <c r="S19" s="10"/>
      <c r="T19" s="10"/>
      <c r="U19" s="10"/>
      <c r="V19" s="10"/>
      <c r="W19" s="11"/>
      <c r="X19" s="11"/>
      <c r="Y19" s="11"/>
      <c r="Z19" s="11"/>
      <c r="AA19" s="12" t="str">
        <f aca="false">IF(X19="","",IF(X19=0,"Unassigned",IF(X19=1,"Single point",IF(Z19="Yes","Staffed and credentialed","Staffed, credential gap"))))</f>
        <v/>
      </c>
      <c r="AB19" s="12" t="str">
        <f aca="false">IFERROR(INDEX(Lists!$H$3:$H$6,MATCH(AA19,Lists!$G$3:$G$6,0)),"")</f>
        <v/>
      </c>
      <c r="AC19" s="10"/>
      <c r="AD19" s="12" t="str">
        <f aca="false">IFERROR(INDEX(Lists!$B$3:$B$7,MATCH(AC19,Lists!$A$3:$A$7,0)),"")</f>
        <v/>
      </c>
      <c r="AE19" s="10"/>
      <c r="AF19" s="10"/>
      <c r="AG19" s="10"/>
      <c r="AH19" s="10"/>
      <c r="AI19" s="10"/>
      <c r="AJ19" s="10"/>
      <c r="AK19" s="13" t="str">
        <f aca="false">IF(OR(AH19="",AH19=0),"",AJ19/AH19)</f>
        <v/>
      </c>
      <c r="AL19" s="10"/>
      <c r="AM19" s="10"/>
      <c r="AN19" s="12" t="str">
        <f aca="false">IF(AL19="","Not assessed",IF(AND(Q19="No",AL19="Gap - recommend tailoring"),"INVALID: floor item is not tailorable",IF(OR(X19="",X19=0),"NO NAMED EXECUTOR",IF(AND(N(AD19)&gt;=3,AH19=""),"Operating claimed with no sample",IF(AND(N(AD19)&gt;=3,X19=1),"Operating rests on one individual",IF(AND(N(AD19)&gt;=3,Z19&lt;&gt;"Yes"),"Operating claimed below designed credential",IF(AND(Q19="No",N(AD19)&lt;3),"FLOOR GATE: below Operating",IF(AND(N(AD19)&gt;=3,AH19&lt;&gt;"",AJ19=""),"Sample size with no conforming count","OK"))))))))</f>
        <v>Not assessed</v>
      </c>
      <c r="AO19" s="10"/>
      <c r="AP19" s="10"/>
      <c r="AQ19" s="10"/>
    </row>
    <row r="20" customFormat="false" ht="22.35" hidden="false" customHeight="false" outlineLevel="0" collapsed="false">
      <c r="A20" s="9" t="s">
        <v>190</v>
      </c>
      <c r="B20" s="9" t="s">
        <v>101</v>
      </c>
      <c r="C20" s="9" t="s">
        <v>119</v>
      </c>
      <c r="D20" s="9" t="s">
        <v>191</v>
      </c>
      <c r="E20" s="9" t="s">
        <v>192</v>
      </c>
      <c r="F20" s="9" t="s">
        <v>193</v>
      </c>
      <c r="G20" s="9" t="s">
        <v>143</v>
      </c>
      <c r="H20" s="9" t="s">
        <v>194</v>
      </c>
      <c r="I20" s="9" t="s">
        <v>195</v>
      </c>
      <c r="J20" s="9" t="s">
        <v>109</v>
      </c>
      <c r="K20" s="9" t="s">
        <v>110</v>
      </c>
      <c r="L20" s="9" t="s">
        <v>111</v>
      </c>
      <c r="M20" s="9" t="s">
        <v>112</v>
      </c>
      <c r="N20" s="9" t="s">
        <v>113</v>
      </c>
      <c r="O20" s="9" t="s">
        <v>114</v>
      </c>
      <c r="P20" s="9" t="s">
        <v>115</v>
      </c>
      <c r="Q20" s="9" t="s">
        <v>116</v>
      </c>
      <c r="R20" s="9" t="s">
        <v>166</v>
      </c>
      <c r="S20" s="10"/>
      <c r="T20" s="10"/>
      <c r="U20" s="10"/>
      <c r="V20" s="10"/>
      <c r="W20" s="11"/>
      <c r="X20" s="11"/>
      <c r="Y20" s="11"/>
      <c r="Z20" s="11"/>
      <c r="AA20" s="12" t="str">
        <f aca="false">IF(X20="","",IF(X20=0,"Unassigned",IF(X20=1,"Single point",IF(Z20="Yes","Staffed and credentialed","Staffed, credential gap"))))</f>
        <v/>
      </c>
      <c r="AB20" s="12" t="str">
        <f aca="false">IFERROR(INDEX(Lists!$H$3:$H$6,MATCH(AA20,Lists!$G$3:$G$6,0)),"")</f>
        <v/>
      </c>
      <c r="AC20" s="10"/>
      <c r="AD20" s="12" t="str">
        <f aca="false">IFERROR(INDEX(Lists!$B$3:$B$7,MATCH(AC20,Lists!$A$3:$A$7,0)),"")</f>
        <v/>
      </c>
      <c r="AE20" s="10"/>
      <c r="AF20" s="10"/>
      <c r="AG20" s="10"/>
      <c r="AH20" s="10"/>
      <c r="AI20" s="10"/>
      <c r="AJ20" s="10"/>
      <c r="AK20" s="13" t="str">
        <f aca="false">IF(OR(AH20="",AH20=0),"",AJ20/AH20)</f>
        <v/>
      </c>
      <c r="AL20" s="10"/>
      <c r="AM20" s="10"/>
      <c r="AN20" s="12" t="str">
        <f aca="false">IF(AL20="","Not assessed",IF(AND(Q20="No",AL20="Gap - recommend tailoring"),"INVALID: floor item is not tailorable",IF(OR(X20="",X20=0),"NO NAMED EXECUTOR",IF(AND(N(AD20)&gt;=3,AH20=""),"Operating claimed with no sample",IF(AND(N(AD20)&gt;=3,X20=1),"Operating rests on one individual",IF(AND(N(AD20)&gt;=3,Z20&lt;&gt;"Yes"),"Operating claimed below designed credential",IF(AND(Q20="No",N(AD20)&lt;3),"FLOOR GATE: below Operating",IF(AND(N(AD20)&gt;=3,AH20&lt;&gt;"",AJ20=""),"Sample size with no conforming count","OK"))))))))</f>
        <v>Not assessed</v>
      </c>
      <c r="AO20" s="10"/>
      <c r="AP20" s="10"/>
      <c r="AQ20" s="10"/>
    </row>
    <row r="21" customFormat="false" ht="22.35" hidden="false" customHeight="false" outlineLevel="0" collapsed="false">
      <c r="A21" s="9" t="s">
        <v>196</v>
      </c>
      <c r="B21" s="9" t="s">
        <v>101</v>
      </c>
      <c r="C21" s="9" t="s">
        <v>119</v>
      </c>
      <c r="D21" s="9" t="s">
        <v>197</v>
      </c>
      <c r="E21" s="9" t="s">
        <v>198</v>
      </c>
      <c r="F21" s="9" t="s">
        <v>199</v>
      </c>
      <c r="G21" s="9" t="s">
        <v>143</v>
      </c>
      <c r="H21" s="9" t="s">
        <v>194</v>
      </c>
      <c r="I21" s="9" t="s">
        <v>195</v>
      </c>
      <c r="J21" s="9" t="s">
        <v>109</v>
      </c>
      <c r="K21" s="9" t="s">
        <v>110</v>
      </c>
      <c r="L21" s="9" t="s">
        <v>111</v>
      </c>
      <c r="M21" s="9" t="s">
        <v>112</v>
      </c>
      <c r="N21" s="9" t="s">
        <v>113</v>
      </c>
      <c r="O21" s="9" t="s">
        <v>114</v>
      </c>
      <c r="P21" s="9" t="s">
        <v>115</v>
      </c>
      <c r="Q21" s="9" t="s">
        <v>116</v>
      </c>
      <c r="R21" s="9" t="s">
        <v>166</v>
      </c>
      <c r="S21" s="10"/>
      <c r="T21" s="10"/>
      <c r="U21" s="10"/>
      <c r="V21" s="10"/>
      <c r="W21" s="11"/>
      <c r="X21" s="11"/>
      <c r="Y21" s="11"/>
      <c r="Z21" s="11"/>
      <c r="AA21" s="12" t="str">
        <f aca="false">IF(X21="","",IF(X21=0,"Unassigned",IF(X21=1,"Single point",IF(Z21="Yes","Staffed and credentialed","Staffed, credential gap"))))</f>
        <v/>
      </c>
      <c r="AB21" s="12" t="str">
        <f aca="false">IFERROR(INDEX(Lists!$H$3:$H$6,MATCH(AA21,Lists!$G$3:$G$6,0)),"")</f>
        <v/>
      </c>
      <c r="AC21" s="10"/>
      <c r="AD21" s="12" t="str">
        <f aca="false">IFERROR(INDEX(Lists!$B$3:$B$7,MATCH(AC21,Lists!$A$3:$A$7,0)),"")</f>
        <v/>
      </c>
      <c r="AE21" s="10"/>
      <c r="AF21" s="10"/>
      <c r="AG21" s="10"/>
      <c r="AH21" s="10"/>
      <c r="AI21" s="10"/>
      <c r="AJ21" s="10"/>
      <c r="AK21" s="13" t="str">
        <f aca="false">IF(OR(AH21="",AH21=0),"",AJ21/AH21)</f>
        <v/>
      </c>
      <c r="AL21" s="10"/>
      <c r="AM21" s="10"/>
      <c r="AN21" s="12" t="str">
        <f aca="false">IF(AL21="","Not assessed",IF(AND(Q21="No",AL21="Gap - recommend tailoring"),"INVALID: floor item is not tailorable",IF(OR(X21="",X21=0),"NO NAMED EXECUTOR",IF(AND(N(AD21)&gt;=3,AH21=""),"Operating claimed with no sample",IF(AND(N(AD21)&gt;=3,X21=1),"Operating rests on one individual",IF(AND(N(AD21)&gt;=3,Z21&lt;&gt;"Yes"),"Operating claimed below designed credential",IF(AND(Q21="No",N(AD21)&lt;3),"FLOOR GATE: below Operating",IF(AND(N(AD21)&gt;=3,AH21&lt;&gt;"",AJ21=""),"Sample size with no conforming count","OK"))))))))</f>
        <v>Not assessed</v>
      </c>
      <c r="AO21" s="10"/>
      <c r="AP21" s="10"/>
      <c r="AQ21" s="10"/>
    </row>
    <row r="22" customFormat="false" ht="22.35" hidden="false" customHeight="false" outlineLevel="0" collapsed="false">
      <c r="A22" s="9" t="s">
        <v>200</v>
      </c>
      <c r="B22" s="9" t="s">
        <v>101</v>
      </c>
      <c r="C22" s="9" t="s">
        <v>119</v>
      </c>
      <c r="D22" s="9" t="s">
        <v>201</v>
      </c>
      <c r="E22" s="9" t="s">
        <v>202</v>
      </c>
      <c r="F22" s="9" t="s">
        <v>203</v>
      </c>
      <c r="G22" s="9" t="s">
        <v>143</v>
      </c>
      <c r="H22" s="9" t="s">
        <v>204</v>
      </c>
      <c r="I22" s="9" t="s">
        <v>205</v>
      </c>
      <c r="J22" s="9" t="s">
        <v>109</v>
      </c>
      <c r="K22" s="9" t="s">
        <v>110</v>
      </c>
      <c r="L22" s="9" t="s">
        <v>111</v>
      </c>
      <c r="M22" s="9" t="s">
        <v>112</v>
      </c>
      <c r="N22" s="9" t="s">
        <v>113</v>
      </c>
      <c r="O22" s="9" t="s">
        <v>206</v>
      </c>
      <c r="P22" s="9" t="s">
        <v>115</v>
      </c>
      <c r="Q22" s="9" t="s">
        <v>116</v>
      </c>
      <c r="R22" s="9" t="s">
        <v>207</v>
      </c>
      <c r="S22" s="10"/>
      <c r="T22" s="10"/>
      <c r="U22" s="10"/>
      <c r="V22" s="10"/>
      <c r="W22" s="11"/>
      <c r="X22" s="11"/>
      <c r="Y22" s="11"/>
      <c r="Z22" s="11"/>
      <c r="AA22" s="12" t="str">
        <f aca="false">IF(X22="","",IF(X22=0,"Unassigned",IF(X22=1,"Single point",IF(Z22="Yes","Staffed and credentialed","Staffed, credential gap"))))</f>
        <v/>
      </c>
      <c r="AB22" s="12" t="str">
        <f aca="false">IFERROR(INDEX(Lists!$H$3:$H$6,MATCH(AA22,Lists!$G$3:$G$6,0)),"")</f>
        <v/>
      </c>
      <c r="AC22" s="10"/>
      <c r="AD22" s="12" t="str">
        <f aca="false">IFERROR(INDEX(Lists!$B$3:$B$7,MATCH(AC22,Lists!$A$3:$A$7,0)),"")</f>
        <v/>
      </c>
      <c r="AE22" s="10"/>
      <c r="AF22" s="10"/>
      <c r="AG22" s="10"/>
      <c r="AH22" s="10"/>
      <c r="AI22" s="10"/>
      <c r="AJ22" s="10"/>
      <c r="AK22" s="13" t="str">
        <f aca="false">IF(OR(AH22="",AH22=0),"",AJ22/AH22)</f>
        <v/>
      </c>
      <c r="AL22" s="10"/>
      <c r="AM22" s="10"/>
      <c r="AN22" s="12" t="str">
        <f aca="false">IF(AL22="","Not assessed",IF(AND(Q22="No",AL22="Gap - recommend tailoring"),"INVALID: floor item is not tailorable",IF(OR(X22="",X22=0),"NO NAMED EXECUTOR",IF(AND(N(AD22)&gt;=3,AH22=""),"Operating claimed with no sample",IF(AND(N(AD22)&gt;=3,X22=1),"Operating rests on one individual",IF(AND(N(AD22)&gt;=3,Z22&lt;&gt;"Yes"),"Operating claimed below designed credential",IF(AND(Q22="No",N(AD22)&lt;3),"FLOOR GATE: below Operating",IF(AND(N(AD22)&gt;=3,AH22&lt;&gt;"",AJ22=""),"Sample size with no conforming count","OK"))))))))</f>
        <v>Not assessed</v>
      </c>
      <c r="AO22" s="10"/>
      <c r="AP22" s="10"/>
      <c r="AQ22" s="10"/>
    </row>
    <row r="23" customFormat="false" ht="22.35" hidden="false" customHeight="false" outlineLevel="0" collapsed="false">
      <c r="A23" s="9" t="s">
        <v>208</v>
      </c>
      <c r="B23" s="9" t="s">
        <v>101</v>
      </c>
      <c r="C23" s="9" t="s">
        <v>119</v>
      </c>
      <c r="D23" s="9" t="s">
        <v>209</v>
      </c>
      <c r="E23" s="9" t="s">
        <v>210</v>
      </c>
      <c r="F23" s="9" t="s">
        <v>211</v>
      </c>
      <c r="G23" s="9" t="s">
        <v>143</v>
      </c>
      <c r="H23" s="9" t="s">
        <v>204</v>
      </c>
      <c r="I23" s="9" t="s">
        <v>205</v>
      </c>
      <c r="J23" s="9" t="s">
        <v>109</v>
      </c>
      <c r="K23" s="9" t="s">
        <v>212</v>
      </c>
      <c r="L23" s="9" t="s">
        <v>111</v>
      </c>
      <c r="M23" s="9" t="s">
        <v>112</v>
      </c>
      <c r="N23" s="9" t="s">
        <v>113</v>
      </c>
      <c r="O23" s="9" t="s">
        <v>114</v>
      </c>
      <c r="P23" s="9" t="s">
        <v>115</v>
      </c>
      <c r="Q23" s="9" t="s">
        <v>116</v>
      </c>
      <c r="R23" s="9" t="s">
        <v>207</v>
      </c>
      <c r="S23" s="10"/>
      <c r="T23" s="10"/>
      <c r="U23" s="10"/>
      <c r="V23" s="10"/>
      <c r="W23" s="11"/>
      <c r="X23" s="11"/>
      <c r="Y23" s="11"/>
      <c r="Z23" s="11"/>
      <c r="AA23" s="12" t="str">
        <f aca="false">IF(X23="","",IF(X23=0,"Unassigned",IF(X23=1,"Single point",IF(Z23="Yes","Staffed and credentialed","Staffed, credential gap"))))</f>
        <v/>
      </c>
      <c r="AB23" s="12" t="str">
        <f aca="false">IFERROR(INDEX(Lists!$H$3:$H$6,MATCH(AA23,Lists!$G$3:$G$6,0)),"")</f>
        <v/>
      </c>
      <c r="AC23" s="10"/>
      <c r="AD23" s="12" t="str">
        <f aca="false">IFERROR(INDEX(Lists!$B$3:$B$7,MATCH(AC23,Lists!$A$3:$A$7,0)),"")</f>
        <v/>
      </c>
      <c r="AE23" s="10"/>
      <c r="AF23" s="10"/>
      <c r="AG23" s="10"/>
      <c r="AH23" s="10"/>
      <c r="AI23" s="10"/>
      <c r="AJ23" s="10"/>
      <c r="AK23" s="13" t="str">
        <f aca="false">IF(OR(AH23="",AH23=0),"",AJ23/AH23)</f>
        <v/>
      </c>
      <c r="AL23" s="10"/>
      <c r="AM23" s="10"/>
      <c r="AN23" s="12" t="str">
        <f aca="false">IF(AL23="","Not assessed",IF(AND(Q23="No",AL23="Gap - recommend tailoring"),"INVALID: floor item is not tailorable",IF(OR(X23="",X23=0),"NO NAMED EXECUTOR",IF(AND(N(AD23)&gt;=3,AH23=""),"Operating claimed with no sample",IF(AND(N(AD23)&gt;=3,X23=1),"Operating rests on one individual",IF(AND(N(AD23)&gt;=3,Z23&lt;&gt;"Yes"),"Operating claimed below designed credential",IF(AND(Q23="No",N(AD23)&lt;3),"FLOOR GATE: below Operating",IF(AND(N(AD23)&gt;=3,AH23&lt;&gt;"",AJ23=""),"Sample size with no conforming count","OK"))))))))</f>
        <v>Not assessed</v>
      </c>
      <c r="AO23" s="10"/>
      <c r="AP23" s="10"/>
      <c r="AQ23" s="10"/>
    </row>
    <row r="24" customFormat="false" ht="32.8" hidden="false" customHeight="false" outlineLevel="0" collapsed="false">
      <c r="A24" s="9" t="s">
        <v>213</v>
      </c>
      <c r="B24" s="9" t="s">
        <v>101</v>
      </c>
      <c r="C24" s="9" t="s">
        <v>119</v>
      </c>
      <c r="D24" s="9" t="s">
        <v>214</v>
      </c>
      <c r="E24" s="9" t="s">
        <v>215</v>
      </c>
      <c r="F24" s="9" t="s">
        <v>216</v>
      </c>
      <c r="G24" s="9" t="s">
        <v>143</v>
      </c>
      <c r="H24" s="9" t="s">
        <v>217</v>
      </c>
      <c r="I24" s="9" t="s">
        <v>218</v>
      </c>
      <c r="J24" s="9" t="s">
        <v>219</v>
      </c>
      <c r="K24" s="9" t="s">
        <v>110</v>
      </c>
      <c r="L24" s="9" t="s">
        <v>155</v>
      </c>
      <c r="M24" s="9" t="s">
        <v>114</v>
      </c>
      <c r="N24" s="9" t="s">
        <v>156</v>
      </c>
      <c r="O24" s="9" t="s">
        <v>112</v>
      </c>
      <c r="P24" s="9" t="s">
        <v>115</v>
      </c>
      <c r="Q24" s="9" t="s">
        <v>116</v>
      </c>
      <c r="R24" s="9" t="s">
        <v>220</v>
      </c>
      <c r="S24" s="10"/>
      <c r="T24" s="10"/>
      <c r="U24" s="10"/>
      <c r="V24" s="10"/>
      <c r="W24" s="11"/>
      <c r="X24" s="11"/>
      <c r="Y24" s="11"/>
      <c r="Z24" s="11"/>
      <c r="AA24" s="12" t="str">
        <f aca="false">IF(X24="","",IF(X24=0,"Unassigned",IF(X24=1,"Single point",IF(Z24="Yes","Staffed and credentialed","Staffed, credential gap"))))</f>
        <v/>
      </c>
      <c r="AB24" s="12" t="str">
        <f aca="false">IFERROR(INDEX(Lists!$H$3:$H$6,MATCH(AA24,Lists!$G$3:$G$6,0)),"")</f>
        <v/>
      </c>
      <c r="AC24" s="10"/>
      <c r="AD24" s="12" t="str">
        <f aca="false">IFERROR(INDEX(Lists!$B$3:$B$7,MATCH(AC24,Lists!$A$3:$A$7,0)),"")</f>
        <v/>
      </c>
      <c r="AE24" s="10"/>
      <c r="AF24" s="10"/>
      <c r="AG24" s="10"/>
      <c r="AH24" s="10"/>
      <c r="AI24" s="10"/>
      <c r="AJ24" s="10"/>
      <c r="AK24" s="13" t="str">
        <f aca="false">IF(OR(AH24="",AH24=0),"",AJ24/AH24)</f>
        <v/>
      </c>
      <c r="AL24" s="10"/>
      <c r="AM24" s="10"/>
      <c r="AN24" s="12" t="str">
        <f aca="false">IF(AL24="","Not assessed",IF(AND(Q24="No",AL24="Gap - recommend tailoring"),"INVALID: floor item is not tailorable",IF(OR(X24="",X24=0),"NO NAMED EXECUTOR",IF(AND(N(AD24)&gt;=3,AH24=""),"Operating claimed with no sample",IF(AND(N(AD24)&gt;=3,X24=1),"Operating rests on one individual",IF(AND(N(AD24)&gt;=3,Z24&lt;&gt;"Yes"),"Operating claimed below designed credential",IF(AND(Q24="No",N(AD24)&lt;3),"FLOOR GATE: below Operating",IF(AND(N(AD24)&gt;=3,AH24&lt;&gt;"",AJ24=""),"Sample size with no conforming count","OK"))))))))</f>
        <v>Not assessed</v>
      </c>
      <c r="AO24" s="10"/>
      <c r="AP24" s="10"/>
      <c r="AQ24" s="10"/>
    </row>
    <row r="25" customFormat="false" ht="32.8" hidden="false" customHeight="false" outlineLevel="0" collapsed="false">
      <c r="A25" s="9" t="s">
        <v>221</v>
      </c>
      <c r="B25" s="9" t="s">
        <v>101</v>
      </c>
      <c r="C25" s="9" t="s">
        <v>119</v>
      </c>
      <c r="D25" s="9" t="s">
        <v>222</v>
      </c>
      <c r="E25" s="9" t="s">
        <v>223</v>
      </c>
      <c r="F25" s="9" t="s">
        <v>224</v>
      </c>
      <c r="G25" s="9" t="s">
        <v>143</v>
      </c>
      <c r="H25" s="9" t="s">
        <v>217</v>
      </c>
      <c r="I25" s="9" t="s">
        <v>218</v>
      </c>
      <c r="J25" s="9" t="s">
        <v>219</v>
      </c>
      <c r="K25" s="9" t="s">
        <v>110</v>
      </c>
      <c r="L25" s="9" t="s">
        <v>155</v>
      </c>
      <c r="M25" s="9" t="s">
        <v>114</v>
      </c>
      <c r="N25" s="9" t="s">
        <v>156</v>
      </c>
      <c r="O25" s="9" t="s">
        <v>112</v>
      </c>
      <c r="P25" s="9" t="s">
        <v>115</v>
      </c>
      <c r="Q25" s="9" t="s">
        <v>116</v>
      </c>
      <c r="R25" s="9" t="s">
        <v>225</v>
      </c>
      <c r="S25" s="10"/>
      <c r="T25" s="10"/>
      <c r="U25" s="10"/>
      <c r="V25" s="10"/>
      <c r="W25" s="11"/>
      <c r="X25" s="11"/>
      <c r="Y25" s="11"/>
      <c r="Z25" s="11"/>
      <c r="AA25" s="12" t="str">
        <f aca="false">IF(X25="","",IF(X25=0,"Unassigned",IF(X25=1,"Single point",IF(Z25="Yes","Staffed and credentialed","Staffed, credential gap"))))</f>
        <v/>
      </c>
      <c r="AB25" s="12" t="str">
        <f aca="false">IFERROR(INDEX(Lists!$H$3:$H$6,MATCH(AA25,Lists!$G$3:$G$6,0)),"")</f>
        <v/>
      </c>
      <c r="AC25" s="10"/>
      <c r="AD25" s="12" t="str">
        <f aca="false">IFERROR(INDEX(Lists!$B$3:$B$7,MATCH(AC25,Lists!$A$3:$A$7,0)),"")</f>
        <v/>
      </c>
      <c r="AE25" s="10"/>
      <c r="AF25" s="10"/>
      <c r="AG25" s="10"/>
      <c r="AH25" s="10"/>
      <c r="AI25" s="10"/>
      <c r="AJ25" s="10"/>
      <c r="AK25" s="13" t="str">
        <f aca="false">IF(OR(AH25="",AH25=0),"",AJ25/AH25)</f>
        <v/>
      </c>
      <c r="AL25" s="10"/>
      <c r="AM25" s="10"/>
      <c r="AN25" s="12" t="str">
        <f aca="false">IF(AL25="","Not assessed",IF(AND(Q25="No",AL25="Gap - recommend tailoring"),"INVALID: floor item is not tailorable",IF(OR(X25="",X25=0),"NO NAMED EXECUTOR",IF(AND(N(AD25)&gt;=3,AH25=""),"Operating claimed with no sample",IF(AND(N(AD25)&gt;=3,X25=1),"Operating rests on one individual",IF(AND(N(AD25)&gt;=3,Z25&lt;&gt;"Yes"),"Operating claimed below designed credential",IF(AND(Q25="No",N(AD25)&lt;3),"FLOOR GATE: below Operating",IF(AND(N(AD25)&gt;=3,AH25&lt;&gt;"",AJ25=""),"Sample size with no conforming count","OK"))))))))</f>
        <v>Not assessed</v>
      </c>
      <c r="AO25" s="10"/>
      <c r="AP25" s="10"/>
      <c r="AQ25" s="10"/>
    </row>
    <row r="26" customFormat="false" ht="32.8" hidden="false" customHeight="false" outlineLevel="0" collapsed="false">
      <c r="A26" s="9" t="s">
        <v>226</v>
      </c>
      <c r="B26" s="9" t="s">
        <v>101</v>
      </c>
      <c r="C26" s="9" t="s">
        <v>119</v>
      </c>
      <c r="D26" s="9" t="s">
        <v>227</v>
      </c>
      <c r="E26" s="9" t="s">
        <v>228</v>
      </c>
      <c r="F26" s="9" t="s">
        <v>229</v>
      </c>
      <c r="G26" s="9" t="s">
        <v>143</v>
      </c>
      <c r="H26" s="9" t="s">
        <v>217</v>
      </c>
      <c r="I26" s="9" t="s">
        <v>218</v>
      </c>
      <c r="J26" s="9" t="s">
        <v>219</v>
      </c>
      <c r="K26" s="9" t="s">
        <v>110</v>
      </c>
      <c r="L26" s="9" t="s">
        <v>155</v>
      </c>
      <c r="M26" s="9" t="s">
        <v>114</v>
      </c>
      <c r="N26" s="9" t="s">
        <v>156</v>
      </c>
      <c r="O26" s="9" t="s">
        <v>112</v>
      </c>
      <c r="P26" s="9" t="s">
        <v>115</v>
      </c>
      <c r="Q26" s="9" t="s">
        <v>116</v>
      </c>
      <c r="R26" s="9" t="s">
        <v>225</v>
      </c>
      <c r="S26" s="10"/>
      <c r="T26" s="10"/>
      <c r="U26" s="10"/>
      <c r="V26" s="10"/>
      <c r="W26" s="11"/>
      <c r="X26" s="11"/>
      <c r="Y26" s="11"/>
      <c r="Z26" s="11"/>
      <c r="AA26" s="12" t="str">
        <f aca="false">IF(X26="","",IF(X26=0,"Unassigned",IF(X26=1,"Single point",IF(Z26="Yes","Staffed and credentialed","Staffed, credential gap"))))</f>
        <v/>
      </c>
      <c r="AB26" s="12" t="str">
        <f aca="false">IFERROR(INDEX(Lists!$H$3:$H$6,MATCH(AA26,Lists!$G$3:$G$6,0)),"")</f>
        <v/>
      </c>
      <c r="AC26" s="10"/>
      <c r="AD26" s="12" t="str">
        <f aca="false">IFERROR(INDEX(Lists!$B$3:$B$7,MATCH(AC26,Lists!$A$3:$A$7,0)),"")</f>
        <v/>
      </c>
      <c r="AE26" s="10"/>
      <c r="AF26" s="10"/>
      <c r="AG26" s="10"/>
      <c r="AH26" s="10"/>
      <c r="AI26" s="10"/>
      <c r="AJ26" s="10"/>
      <c r="AK26" s="13" t="str">
        <f aca="false">IF(OR(AH26="",AH26=0),"",AJ26/AH26)</f>
        <v/>
      </c>
      <c r="AL26" s="10"/>
      <c r="AM26" s="10"/>
      <c r="AN26" s="12" t="str">
        <f aca="false">IF(AL26="","Not assessed",IF(AND(Q26="No",AL26="Gap - recommend tailoring"),"INVALID: floor item is not tailorable",IF(OR(X26="",X26=0),"NO NAMED EXECUTOR",IF(AND(N(AD26)&gt;=3,AH26=""),"Operating claimed with no sample",IF(AND(N(AD26)&gt;=3,X26=1),"Operating rests on one individual",IF(AND(N(AD26)&gt;=3,Z26&lt;&gt;"Yes"),"Operating claimed below designed credential",IF(AND(Q26="No",N(AD26)&lt;3),"FLOOR GATE: below Operating",IF(AND(N(AD26)&gt;=3,AH26&lt;&gt;"",AJ26=""),"Sample size with no conforming count","OK"))))))))</f>
        <v>Not assessed</v>
      </c>
      <c r="AO26" s="10"/>
      <c r="AP26" s="10"/>
      <c r="AQ26" s="10"/>
    </row>
    <row r="27" customFormat="false" ht="32.8" hidden="false" customHeight="false" outlineLevel="0" collapsed="false">
      <c r="A27" s="9" t="s">
        <v>230</v>
      </c>
      <c r="B27" s="9" t="s">
        <v>101</v>
      </c>
      <c r="C27" s="9" t="s">
        <v>119</v>
      </c>
      <c r="D27" s="9" t="s">
        <v>231</v>
      </c>
      <c r="E27" s="9" t="s">
        <v>232</v>
      </c>
      <c r="F27" s="9" t="s">
        <v>233</v>
      </c>
      <c r="G27" s="9" t="s">
        <v>143</v>
      </c>
      <c r="H27" s="9" t="s">
        <v>234</v>
      </c>
      <c r="I27" s="9" t="s">
        <v>218</v>
      </c>
      <c r="J27" s="9" t="s">
        <v>219</v>
      </c>
      <c r="K27" s="9" t="s">
        <v>110</v>
      </c>
      <c r="L27" s="9" t="s">
        <v>155</v>
      </c>
      <c r="M27" s="9" t="s">
        <v>114</v>
      </c>
      <c r="N27" s="9" t="s">
        <v>156</v>
      </c>
      <c r="O27" s="9" t="s">
        <v>112</v>
      </c>
      <c r="P27" s="9" t="s">
        <v>115</v>
      </c>
      <c r="Q27" s="9" t="s">
        <v>116</v>
      </c>
      <c r="R27" s="9"/>
      <c r="S27" s="10"/>
      <c r="T27" s="10"/>
      <c r="U27" s="10"/>
      <c r="V27" s="10"/>
      <c r="W27" s="11"/>
      <c r="X27" s="11"/>
      <c r="Y27" s="11"/>
      <c r="Z27" s="11"/>
      <c r="AA27" s="12" t="str">
        <f aca="false">IF(X27="","",IF(X27=0,"Unassigned",IF(X27=1,"Single point",IF(Z27="Yes","Staffed and credentialed","Staffed, credential gap"))))</f>
        <v/>
      </c>
      <c r="AB27" s="12" t="str">
        <f aca="false">IFERROR(INDEX(Lists!$H$3:$H$6,MATCH(AA27,Lists!$G$3:$G$6,0)),"")</f>
        <v/>
      </c>
      <c r="AC27" s="10"/>
      <c r="AD27" s="12" t="str">
        <f aca="false">IFERROR(INDEX(Lists!$B$3:$B$7,MATCH(AC27,Lists!$A$3:$A$7,0)),"")</f>
        <v/>
      </c>
      <c r="AE27" s="10"/>
      <c r="AF27" s="10"/>
      <c r="AG27" s="10"/>
      <c r="AH27" s="10"/>
      <c r="AI27" s="10"/>
      <c r="AJ27" s="10"/>
      <c r="AK27" s="13" t="str">
        <f aca="false">IF(OR(AH27="",AH27=0),"",AJ27/AH27)</f>
        <v/>
      </c>
      <c r="AL27" s="10"/>
      <c r="AM27" s="10"/>
      <c r="AN27" s="12" t="str">
        <f aca="false">IF(AL27="","Not assessed",IF(AND(Q27="No",AL27="Gap - recommend tailoring"),"INVALID: floor item is not tailorable",IF(OR(X27="",X27=0),"NO NAMED EXECUTOR",IF(AND(N(AD27)&gt;=3,AH27=""),"Operating claimed with no sample",IF(AND(N(AD27)&gt;=3,X27=1),"Operating rests on one individual",IF(AND(N(AD27)&gt;=3,Z27&lt;&gt;"Yes"),"Operating claimed below designed credential",IF(AND(Q27="No",N(AD27)&lt;3),"FLOOR GATE: below Operating",IF(AND(N(AD27)&gt;=3,AH27&lt;&gt;"",AJ27=""),"Sample size with no conforming count","OK"))))))))</f>
        <v>Not assessed</v>
      </c>
      <c r="AO27" s="10"/>
      <c r="AP27" s="10"/>
      <c r="AQ27" s="10"/>
    </row>
    <row r="28" customFormat="false" ht="32.8" hidden="false" customHeight="false" outlineLevel="0" collapsed="false">
      <c r="A28" s="9" t="s">
        <v>235</v>
      </c>
      <c r="B28" s="9" t="s">
        <v>101</v>
      </c>
      <c r="C28" s="9" t="s">
        <v>236</v>
      </c>
      <c r="D28" s="9" t="s">
        <v>237</v>
      </c>
      <c r="E28" s="9" t="s">
        <v>238</v>
      </c>
      <c r="F28" s="9" t="s">
        <v>239</v>
      </c>
      <c r="G28" s="9" t="s">
        <v>240</v>
      </c>
      <c r="H28" s="9" t="s">
        <v>241</v>
      </c>
      <c r="I28" s="9" t="s">
        <v>242</v>
      </c>
      <c r="J28" s="9" t="s">
        <v>109</v>
      </c>
      <c r="K28" s="9" t="s">
        <v>110</v>
      </c>
      <c r="L28" s="9" t="s">
        <v>155</v>
      </c>
      <c r="M28" s="9" t="s">
        <v>114</v>
      </c>
      <c r="N28" s="9" t="s">
        <v>156</v>
      </c>
      <c r="O28" s="9" t="s">
        <v>183</v>
      </c>
      <c r="P28" s="9" t="s">
        <v>115</v>
      </c>
      <c r="Q28" s="9" t="s">
        <v>116</v>
      </c>
      <c r="R28" s="9" t="s">
        <v>185</v>
      </c>
      <c r="S28" s="10"/>
      <c r="T28" s="10"/>
      <c r="U28" s="10"/>
      <c r="V28" s="10"/>
      <c r="W28" s="11"/>
      <c r="X28" s="11"/>
      <c r="Y28" s="11"/>
      <c r="Z28" s="11"/>
      <c r="AA28" s="12" t="str">
        <f aca="false">IF(X28="","",IF(X28=0,"Unassigned",IF(X28=1,"Single point",IF(Z28="Yes","Staffed and credentialed","Staffed, credential gap"))))</f>
        <v/>
      </c>
      <c r="AB28" s="12" t="str">
        <f aca="false">IFERROR(INDEX(Lists!$H$3:$H$6,MATCH(AA28,Lists!$G$3:$G$6,0)),"")</f>
        <v/>
      </c>
      <c r="AC28" s="10"/>
      <c r="AD28" s="12" t="str">
        <f aca="false">IFERROR(INDEX(Lists!$B$3:$B$7,MATCH(AC28,Lists!$A$3:$A$7,0)),"")</f>
        <v/>
      </c>
      <c r="AE28" s="10"/>
      <c r="AF28" s="10"/>
      <c r="AG28" s="10"/>
      <c r="AH28" s="10"/>
      <c r="AI28" s="10"/>
      <c r="AJ28" s="10"/>
      <c r="AK28" s="13" t="str">
        <f aca="false">IF(OR(AH28="",AH28=0),"",AJ28/AH28)</f>
        <v/>
      </c>
      <c r="AL28" s="10"/>
      <c r="AM28" s="10"/>
      <c r="AN28" s="12" t="str">
        <f aca="false">IF(AL28="","Not assessed",IF(AND(Q28="No",AL28="Gap - recommend tailoring"),"INVALID: floor item is not tailorable",IF(OR(X28="",X28=0),"NO NAMED EXECUTOR",IF(AND(N(AD28)&gt;=3,AH28=""),"Operating claimed with no sample",IF(AND(N(AD28)&gt;=3,X28=1),"Operating rests on one individual",IF(AND(N(AD28)&gt;=3,Z28&lt;&gt;"Yes"),"Operating claimed below designed credential",IF(AND(Q28="No",N(AD28)&lt;3),"FLOOR GATE: below Operating",IF(AND(N(AD28)&gt;=3,AH28&lt;&gt;"",AJ28=""),"Sample size with no conforming count","OK"))))))))</f>
        <v>Not assessed</v>
      </c>
      <c r="AO28" s="10"/>
      <c r="AP28" s="10"/>
      <c r="AQ28" s="10"/>
    </row>
    <row r="29" customFormat="false" ht="32.8" hidden="false" customHeight="false" outlineLevel="0" collapsed="false">
      <c r="A29" s="9" t="s">
        <v>243</v>
      </c>
      <c r="B29" s="9" t="s">
        <v>101</v>
      </c>
      <c r="C29" s="9" t="s">
        <v>236</v>
      </c>
      <c r="D29" s="9" t="s">
        <v>244</v>
      </c>
      <c r="E29" s="9" t="s">
        <v>245</v>
      </c>
      <c r="F29" s="9" t="s">
        <v>246</v>
      </c>
      <c r="G29" s="9" t="s">
        <v>240</v>
      </c>
      <c r="H29" s="9" t="s">
        <v>241</v>
      </c>
      <c r="I29" s="9" t="s">
        <v>242</v>
      </c>
      <c r="J29" s="9" t="s">
        <v>109</v>
      </c>
      <c r="K29" s="9" t="s">
        <v>110</v>
      </c>
      <c r="L29" s="9" t="s">
        <v>155</v>
      </c>
      <c r="M29" s="9" t="s">
        <v>114</v>
      </c>
      <c r="N29" s="9" t="s">
        <v>156</v>
      </c>
      <c r="O29" s="9" t="s">
        <v>183</v>
      </c>
      <c r="P29" s="9" t="s">
        <v>115</v>
      </c>
      <c r="Q29" s="9" t="s">
        <v>116</v>
      </c>
      <c r="R29" s="9" t="s">
        <v>185</v>
      </c>
      <c r="S29" s="10"/>
      <c r="T29" s="10"/>
      <c r="U29" s="10"/>
      <c r="V29" s="10"/>
      <c r="W29" s="11"/>
      <c r="X29" s="11"/>
      <c r="Y29" s="11"/>
      <c r="Z29" s="11"/>
      <c r="AA29" s="12" t="str">
        <f aca="false">IF(X29="","",IF(X29=0,"Unassigned",IF(X29=1,"Single point",IF(Z29="Yes","Staffed and credentialed","Staffed, credential gap"))))</f>
        <v/>
      </c>
      <c r="AB29" s="12" t="str">
        <f aca="false">IFERROR(INDEX(Lists!$H$3:$H$6,MATCH(AA29,Lists!$G$3:$G$6,0)),"")</f>
        <v/>
      </c>
      <c r="AC29" s="10"/>
      <c r="AD29" s="12" t="str">
        <f aca="false">IFERROR(INDEX(Lists!$B$3:$B$7,MATCH(AC29,Lists!$A$3:$A$7,0)),"")</f>
        <v/>
      </c>
      <c r="AE29" s="10"/>
      <c r="AF29" s="10"/>
      <c r="AG29" s="10"/>
      <c r="AH29" s="10"/>
      <c r="AI29" s="10"/>
      <c r="AJ29" s="10"/>
      <c r="AK29" s="13" t="str">
        <f aca="false">IF(OR(AH29="",AH29=0),"",AJ29/AH29)</f>
        <v/>
      </c>
      <c r="AL29" s="10"/>
      <c r="AM29" s="10"/>
      <c r="AN29" s="12" t="str">
        <f aca="false">IF(AL29="","Not assessed",IF(AND(Q29="No",AL29="Gap - recommend tailoring"),"INVALID: floor item is not tailorable",IF(OR(X29="",X29=0),"NO NAMED EXECUTOR",IF(AND(N(AD29)&gt;=3,AH29=""),"Operating claimed with no sample",IF(AND(N(AD29)&gt;=3,X29=1),"Operating rests on one individual",IF(AND(N(AD29)&gt;=3,Z29&lt;&gt;"Yes"),"Operating claimed below designed credential",IF(AND(Q29="No",N(AD29)&lt;3),"FLOOR GATE: below Operating",IF(AND(N(AD29)&gt;=3,AH29&lt;&gt;"",AJ29=""),"Sample size with no conforming count","OK"))))))))</f>
        <v>Not assessed</v>
      </c>
      <c r="AO29" s="10"/>
      <c r="AP29" s="10"/>
      <c r="AQ29" s="10"/>
    </row>
    <row r="30" customFormat="false" ht="22.35" hidden="false" customHeight="false" outlineLevel="0" collapsed="false">
      <c r="A30" s="9" t="s">
        <v>247</v>
      </c>
      <c r="B30" s="9" t="s">
        <v>101</v>
      </c>
      <c r="C30" s="9" t="s">
        <v>236</v>
      </c>
      <c r="D30" s="9" t="s">
        <v>248</v>
      </c>
      <c r="E30" s="9" t="s">
        <v>249</v>
      </c>
      <c r="F30" s="9" t="s">
        <v>250</v>
      </c>
      <c r="G30" s="9" t="s">
        <v>240</v>
      </c>
      <c r="H30" s="9" t="s">
        <v>251</v>
      </c>
      <c r="I30" s="9" t="s">
        <v>252</v>
      </c>
      <c r="J30" s="9" t="s">
        <v>109</v>
      </c>
      <c r="K30" s="9" t="s">
        <v>110</v>
      </c>
      <c r="L30" s="9" t="s">
        <v>155</v>
      </c>
      <c r="M30" s="9" t="s">
        <v>114</v>
      </c>
      <c r="N30" s="9" t="s">
        <v>156</v>
      </c>
      <c r="O30" s="9" t="s">
        <v>183</v>
      </c>
      <c r="P30" s="9" t="s">
        <v>115</v>
      </c>
      <c r="Q30" s="9" t="s">
        <v>116</v>
      </c>
      <c r="R30" s="9" t="s">
        <v>185</v>
      </c>
      <c r="S30" s="10"/>
      <c r="T30" s="10"/>
      <c r="U30" s="10"/>
      <c r="V30" s="10"/>
      <c r="W30" s="11"/>
      <c r="X30" s="11"/>
      <c r="Y30" s="11"/>
      <c r="Z30" s="11"/>
      <c r="AA30" s="12" t="str">
        <f aca="false">IF(X30="","",IF(X30=0,"Unassigned",IF(X30=1,"Single point",IF(Z30="Yes","Staffed and credentialed","Staffed, credential gap"))))</f>
        <v/>
      </c>
      <c r="AB30" s="12" t="str">
        <f aca="false">IFERROR(INDEX(Lists!$H$3:$H$6,MATCH(AA30,Lists!$G$3:$G$6,0)),"")</f>
        <v/>
      </c>
      <c r="AC30" s="10"/>
      <c r="AD30" s="12" t="str">
        <f aca="false">IFERROR(INDEX(Lists!$B$3:$B$7,MATCH(AC30,Lists!$A$3:$A$7,0)),"")</f>
        <v/>
      </c>
      <c r="AE30" s="10"/>
      <c r="AF30" s="10"/>
      <c r="AG30" s="10"/>
      <c r="AH30" s="10"/>
      <c r="AI30" s="10"/>
      <c r="AJ30" s="10"/>
      <c r="AK30" s="13" t="str">
        <f aca="false">IF(OR(AH30="",AH30=0),"",AJ30/AH30)</f>
        <v/>
      </c>
      <c r="AL30" s="10"/>
      <c r="AM30" s="10"/>
      <c r="AN30" s="12" t="str">
        <f aca="false">IF(AL30="","Not assessed",IF(AND(Q30="No",AL30="Gap - recommend tailoring"),"INVALID: floor item is not tailorable",IF(OR(X30="",X30=0),"NO NAMED EXECUTOR",IF(AND(N(AD30)&gt;=3,AH30=""),"Operating claimed with no sample",IF(AND(N(AD30)&gt;=3,X30=1),"Operating rests on one individual",IF(AND(N(AD30)&gt;=3,Z30&lt;&gt;"Yes"),"Operating claimed below designed credential",IF(AND(Q30="No",N(AD30)&lt;3),"FLOOR GATE: below Operating",IF(AND(N(AD30)&gt;=3,AH30&lt;&gt;"",AJ30=""),"Sample size with no conforming count","OK"))))))))</f>
        <v>Not assessed</v>
      </c>
      <c r="AO30" s="10"/>
      <c r="AP30" s="10"/>
      <c r="AQ30" s="10"/>
    </row>
    <row r="31" customFormat="false" ht="32.8" hidden="false" customHeight="false" outlineLevel="0" collapsed="false">
      <c r="A31" s="9" t="s">
        <v>253</v>
      </c>
      <c r="B31" s="9" t="s">
        <v>101</v>
      </c>
      <c r="C31" s="9" t="s">
        <v>236</v>
      </c>
      <c r="D31" s="9" t="s">
        <v>254</v>
      </c>
      <c r="E31" s="9" t="s">
        <v>255</v>
      </c>
      <c r="F31" s="9" t="s">
        <v>256</v>
      </c>
      <c r="G31" s="9" t="s">
        <v>240</v>
      </c>
      <c r="H31" s="9" t="s">
        <v>241</v>
      </c>
      <c r="I31" s="9" t="s">
        <v>242</v>
      </c>
      <c r="J31" s="9" t="s">
        <v>109</v>
      </c>
      <c r="K31" s="9" t="s">
        <v>133</v>
      </c>
      <c r="L31" s="9" t="s">
        <v>155</v>
      </c>
      <c r="M31" s="9" t="s">
        <v>114</v>
      </c>
      <c r="N31" s="9" t="s">
        <v>156</v>
      </c>
      <c r="O31" s="9" t="s">
        <v>112</v>
      </c>
      <c r="P31" s="9" t="s">
        <v>115</v>
      </c>
      <c r="Q31" s="9" t="s">
        <v>116</v>
      </c>
      <c r="R31" s="9" t="s">
        <v>185</v>
      </c>
      <c r="S31" s="10"/>
      <c r="T31" s="10"/>
      <c r="U31" s="10"/>
      <c r="V31" s="10"/>
      <c r="W31" s="11"/>
      <c r="X31" s="11"/>
      <c r="Y31" s="11"/>
      <c r="Z31" s="11"/>
      <c r="AA31" s="12" t="str">
        <f aca="false">IF(X31="","",IF(X31=0,"Unassigned",IF(X31=1,"Single point",IF(Z31="Yes","Staffed and credentialed","Staffed, credential gap"))))</f>
        <v/>
      </c>
      <c r="AB31" s="12" t="str">
        <f aca="false">IFERROR(INDEX(Lists!$H$3:$H$6,MATCH(AA31,Lists!$G$3:$G$6,0)),"")</f>
        <v/>
      </c>
      <c r="AC31" s="10"/>
      <c r="AD31" s="12" t="str">
        <f aca="false">IFERROR(INDEX(Lists!$B$3:$B$7,MATCH(AC31,Lists!$A$3:$A$7,0)),"")</f>
        <v/>
      </c>
      <c r="AE31" s="10"/>
      <c r="AF31" s="10"/>
      <c r="AG31" s="10"/>
      <c r="AH31" s="10"/>
      <c r="AI31" s="10"/>
      <c r="AJ31" s="10"/>
      <c r="AK31" s="13" t="str">
        <f aca="false">IF(OR(AH31="",AH31=0),"",AJ31/AH31)</f>
        <v/>
      </c>
      <c r="AL31" s="10"/>
      <c r="AM31" s="10"/>
      <c r="AN31" s="12" t="str">
        <f aca="false">IF(AL31="","Not assessed",IF(AND(Q31="No",AL31="Gap - recommend tailoring"),"INVALID: floor item is not tailorable",IF(OR(X31="",X31=0),"NO NAMED EXECUTOR",IF(AND(N(AD31)&gt;=3,AH31=""),"Operating claimed with no sample",IF(AND(N(AD31)&gt;=3,X31=1),"Operating rests on one individual",IF(AND(N(AD31)&gt;=3,Z31&lt;&gt;"Yes"),"Operating claimed below designed credential",IF(AND(Q31="No",N(AD31)&lt;3),"FLOOR GATE: below Operating",IF(AND(N(AD31)&gt;=3,AH31&lt;&gt;"",AJ31=""),"Sample size with no conforming count","OK"))))))))</f>
        <v>Not assessed</v>
      </c>
      <c r="AO31" s="10"/>
      <c r="AP31" s="10"/>
      <c r="AQ31" s="10"/>
    </row>
    <row r="32" customFormat="false" ht="32.8" hidden="false" customHeight="false" outlineLevel="0" collapsed="false">
      <c r="A32" s="9" t="s">
        <v>257</v>
      </c>
      <c r="B32" s="9" t="s">
        <v>101</v>
      </c>
      <c r="C32" s="9" t="s">
        <v>236</v>
      </c>
      <c r="D32" s="9" t="s">
        <v>258</v>
      </c>
      <c r="E32" s="9" t="s">
        <v>259</v>
      </c>
      <c r="F32" s="9" t="s">
        <v>260</v>
      </c>
      <c r="G32" s="9" t="s">
        <v>240</v>
      </c>
      <c r="H32" s="9" t="s">
        <v>241</v>
      </c>
      <c r="I32" s="9" t="s">
        <v>242</v>
      </c>
      <c r="J32" s="9" t="s">
        <v>109</v>
      </c>
      <c r="K32" s="9" t="s">
        <v>133</v>
      </c>
      <c r="L32" s="9" t="s">
        <v>155</v>
      </c>
      <c r="M32" s="9" t="s">
        <v>114</v>
      </c>
      <c r="N32" s="9" t="s">
        <v>156</v>
      </c>
      <c r="O32" s="9" t="s">
        <v>183</v>
      </c>
      <c r="P32" s="9" t="s">
        <v>115</v>
      </c>
      <c r="Q32" s="9" t="s">
        <v>116</v>
      </c>
      <c r="R32" s="9" t="s">
        <v>185</v>
      </c>
      <c r="S32" s="10"/>
      <c r="T32" s="10"/>
      <c r="U32" s="10"/>
      <c r="V32" s="10"/>
      <c r="W32" s="11"/>
      <c r="X32" s="11"/>
      <c r="Y32" s="11"/>
      <c r="Z32" s="11"/>
      <c r="AA32" s="12" t="str">
        <f aca="false">IF(X32="","",IF(X32=0,"Unassigned",IF(X32=1,"Single point",IF(Z32="Yes","Staffed and credentialed","Staffed, credential gap"))))</f>
        <v/>
      </c>
      <c r="AB32" s="12" t="str">
        <f aca="false">IFERROR(INDEX(Lists!$H$3:$H$6,MATCH(AA32,Lists!$G$3:$G$6,0)),"")</f>
        <v/>
      </c>
      <c r="AC32" s="10"/>
      <c r="AD32" s="12" t="str">
        <f aca="false">IFERROR(INDEX(Lists!$B$3:$B$7,MATCH(AC32,Lists!$A$3:$A$7,0)),"")</f>
        <v/>
      </c>
      <c r="AE32" s="10"/>
      <c r="AF32" s="10"/>
      <c r="AG32" s="10"/>
      <c r="AH32" s="10"/>
      <c r="AI32" s="10"/>
      <c r="AJ32" s="10"/>
      <c r="AK32" s="13" t="str">
        <f aca="false">IF(OR(AH32="",AH32=0),"",AJ32/AH32)</f>
        <v/>
      </c>
      <c r="AL32" s="10"/>
      <c r="AM32" s="10"/>
      <c r="AN32" s="12" t="str">
        <f aca="false">IF(AL32="","Not assessed",IF(AND(Q32="No",AL32="Gap - recommend tailoring"),"INVALID: floor item is not tailorable",IF(OR(X32="",X32=0),"NO NAMED EXECUTOR",IF(AND(N(AD32)&gt;=3,AH32=""),"Operating claimed with no sample",IF(AND(N(AD32)&gt;=3,X32=1),"Operating rests on one individual",IF(AND(N(AD32)&gt;=3,Z32&lt;&gt;"Yes"),"Operating claimed below designed credential",IF(AND(Q32="No",N(AD32)&lt;3),"FLOOR GATE: below Operating",IF(AND(N(AD32)&gt;=3,AH32&lt;&gt;"",AJ32=""),"Sample size with no conforming count","OK"))))))))</f>
        <v>Not assessed</v>
      </c>
      <c r="AO32" s="10"/>
      <c r="AP32" s="10"/>
      <c r="AQ32" s="10"/>
    </row>
    <row r="33" customFormat="false" ht="22.35" hidden="false" customHeight="false" outlineLevel="0" collapsed="false">
      <c r="A33" s="9" t="s">
        <v>261</v>
      </c>
      <c r="B33" s="9" t="s">
        <v>101</v>
      </c>
      <c r="C33" s="9" t="s">
        <v>236</v>
      </c>
      <c r="D33" s="9" t="s">
        <v>262</v>
      </c>
      <c r="E33" s="9" t="s">
        <v>263</v>
      </c>
      <c r="F33" s="9" t="s">
        <v>264</v>
      </c>
      <c r="G33" s="9" t="s">
        <v>240</v>
      </c>
      <c r="H33" s="9" t="s">
        <v>265</v>
      </c>
      <c r="I33" s="9" t="s">
        <v>266</v>
      </c>
      <c r="J33" s="9" t="s">
        <v>109</v>
      </c>
      <c r="K33" s="9" t="s">
        <v>110</v>
      </c>
      <c r="L33" s="9" t="s">
        <v>111</v>
      </c>
      <c r="M33" s="9" t="s">
        <v>112</v>
      </c>
      <c r="N33" s="9" t="s">
        <v>113</v>
      </c>
      <c r="O33" s="9" t="s">
        <v>114</v>
      </c>
      <c r="P33" s="9" t="s">
        <v>115</v>
      </c>
      <c r="Q33" s="9" t="s">
        <v>116</v>
      </c>
      <c r="R33" s="9" t="s">
        <v>267</v>
      </c>
      <c r="S33" s="10"/>
      <c r="T33" s="10"/>
      <c r="U33" s="10"/>
      <c r="V33" s="10"/>
      <c r="W33" s="11"/>
      <c r="X33" s="11"/>
      <c r="Y33" s="11"/>
      <c r="Z33" s="11"/>
      <c r="AA33" s="12" t="str">
        <f aca="false">IF(X33="","",IF(X33=0,"Unassigned",IF(X33=1,"Single point",IF(Z33="Yes","Staffed and credentialed","Staffed, credential gap"))))</f>
        <v/>
      </c>
      <c r="AB33" s="12" t="str">
        <f aca="false">IFERROR(INDEX(Lists!$H$3:$H$6,MATCH(AA33,Lists!$G$3:$G$6,0)),"")</f>
        <v/>
      </c>
      <c r="AC33" s="10"/>
      <c r="AD33" s="12" t="str">
        <f aca="false">IFERROR(INDEX(Lists!$B$3:$B$7,MATCH(AC33,Lists!$A$3:$A$7,0)),"")</f>
        <v/>
      </c>
      <c r="AE33" s="10"/>
      <c r="AF33" s="10"/>
      <c r="AG33" s="10"/>
      <c r="AH33" s="10"/>
      <c r="AI33" s="10"/>
      <c r="AJ33" s="10"/>
      <c r="AK33" s="13" t="str">
        <f aca="false">IF(OR(AH33="",AH33=0),"",AJ33/AH33)</f>
        <v/>
      </c>
      <c r="AL33" s="10"/>
      <c r="AM33" s="10"/>
      <c r="AN33" s="12" t="str">
        <f aca="false">IF(AL33="","Not assessed",IF(AND(Q33="No",AL33="Gap - recommend tailoring"),"INVALID: floor item is not tailorable",IF(OR(X33="",X33=0),"NO NAMED EXECUTOR",IF(AND(N(AD33)&gt;=3,AH33=""),"Operating claimed with no sample",IF(AND(N(AD33)&gt;=3,X33=1),"Operating rests on one individual",IF(AND(N(AD33)&gt;=3,Z33&lt;&gt;"Yes"),"Operating claimed below designed credential",IF(AND(Q33="No",N(AD33)&lt;3),"FLOOR GATE: below Operating",IF(AND(N(AD33)&gt;=3,AH33&lt;&gt;"",AJ33=""),"Sample size with no conforming count","OK"))))))))</f>
        <v>Not assessed</v>
      </c>
      <c r="AO33" s="10"/>
      <c r="AP33" s="10"/>
      <c r="AQ33" s="10"/>
    </row>
    <row r="34" customFormat="false" ht="22.35" hidden="false" customHeight="false" outlineLevel="0" collapsed="false">
      <c r="A34" s="9" t="s">
        <v>268</v>
      </c>
      <c r="B34" s="9" t="s">
        <v>101</v>
      </c>
      <c r="C34" s="9" t="s">
        <v>236</v>
      </c>
      <c r="D34" s="9" t="s">
        <v>269</v>
      </c>
      <c r="E34" s="9" t="s">
        <v>270</v>
      </c>
      <c r="F34" s="9" t="s">
        <v>271</v>
      </c>
      <c r="G34" s="9" t="s">
        <v>240</v>
      </c>
      <c r="H34" s="9" t="s">
        <v>265</v>
      </c>
      <c r="I34" s="9" t="s">
        <v>266</v>
      </c>
      <c r="J34" s="9" t="s">
        <v>109</v>
      </c>
      <c r="K34" s="9" t="s">
        <v>110</v>
      </c>
      <c r="L34" s="9" t="s">
        <v>111</v>
      </c>
      <c r="M34" s="9" t="s">
        <v>112</v>
      </c>
      <c r="N34" s="9" t="s">
        <v>113</v>
      </c>
      <c r="O34" s="9" t="s">
        <v>114</v>
      </c>
      <c r="P34" s="9" t="s">
        <v>115</v>
      </c>
      <c r="Q34" s="9" t="s">
        <v>116</v>
      </c>
      <c r="R34" s="9"/>
      <c r="S34" s="10"/>
      <c r="T34" s="10"/>
      <c r="U34" s="10"/>
      <c r="V34" s="10"/>
      <c r="W34" s="11"/>
      <c r="X34" s="11"/>
      <c r="Y34" s="11"/>
      <c r="Z34" s="11"/>
      <c r="AA34" s="12" t="str">
        <f aca="false">IF(X34="","",IF(X34=0,"Unassigned",IF(X34=1,"Single point",IF(Z34="Yes","Staffed and credentialed","Staffed, credential gap"))))</f>
        <v/>
      </c>
      <c r="AB34" s="12" t="str">
        <f aca="false">IFERROR(INDEX(Lists!$H$3:$H$6,MATCH(AA34,Lists!$G$3:$G$6,0)),"")</f>
        <v/>
      </c>
      <c r="AC34" s="10"/>
      <c r="AD34" s="12" t="str">
        <f aca="false">IFERROR(INDEX(Lists!$B$3:$B$7,MATCH(AC34,Lists!$A$3:$A$7,0)),"")</f>
        <v/>
      </c>
      <c r="AE34" s="10"/>
      <c r="AF34" s="10"/>
      <c r="AG34" s="10"/>
      <c r="AH34" s="10"/>
      <c r="AI34" s="10"/>
      <c r="AJ34" s="10"/>
      <c r="AK34" s="13" t="str">
        <f aca="false">IF(OR(AH34="",AH34=0),"",AJ34/AH34)</f>
        <v/>
      </c>
      <c r="AL34" s="10"/>
      <c r="AM34" s="10"/>
      <c r="AN34" s="12" t="str">
        <f aca="false">IF(AL34="","Not assessed",IF(AND(Q34="No",AL34="Gap - recommend tailoring"),"INVALID: floor item is not tailorable",IF(OR(X34="",X34=0),"NO NAMED EXECUTOR",IF(AND(N(AD34)&gt;=3,AH34=""),"Operating claimed with no sample",IF(AND(N(AD34)&gt;=3,X34=1),"Operating rests on one individual",IF(AND(N(AD34)&gt;=3,Z34&lt;&gt;"Yes"),"Operating claimed below designed credential",IF(AND(Q34="No",N(AD34)&lt;3),"FLOOR GATE: below Operating",IF(AND(N(AD34)&gt;=3,AH34&lt;&gt;"",AJ34=""),"Sample size with no conforming count","OK"))))))))</f>
        <v>Not assessed</v>
      </c>
      <c r="AO34" s="10"/>
      <c r="AP34" s="10"/>
      <c r="AQ34" s="10"/>
    </row>
    <row r="35" customFormat="false" ht="22.35" hidden="false" customHeight="false" outlineLevel="0" collapsed="false">
      <c r="A35" s="9" t="s">
        <v>272</v>
      </c>
      <c r="B35" s="9" t="s">
        <v>101</v>
      </c>
      <c r="C35" s="9" t="s">
        <v>236</v>
      </c>
      <c r="D35" s="9" t="s">
        <v>273</v>
      </c>
      <c r="E35" s="9" t="s">
        <v>274</v>
      </c>
      <c r="F35" s="9" t="s">
        <v>275</v>
      </c>
      <c r="G35" s="9" t="s">
        <v>240</v>
      </c>
      <c r="H35" s="9" t="s">
        <v>265</v>
      </c>
      <c r="I35" s="9" t="s">
        <v>266</v>
      </c>
      <c r="J35" s="9" t="s">
        <v>109</v>
      </c>
      <c r="K35" s="9" t="s">
        <v>110</v>
      </c>
      <c r="L35" s="9" t="s">
        <v>111</v>
      </c>
      <c r="M35" s="9" t="s">
        <v>112</v>
      </c>
      <c r="N35" s="9" t="s">
        <v>113</v>
      </c>
      <c r="O35" s="9" t="s">
        <v>206</v>
      </c>
      <c r="P35" s="9" t="s">
        <v>115</v>
      </c>
      <c r="Q35" s="9" t="s">
        <v>116</v>
      </c>
      <c r="R35" s="9" t="s">
        <v>276</v>
      </c>
      <c r="S35" s="10"/>
      <c r="T35" s="10"/>
      <c r="U35" s="10"/>
      <c r="V35" s="10"/>
      <c r="W35" s="11"/>
      <c r="X35" s="11"/>
      <c r="Y35" s="11"/>
      <c r="Z35" s="11"/>
      <c r="AA35" s="12" t="str">
        <f aca="false">IF(X35="","",IF(X35=0,"Unassigned",IF(X35=1,"Single point",IF(Z35="Yes","Staffed and credentialed","Staffed, credential gap"))))</f>
        <v/>
      </c>
      <c r="AB35" s="12" t="str">
        <f aca="false">IFERROR(INDEX(Lists!$H$3:$H$6,MATCH(AA35,Lists!$G$3:$G$6,0)),"")</f>
        <v/>
      </c>
      <c r="AC35" s="10"/>
      <c r="AD35" s="12" t="str">
        <f aca="false">IFERROR(INDEX(Lists!$B$3:$B$7,MATCH(AC35,Lists!$A$3:$A$7,0)),"")</f>
        <v/>
      </c>
      <c r="AE35" s="10"/>
      <c r="AF35" s="10"/>
      <c r="AG35" s="10"/>
      <c r="AH35" s="10"/>
      <c r="AI35" s="10"/>
      <c r="AJ35" s="10"/>
      <c r="AK35" s="13" t="str">
        <f aca="false">IF(OR(AH35="",AH35=0),"",AJ35/AH35)</f>
        <v/>
      </c>
      <c r="AL35" s="10"/>
      <c r="AM35" s="10"/>
      <c r="AN35" s="12" t="str">
        <f aca="false">IF(AL35="","Not assessed",IF(AND(Q35="No",AL35="Gap - recommend tailoring"),"INVALID: floor item is not tailorable",IF(OR(X35="",X35=0),"NO NAMED EXECUTOR",IF(AND(N(AD35)&gt;=3,AH35=""),"Operating claimed with no sample",IF(AND(N(AD35)&gt;=3,X35=1),"Operating rests on one individual",IF(AND(N(AD35)&gt;=3,Z35&lt;&gt;"Yes"),"Operating claimed below designed credential",IF(AND(Q35="No",N(AD35)&lt;3),"FLOOR GATE: below Operating",IF(AND(N(AD35)&gt;=3,AH35&lt;&gt;"",AJ35=""),"Sample size with no conforming count","OK"))))))))</f>
        <v>Not assessed</v>
      </c>
      <c r="AO35" s="10"/>
      <c r="AP35" s="10"/>
      <c r="AQ35" s="10"/>
    </row>
    <row r="36" customFormat="false" ht="22.35" hidden="false" customHeight="false" outlineLevel="0" collapsed="false">
      <c r="A36" s="9" t="s">
        <v>277</v>
      </c>
      <c r="B36" s="9" t="s">
        <v>101</v>
      </c>
      <c r="C36" s="9" t="s">
        <v>236</v>
      </c>
      <c r="D36" s="9" t="s">
        <v>278</v>
      </c>
      <c r="E36" s="9" t="s">
        <v>279</v>
      </c>
      <c r="F36" s="9" t="s">
        <v>280</v>
      </c>
      <c r="G36" s="9" t="s">
        <v>240</v>
      </c>
      <c r="H36" s="9" t="s">
        <v>281</v>
      </c>
      <c r="I36" s="9" t="s">
        <v>282</v>
      </c>
      <c r="J36" s="9" t="s">
        <v>109</v>
      </c>
      <c r="K36" s="9" t="s">
        <v>110</v>
      </c>
      <c r="L36" s="9" t="s">
        <v>155</v>
      </c>
      <c r="M36" s="9" t="s">
        <v>114</v>
      </c>
      <c r="N36" s="9" t="s">
        <v>156</v>
      </c>
      <c r="O36" s="9" t="s">
        <v>183</v>
      </c>
      <c r="P36" s="9" t="s">
        <v>115</v>
      </c>
      <c r="Q36" s="9" t="s">
        <v>116</v>
      </c>
      <c r="R36" s="9" t="s">
        <v>185</v>
      </c>
      <c r="S36" s="10"/>
      <c r="T36" s="10"/>
      <c r="U36" s="10"/>
      <c r="V36" s="10"/>
      <c r="W36" s="11"/>
      <c r="X36" s="11"/>
      <c r="Y36" s="11"/>
      <c r="Z36" s="11"/>
      <c r="AA36" s="12" t="str">
        <f aca="false">IF(X36="","",IF(X36=0,"Unassigned",IF(X36=1,"Single point",IF(Z36="Yes","Staffed and credentialed","Staffed, credential gap"))))</f>
        <v/>
      </c>
      <c r="AB36" s="12" t="str">
        <f aca="false">IFERROR(INDEX(Lists!$H$3:$H$6,MATCH(AA36,Lists!$G$3:$G$6,0)),"")</f>
        <v/>
      </c>
      <c r="AC36" s="10"/>
      <c r="AD36" s="12" t="str">
        <f aca="false">IFERROR(INDEX(Lists!$B$3:$B$7,MATCH(AC36,Lists!$A$3:$A$7,0)),"")</f>
        <v/>
      </c>
      <c r="AE36" s="10"/>
      <c r="AF36" s="10"/>
      <c r="AG36" s="10"/>
      <c r="AH36" s="10"/>
      <c r="AI36" s="10"/>
      <c r="AJ36" s="10"/>
      <c r="AK36" s="13" t="str">
        <f aca="false">IF(OR(AH36="",AH36=0),"",AJ36/AH36)</f>
        <v/>
      </c>
      <c r="AL36" s="10"/>
      <c r="AM36" s="10"/>
      <c r="AN36" s="12" t="str">
        <f aca="false">IF(AL36="","Not assessed",IF(AND(Q36="No",AL36="Gap - recommend tailoring"),"INVALID: floor item is not tailorable",IF(OR(X36="",X36=0),"NO NAMED EXECUTOR",IF(AND(N(AD36)&gt;=3,AH36=""),"Operating claimed with no sample",IF(AND(N(AD36)&gt;=3,X36=1),"Operating rests on one individual",IF(AND(N(AD36)&gt;=3,Z36&lt;&gt;"Yes"),"Operating claimed below designed credential",IF(AND(Q36="No",N(AD36)&lt;3),"FLOOR GATE: below Operating",IF(AND(N(AD36)&gt;=3,AH36&lt;&gt;"",AJ36=""),"Sample size with no conforming count","OK"))))))))</f>
        <v>Not assessed</v>
      </c>
      <c r="AO36" s="10"/>
      <c r="AP36" s="10"/>
      <c r="AQ36" s="10"/>
    </row>
    <row r="37" customFormat="false" ht="22.35" hidden="false" customHeight="false" outlineLevel="0" collapsed="false">
      <c r="A37" s="9" t="s">
        <v>283</v>
      </c>
      <c r="B37" s="9" t="s">
        <v>101</v>
      </c>
      <c r="C37" s="9" t="s">
        <v>236</v>
      </c>
      <c r="D37" s="9" t="s">
        <v>284</v>
      </c>
      <c r="E37" s="9" t="s">
        <v>285</v>
      </c>
      <c r="F37" s="9" t="s">
        <v>286</v>
      </c>
      <c r="G37" s="9" t="s">
        <v>240</v>
      </c>
      <c r="H37" s="9" t="s">
        <v>287</v>
      </c>
      <c r="I37" s="9" t="s">
        <v>288</v>
      </c>
      <c r="J37" s="9" t="s">
        <v>109</v>
      </c>
      <c r="K37" s="9" t="s">
        <v>110</v>
      </c>
      <c r="L37" s="9" t="s">
        <v>155</v>
      </c>
      <c r="M37" s="9" t="s">
        <v>114</v>
      </c>
      <c r="N37" s="9" t="s">
        <v>156</v>
      </c>
      <c r="O37" s="9" t="s">
        <v>183</v>
      </c>
      <c r="P37" s="9" t="s">
        <v>115</v>
      </c>
      <c r="Q37" s="9" t="s">
        <v>116</v>
      </c>
      <c r="R37" s="9" t="s">
        <v>289</v>
      </c>
      <c r="S37" s="10"/>
      <c r="T37" s="10"/>
      <c r="U37" s="10"/>
      <c r="V37" s="10"/>
      <c r="W37" s="11"/>
      <c r="X37" s="11"/>
      <c r="Y37" s="11"/>
      <c r="Z37" s="11"/>
      <c r="AA37" s="12" t="str">
        <f aca="false">IF(X37="","",IF(X37=0,"Unassigned",IF(X37=1,"Single point",IF(Z37="Yes","Staffed and credentialed","Staffed, credential gap"))))</f>
        <v/>
      </c>
      <c r="AB37" s="12" t="str">
        <f aca="false">IFERROR(INDEX(Lists!$H$3:$H$6,MATCH(AA37,Lists!$G$3:$G$6,0)),"")</f>
        <v/>
      </c>
      <c r="AC37" s="10"/>
      <c r="AD37" s="12" t="str">
        <f aca="false">IFERROR(INDEX(Lists!$B$3:$B$7,MATCH(AC37,Lists!$A$3:$A$7,0)),"")</f>
        <v/>
      </c>
      <c r="AE37" s="10"/>
      <c r="AF37" s="10"/>
      <c r="AG37" s="10"/>
      <c r="AH37" s="10"/>
      <c r="AI37" s="10"/>
      <c r="AJ37" s="10"/>
      <c r="AK37" s="13" t="str">
        <f aca="false">IF(OR(AH37="",AH37=0),"",AJ37/AH37)</f>
        <v/>
      </c>
      <c r="AL37" s="10"/>
      <c r="AM37" s="10"/>
      <c r="AN37" s="12" t="str">
        <f aca="false">IF(AL37="","Not assessed",IF(AND(Q37="No",AL37="Gap - recommend tailoring"),"INVALID: floor item is not tailorable",IF(OR(X37="",X37=0),"NO NAMED EXECUTOR",IF(AND(N(AD37)&gt;=3,AH37=""),"Operating claimed with no sample",IF(AND(N(AD37)&gt;=3,X37=1),"Operating rests on one individual",IF(AND(N(AD37)&gt;=3,Z37&lt;&gt;"Yes"),"Operating claimed below designed credential",IF(AND(Q37="No",N(AD37)&lt;3),"FLOOR GATE: below Operating",IF(AND(N(AD37)&gt;=3,AH37&lt;&gt;"",AJ37=""),"Sample size with no conforming count","OK"))))))))</f>
        <v>Not assessed</v>
      </c>
      <c r="AO37" s="10"/>
      <c r="AP37" s="10"/>
      <c r="AQ37" s="10"/>
    </row>
    <row r="38" customFormat="false" ht="22.35" hidden="false" customHeight="false" outlineLevel="0" collapsed="false">
      <c r="A38" s="9" t="s">
        <v>290</v>
      </c>
      <c r="B38" s="9" t="s">
        <v>101</v>
      </c>
      <c r="C38" s="9" t="s">
        <v>236</v>
      </c>
      <c r="D38" s="9" t="s">
        <v>291</v>
      </c>
      <c r="E38" s="9" t="s">
        <v>292</v>
      </c>
      <c r="F38" s="9" t="s">
        <v>293</v>
      </c>
      <c r="G38" s="9" t="s">
        <v>240</v>
      </c>
      <c r="H38" s="9" t="s">
        <v>294</v>
      </c>
      <c r="I38" s="9" t="s">
        <v>295</v>
      </c>
      <c r="J38" s="9" t="s">
        <v>219</v>
      </c>
      <c r="K38" s="9" t="s">
        <v>110</v>
      </c>
      <c r="L38" s="9" t="s">
        <v>111</v>
      </c>
      <c r="M38" s="9" t="s">
        <v>112</v>
      </c>
      <c r="N38" s="9" t="s">
        <v>113</v>
      </c>
      <c r="O38" s="9" t="s">
        <v>114</v>
      </c>
      <c r="P38" s="9" t="s">
        <v>115</v>
      </c>
      <c r="Q38" s="9" t="s">
        <v>116</v>
      </c>
      <c r="R38" s="9"/>
      <c r="S38" s="10"/>
      <c r="T38" s="10"/>
      <c r="U38" s="10"/>
      <c r="V38" s="10"/>
      <c r="W38" s="11"/>
      <c r="X38" s="11"/>
      <c r="Y38" s="11"/>
      <c r="Z38" s="11"/>
      <c r="AA38" s="12" t="str">
        <f aca="false">IF(X38="","",IF(X38=0,"Unassigned",IF(X38=1,"Single point",IF(Z38="Yes","Staffed and credentialed","Staffed, credential gap"))))</f>
        <v/>
      </c>
      <c r="AB38" s="12" t="str">
        <f aca="false">IFERROR(INDEX(Lists!$H$3:$H$6,MATCH(AA38,Lists!$G$3:$G$6,0)),"")</f>
        <v/>
      </c>
      <c r="AC38" s="10"/>
      <c r="AD38" s="12" t="str">
        <f aca="false">IFERROR(INDEX(Lists!$B$3:$B$7,MATCH(AC38,Lists!$A$3:$A$7,0)),"")</f>
        <v/>
      </c>
      <c r="AE38" s="10"/>
      <c r="AF38" s="10"/>
      <c r="AG38" s="10"/>
      <c r="AH38" s="10"/>
      <c r="AI38" s="10"/>
      <c r="AJ38" s="10"/>
      <c r="AK38" s="13" t="str">
        <f aca="false">IF(OR(AH38="",AH38=0),"",AJ38/AH38)</f>
        <v/>
      </c>
      <c r="AL38" s="10"/>
      <c r="AM38" s="10"/>
      <c r="AN38" s="12" t="str">
        <f aca="false">IF(AL38="","Not assessed",IF(AND(Q38="No",AL38="Gap - recommend tailoring"),"INVALID: floor item is not tailorable",IF(OR(X38="",X38=0),"NO NAMED EXECUTOR",IF(AND(N(AD38)&gt;=3,AH38=""),"Operating claimed with no sample",IF(AND(N(AD38)&gt;=3,X38=1),"Operating rests on one individual",IF(AND(N(AD38)&gt;=3,Z38&lt;&gt;"Yes"),"Operating claimed below designed credential",IF(AND(Q38="No",N(AD38)&lt;3),"FLOOR GATE: below Operating",IF(AND(N(AD38)&gt;=3,AH38&lt;&gt;"",AJ38=""),"Sample size with no conforming count","OK"))))))))</f>
        <v>Not assessed</v>
      </c>
      <c r="AO38" s="10"/>
      <c r="AP38" s="10"/>
      <c r="AQ38" s="10"/>
    </row>
    <row r="39" customFormat="false" ht="22.35" hidden="false" customHeight="false" outlineLevel="0" collapsed="false">
      <c r="A39" s="9" t="s">
        <v>296</v>
      </c>
      <c r="B39" s="9" t="s">
        <v>101</v>
      </c>
      <c r="C39" s="9" t="s">
        <v>102</v>
      </c>
      <c r="D39" s="9" t="s">
        <v>297</v>
      </c>
      <c r="E39" s="9" t="s">
        <v>298</v>
      </c>
      <c r="F39" s="9" t="s">
        <v>299</v>
      </c>
      <c r="G39" s="9" t="s">
        <v>300</v>
      </c>
      <c r="H39" s="9" t="s">
        <v>301</v>
      </c>
      <c r="I39" s="9" t="s">
        <v>302</v>
      </c>
      <c r="J39" s="9" t="s">
        <v>109</v>
      </c>
      <c r="K39" s="9" t="s">
        <v>110</v>
      </c>
      <c r="L39" s="9" t="s">
        <v>111</v>
      </c>
      <c r="M39" s="9" t="s">
        <v>112</v>
      </c>
      <c r="N39" s="9" t="s">
        <v>113</v>
      </c>
      <c r="O39" s="9" t="s">
        <v>114</v>
      </c>
      <c r="P39" s="9" t="s">
        <v>115</v>
      </c>
      <c r="Q39" s="9" t="s">
        <v>116</v>
      </c>
      <c r="R39" s="9" t="s">
        <v>303</v>
      </c>
      <c r="S39" s="10"/>
      <c r="T39" s="10"/>
      <c r="U39" s="10"/>
      <c r="V39" s="10"/>
      <c r="W39" s="11"/>
      <c r="X39" s="11"/>
      <c r="Y39" s="11"/>
      <c r="Z39" s="11"/>
      <c r="AA39" s="12" t="str">
        <f aca="false">IF(X39="","",IF(X39=0,"Unassigned",IF(X39=1,"Single point",IF(Z39="Yes","Staffed and credentialed","Staffed, credential gap"))))</f>
        <v/>
      </c>
      <c r="AB39" s="12" t="str">
        <f aca="false">IFERROR(INDEX(Lists!$H$3:$H$6,MATCH(AA39,Lists!$G$3:$G$6,0)),"")</f>
        <v/>
      </c>
      <c r="AC39" s="10"/>
      <c r="AD39" s="12" t="str">
        <f aca="false">IFERROR(INDEX(Lists!$B$3:$B$7,MATCH(AC39,Lists!$A$3:$A$7,0)),"")</f>
        <v/>
      </c>
      <c r="AE39" s="10"/>
      <c r="AF39" s="10"/>
      <c r="AG39" s="10"/>
      <c r="AH39" s="10"/>
      <c r="AI39" s="10"/>
      <c r="AJ39" s="10"/>
      <c r="AK39" s="13" t="str">
        <f aca="false">IF(OR(AH39="",AH39=0),"",AJ39/AH39)</f>
        <v/>
      </c>
      <c r="AL39" s="10"/>
      <c r="AM39" s="10"/>
      <c r="AN39" s="12" t="str">
        <f aca="false">IF(AL39="","Not assessed",IF(AND(Q39="No",AL39="Gap - recommend tailoring"),"INVALID: floor item is not tailorable",IF(OR(X39="",X39=0),"NO NAMED EXECUTOR",IF(AND(N(AD39)&gt;=3,AH39=""),"Operating claimed with no sample",IF(AND(N(AD39)&gt;=3,X39=1),"Operating rests on one individual",IF(AND(N(AD39)&gt;=3,Z39&lt;&gt;"Yes"),"Operating claimed below designed credential",IF(AND(Q39="No",N(AD39)&lt;3),"FLOOR GATE: below Operating",IF(AND(N(AD39)&gt;=3,AH39&lt;&gt;"",AJ39=""),"Sample size with no conforming count","OK"))))))))</f>
        <v>Not assessed</v>
      </c>
      <c r="AO39" s="10"/>
      <c r="AP39" s="10"/>
      <c r="AQ39" s="10"/>
    </row>
    <row r="40" customFormat="false" ht="22.35" hidden="false" customHeight="false" outlineLevel="0" collapsed="false">
      <c r="A40" s="9" t="s">
        <v>304</v>
      </c>
      <c r="B40" s="9" t="s">
        <v>101</v>
      </c>
      <c r="C40" s="9" t="s">
        <v>102</v>
      </c>
      <c r="D40" s="9" t="s">
        <v>305</v>
      </c>
      <c r="E40" s="9" t="s">
        <v>306</v>
      </c>
      <c r="F40" s="9" t="s">
        <v>307</v>
      </c>
      <c r="G40" s="9" t="s">
        <v>300</v>
      </c>
      <c r="H40" s="9" t="s">
        <v>301</v>
      </c>
      <c r="I40" s="9" t="s">
        <v>302</v>
      </c>
      <c r="J40" s="9" t="s">
        <v>109</v>
      </c>
      <c r="K40" s="9" t="s">
        <v>110</v>
      </c>
      <c r="L40" s="9" t="s">
        <v>155</v>
      </c>
      <c r="M40" s="9" t="s">
        <v>114</v>
      </c>
      <c r="N40" s="9" t="s">
        <v>156</v>
      </c>
      <c r="O40" s="9" t="s">
        <v>112</v>
      </c>
      <c r="P40" s="9" t="s">
        <v>115</v>
      </c>
      <c r="Q40" s="9" t="s">
        <v>116</v>
      </c>
      <c r="R40" s="9" t="s">
        <v>303</v>
      </c>
      <c r="S40" s="10"/>
      <c r="T40" s="10"/>
      <c r="U40" s="10"/>
      <c r="V40" s="10"/>
      <c r="W40" s="11"/>
      <c r="X40" s="11"/>
      <c r="Y40" s="11"/>
      <c r="Z40" s="11"/>
      <c r="AA40" s="12" t="str">
        <f aca="false">IF(X40="","",IF(X40=0,"Unassigned",IF(X40=1,"Single point",IF(Z40="Yes","Staffed and credentialed","Staffed, credential gap"))))</f>
        <v/>
      </c>
      <c r="AB40" s="12" t="str">
        <f aca="false">IFERROR(INDEX(Lists!$H$3:$H$6,MATCH(AA40,Lists!$G$3:$G$6,0)),"")</f>
        <v/>
      </c>
      <c r="AC40" s="10"/>
      <c r="AD40" s="12" t="str">
        <f aca="false">IFERROR(INDEX(Lists!$B$3:$B$7,MATCH(AC40,Lists!$A$3:$A$7,0)),"")</f>
        <v/>
      </c>
      <c r="AE40" s="10"/>
      <c r="AF40" s="10"/>
      <c r="AG40" s="10"/>
      <c r="AH40" s="10"/>
      <c r="AI40" s="10"/>
      <c r="AJ40" s="10"/>
      <c r="AK40" s="13" t="str">
        <f aca="false">IF(OR(AH40="",AH40=0),"",AJ40/AH40)</f>
        <v/>
      </c>
      <c r="AL40" s="10"/>
      <c r="AM40" s="10"/>
      <c r="AN40" s="12" t="str">
        <f aca="false">IF(AL40="","Not assessed",IF(AND(Q40="No",AL40="Gap - recommend tailoring"),"INVALID: floor item is not tailorable",IF(OR(X40="",X40=0),"NO NAMED EXECUTOR",IF(AND(N(AD40)&gt;=3,AH40=""),"Operating claimed with no sample",IF(AND(N(AD40)&gt;=3,X40=1),"Operating rests on one individual",IF(AND(N(AD40)&gt;=3,Z40&lt;&gt;"Yes"),"Operating claimed below designed credential",IF(AND(Q40="No",N(AD40)&lt;3),"FLOOR GATE: below Operating",IF(AND(N(AD40)&gt;=3,AH40&lt;&gt;"",AJ40=""),"Sample size with no conforming count","OK"))))))))</f>
        <v>Not assessed</v>
      </c>
      <c r="AO40" s="10"/>
      <c r="AP40" s="10"/>
      <c r="AQ40" s="10"/>
    </row>
    <row r="41" customFormat="false" ht="22.35" hidden="false" customHeight="false" outlineLevel="0" collapsed="false">
      <c r="A41" s="9" t="s">
        <v>308</v>
      </c>
      <c r="B41" s="9" t="s">
        <v>101</v>
      </c>
      <c r="C41" s="9" t="s">
        <v>102</v>
      </c>
      <c r="D41" s="9" t="s">
        <v>309</v>
      </c>
      <c r="E41" s="9" t="s">
        <v>310</v>
      </c>
      <c r="F41" s="9" t="s">
        <v>311</v>
      </c>
      <c r="G41" s="9" t="s">
        <v>300</v>
      </c>
      <c r="H41" s="9" t="s">
        <v>301</v>
      </c>
      <c r="I41" s="9" t="s">
        <v>302</v>
      </c>
      <c r="J41" s="9" t="s">
        <v>109</v>
      </c>
      <c r="K41" s="9" t="s">
        <v>110</v>
      </c>
      <c r="L41" s="9" t="s">
        <v>111</v>
      </c>
      <c r="M41" s="9" t="s">
        <v>112</v>
      </c>
      <c r="N41" s="9" t="s">
        <v>113</v>
      </c>
      <c r="O41" s="9" t="s">
        <v>114</v>
      </c>
      <c r="P41" s="9" t="s">
        <v>115</v>
      </c>
      <c r="Q41" s="9" t="s">
        <v>116</v>
      </c>
      <c r="R41" s="9" t="s">
        <v>303</v>
      </c>
      <c r="S41" s="10"/>
      <c r="T41" s="10"/>
      <c r="U41" s="10"/>
      <c r="V41" s="10"/>
      <c r="W41" s="11"/>
      <c r="X41" s="11"/>
      <c r="Y41" s="11"/>
      <c r="Z41" s="11"/>
      <c r="AA41" s="12" t="str">
        <f aca="false">IF(X41="","",IF(X41=0,"Unassigned",IF(X41=1,"Single point",IF(Z41="Yes","Staffed and credentialed","Staffed, credential gap"))))</f>
        <v/>
      </c>
      <c r="AB41" s="12" t="str">
        <f aca="false">IFERROR(INDEX(Lists!$H$3:$H$6,MATCH(AA41,Lists!$G$3:$G$6,0)),"")</f>
        <v/>
      </c>
      <c r="AC41" s="10"/>
      <c r="AD41" s="12" t="str">
        <f aca="false">IFERROR(INDEX(Lists!$B$3:$B$7,MATCH(AC41,Lists!$A$3:$A$7,0)),"")</f>
        <v/>
      </c>
      <c r="AE41" s="10"/>
      <c r="AF41" s="10"/>
      <c r="AG41" s="10"/>
      <c r="AH41" s="10"/>
      <c r="AI41" s="10"/>
      <c r="AJ41" s="10"/>
      <c r="AK41" s="13" t="str">
        <f aca="false">IF(OR(AH41="",AH41=0),"",AJ41/AH41)</f>
        <v/>
      </c>
      <c r="AL41" s="10"/>
      <c r="AM41" s="10"/>
      <c r="AN41" s="12" t="str">
        <f aca="false">IF(AL41="","Not assessed",IF(AND(Q41="No",AL41="Gap - recommend tailoring"),"INVALID: floor item is not tailorable",IF(OR(X41="",X41=0),"NO NAMED EXECUTOR",IF(AND(N(AD41)&gt;=3,AH41=""),"Operating claimed with no sample",IF(AND(N(AD41)&gt;=3,X41=1),"Operating rests on one individual",IF(AND(N(AD41)&gt;=3,Z41&lt;&gt;"Yes"),"Operating claimed below designed credential",IF(AND(Q41="No",N(AD41)&lt;3),"FLOOR GATE: below Operating",IF(AND(N(AD41)&gt;=3,AH41&lt;&gt;"",AJ41=""),"Sample size with no conforming count","OK"))))))))</f>
        <v>Not assessed</v>
      </c>
      <c r="AO41" s="10"/>
      <c r="AP41" s="10"/>
      <c r="AQ41" s="10"/>
    </row>
    <row r="42" customFormat="false" ht="22.35" hidden="false" customHeight="false" outlineLevel="0" collapsed="false">
      <c r="A42" s="9" t="s">
        <v>312</v>
      </c>
      <c r="B42" s="9" t="s">
        <v>101</v>
      </c>
      <c r="C42" s="9" t="s">
        <v>102</v>
      </c>
      <c r="D42" s="9" t="s">
        <v>313</v>
      </c>
      <c r="E42" s="9" t="s">
        <v>314</v>
      </c>
      <c r="F42" s="9" t="s">
        <v>315</v>
      </c>
      <c r="G42" s="9" t="s">
        <v>300</v>
      </c>
      <c r="H42" s="9" t="s">
        <v>301</v>
      </c>
      <c r="I42" s="9" t="s">
        <v>302</v>
      </c>
      <c r="J42" s="9" t="s">
        <v>109</v>
      </c>
      <c r="K42" s="9" t="s">
        <v>316</v>
      </c>
      <c r="L42" s="9" t="s">
        <v>111</v>
      </c>
      <c r="M42" s="9" t="s">
        <v>112</v>
      </c>
      <c r="N42" s="9" t="s">
        <v>113</v>
      </c>
      <c r="O42" s="9" t="s">
        <v>134</v>
      </c>
      <c r="P42" s="9" t="s">
        <v>115</v>
      </c>
      <c r="Q42" s="9" t="s">
        <v>116</v>
      </c>
      <c r="R42" s="9"/>
      <c r="S42" s="10"/>
      <c r="T42" s="10"/>
      <c r="U42" s="10"/>
      <c r="V42" s="10"/>
      <c r="W42" s="11"/>
      <c r="X42" s="11"/>
      <c r="Y42" s="11"/>
      <c r="Z42" s="11"/>
      <c r="AA42" s="12" t="str">
        <f aca="false">IF(X42="","",IF(X42=0,"Unassigned",IF(X42=1,"Single point",IF(Z42="Yes","Staffed and credentialed","Staffed, credential gap"))))</f>
        <v/>
      </c>
      <c r="AB42" s="12" t="str">
        <f aca="false">IFERROR(INDEX(Lists!$H$3:$H$6,MATCH(AA42,Lists!$G$3:$G$6,0)),"")</f>
        <v/>
      </c>
      <c r="AC42" s="10"/>
      <c r="AD42" s="12" t="str">
        <f aca="false">IFERROR(INDEX(Lists!$B$3:$B$7,MATCH(AC42,Lists!$A$3:$A$7,0)),"")</f>
        <v/>
      </c>
      <c r="AE42" s="10"/>
      <c r="AF42" s="10"/>
      <c r="AG42" s="10"/>
      <c r="AH42" s="10"/>
      <c r="AI42" s="10"/>
      <c r="AJ42" s="10"/>
      <c r="AK42" s="13" t="str">
        <f aca="false">IF(OR(AH42="",AH42=0),"",AJ42/AH42)</f>
        <v/>
      </c>
      <c r="AL42" s="10"/>
      <c r="AM42" s="10"/>
      <c r="AN42" s="12" t="str">
        <f aca="false">IF(AL42="","Not assessed",IF(AND(Q42="No",AL42="Gap - recommend tailoring"),"INVALID: floor item is not tailorable",IF(OR(X42="",X42=0),"NO NAMED EXECUTOR",IF(AND(N(AD42)&gt;=3,AH42=""),"Operating claimed with no sample",IF(AND(N(AD42)&gt;=3,X42=1),"Operating rests on one individual",IF(AND(N(AD42)&gt;=3,Z42&lt;&gt;"Yes"),"Operating claimed below designed credential",IF(AND(Q42="No",N(AD42)&lt;3),"FLOOR GATE: below Operating",IF(AND(N(AD42)&gt;=3,AH42&lt;&gt;"",AJ42=""),"Sample size with no conforming count","OK"))))))))</f>
        <v>Not assessed</v>
      </c>
      <c r="AO42" s="10"/>
      <c r="AP42" s="10"/>
      <c r="AQ42" s="10"/>
    </row>
    <row r="43" customFormat="false" ht="22.35" hidden="false" customHeight="false" outlineLevel="0" collapsed="false">
      <c r="A43" s="9" t="s">
        <v>317</v>
      </c>
      <c r="B43" s="9" t="s">
        <v>101</v>
      </c>
      <c r="C43" s="9" t="s">
        <v>236</v>
      </c>
      <c r="D43" s="9" t="s">
        <v>318</v>
      </c>
      <c r="E43" s="9" t="s">
        <v>319</v>
      </c>
      <c r="F43" s="9" t="s">
        <v>320</v>
      </c>
      <c r="G43" s="9" t="s">
        <v>300</v>
      </c>
      <c r="H43" s="9" t="s">
        <v>321</v>
      </c>
      <c r="I43" s="9" t="s">
        <v>322</v>
      </c>
      <c r="J43" s="9" t="s">
        <v>109</v>
      </c>
      <c r="K43" s="9" t="s">
        <v>110</v>
      </c>
      <c r="L43" s="9" t="s">
        <v>155</v>
      </c>
      <c r="M43" s="9" t="s">
        <v>114</v>
      </c>
      <c r="N43" s="9" t="s">
        <v>156</v>
      </c>
      <c r="O43" s="9" t="s">
        <v>183</v>
      </c>
      <c r="P43" s="9" t="s">
        <v>115</v>
      </c>
      <c r="Q43" s="9" t="s">
        <v>116</v>
      </c>
      <c r="R43" s="9" t="s">
        <v>185</v>
      </c>
      <c r="S43" s="10"/>
      <c r="T43" s="10"/>
      <c r="U43" s="10"/>
      <c r="V43" s="10"/>
      <c r="W43" s="11"/>
      <c r="X43" s="11"/>
      <c r="Y43" s="11"/>
      <c r="Z43" s="11"/>
      <c r="AA43" s="12" t="str">
        <f aca="false">IF(X43="","",IF(X43=0,"Unassigned",IF(X43=1,"Single point",IF(Z43="Yes","Staffed and credentialed","Staffed, credential gap"))))</f>
        <v/>
      </c>
      <c r="AB43" s="12" t="str">
        <f aca="false">IFERROR(INDEX(Lists!$H$3:$H$6,MATCH(AA43,Lists!$G$3:$G$6,0)),"")</f>
        <v/>
      </c>
      <c r="AC43" s="10"/>
      <c r="AD43" s="12" t="str">
        <f aca="false">IFERROR(INDEX(Lists!$B$3:$B$7,MATCH(AC43,Lists!$A$3:$A$7,0)),"")</f>
        <v/>
      </c>
      <c r="AE43" s="10"/>
      <c r="AF43" s="10"/>
      <c r="AG43" s="10"/>
      <c r="AH43" s="10"/>
      <c r="AI43" s="10"/>
      <c r="AJ43" s="10"/>
      <c r="AK43" s="13" t="str">
        <f aca="false">IF(OR(AH43="",AH43=0),"",AJ43/AH43)</f>
        <v/>
      </c>
      <c r="AL43" s="10"/>
      <c r="AM43" s="10"/>
      <c r="AN43" s="12" t="str">
        <f aca="false">IF(AL43="","Not assessed",IF(AND(Q43="No",AL43="Gap - recommend tailoring"),"INVALID: floor item is not tailorable",IF(OR(X43="",X43=0),"NO NAMED EXECUTOR",IF(AND(N(AD43)&gt;=3,AH43=""),"Operating claimed with no sample",IF(AND(N(AD43)&gt;=3,X43=1),"Operating rests on one individual",IF(AND(N(AD43)&gt;=3,Z43&lt;&gt;"Yes"),"Operating claimed below designed credential",IF(AND(Q43="No",N(AD43)&lt;3),"FLOOR GATE: below Operating",IF(AND(N(AD43)&gt;=3,AH43&lt;&gt;"",AJ43=""),"Sample size with no conforming count","OK"))))))))</f>
        <v>Not assessed</v>
      </c>
      <c r="AO43" s="10"/>
      <c r="AP43" s="10"/>
      <c r="AQ43" s="10"/>
    </row>
    <row r="44" customFormat="false" ht="22.35" hidden="false" customHeight="false" outlineLevel="0" collapsed="false">
      <c r="A44" s="9" t="s">
        <v>323</v>
      </c>
      <c r="B44" s="9" t="s">
        <v>101</v>
      </c>
      <c r="C44" s="9" t="s">
        <v>324</v>
      </c>
      <c r="D44" s="9" t="s">
        <v>325</v>
      </c>
      <c r="E44" s="9" t="s">
        <v>326</v>
      </c>
      <c r="F44" s="9" t="s">
        <v>327</v>
      </c>
      <c r="G44" s="9" t="s">
        <v>300</v>
      </c>
      <c r="H44" s="9" t="s">
        <v>328</v>
      </c>
      <c r="I44" s="9" t="s">
        <v>329</v>
      </c>
      <c r="J44" s="9" t="s">
        <v>109</v>
      </c>
      <c r="K44" s="9" t="s">
        <v>110</v>
      </c>
      <c r="L44" s="9" t="s">
        <v>111</v>
      </c>
      <c r="M44" s="9" t="s">
        <v>112</v>
      </c>
      <c r="N44" s="9" t="s">
        <v>113</v>
      </c>
      <c r="O44" s="9" t="s">
        <v>134</v>
      </c>
      <c r="P44" s="9" t="s">
        <v>115</v>
      </c>
      <c r="Q44" s="9" t="s">
        <v>116</v>
      </c>
      <c r="R44" s="9"/>
      <c r="S44" s="10"/>
      <c r="T44" s="10"/>
      <c r="U44" s="10"/>
      <c r="V44" s="10"/>
      <c r="W44" s="11"/>
      <c r="X44" s="11"/>
      <c r="Y44" s="11"/>
      <c r="Z44" s="11"/>
      <c r="AA44" s="12" t="str">
        <f aca="false">IF(X44="","",IF(X44=0,"Unassigned",IF(X44=1,"Single point",IF(Z44="Yes","Staffed and credentialed","Staffed, credential gap"))))</f>
        <v/>
      </c>
      <c r="AB44" s="12" t="str">
        <f aca="false">IFERROR(INDEX(Lists!$H$3:$H$6,MATCH(AA44,Lists!$G$3:$G$6,0)),"")</f>
        <v/>
      </c>
      <c r="AC44" s="10"/>
      <c r="AD44" s="12" t="str">
        <f aca="false">IFERROR(INDEX(Lists!$B$3:$B$7,MATCH(AC44,Lists!$A$3:$A$7,0)),"")</f>
        <v/>
      </c>
      <c r="AE44" s="10"/>
      <c r="AF44" s="10"/>
      <c r="AG44" s="10"/>
      <c r="AH44" s="10"/>
      <c r="AI44" s="10"/>
      <c r="AJ44" s="10"/>
      <c r="AK44" s="13" t="str">
        <f aca="false">IF(OR(AH44="",AH44=0),"",AJ44/AH44)</f>
        <v/>
      </c>
      <c r="AL44" s="10"/>
      <c r="AM44" s="10"/>
      <c r="AN44" s="12" t="str">
        <f aca="false">IF(AL44="","Not assessed",IF(AND(Q44="No",AL44="Gap - recommend tailoring"),"INVALID: floor item is not tailorable",IF(OR(X44="",X44=0),"NO NAMED EXECUTOR",IF(AND(N(AD44)&gt;=3,AH44=""),"Operating claimed with no sample",IF(AND(N(AD44)&gt;=3,X44=1),"Operating rests on one individual",IF(AND(N(AD44)&gt;=3,Z44&lt;&gt;"Yes"),"Operating claimed below designed credential",IF(AND(Q44="No",N(AD44)&lt;3),"FLOOR GATE: below Operating",IF(AND(N(AD44)&gt;=3,AH44&lt;&gt;"",AJ44=""),"Sample size with no conforming count","OK"))))))))</f>
        <v>Not assessed</v>
      </c>
      <c r="AO44" s="10"/>
      <c r="AP44" s="10"/>
      <c r="AQ44" s="10"/>
    </row>
    <row r="45" customFormat="false" ht="22.35" hidden="false" customHeight="false" outlineLevel="0" collapsed="false">
      <c r="A45" s="9" t="s">
        <v>330</v>
      </c>
      <c r="B45" s="9" t="s">
        <v>101</v>
      </c>
      <c r="C45" s="9" t="s">
        <v>324</v>
      </c>
      <c r="D45" s="9" t="s">
        <v>331</v>
      </c>
      <c r="E45" s="9" t="s">
        <v>332</v>
      </c>
      <c r="F45" s="9" t="s">
        <v>333</v>
      </c>
      <c r="G45" s="9" t="s">
        <v>300</v>
      </c>
      <c r="H45" s="9" t="s">
        <v>328</v>
      </c>
      <c r="I45" s="9" t="s">
        <v>334</v>
      </c>
      <c r="J45" s="9" t="s">
        <v>109</v>
      </c>
      <c r="K45" s="9" t="s">
        <v>133</v>
      </c>
      <c r="L45" s="9" t="s">
        <v>335</v>
      </c>
      <c r="M45" s="9" t="s">
        <v>134</v>
      </c>
      <c r="N45" s="9" t="s">
        <v>336</v>
      </c>
      <c r="O45" s="9" t="s">
        <v>112</v>
      </c>
      <c r="P45" s="9" t="s">
        <v>115</v>
      </c>
      <c r="Q45" s="9" t="s">
        <v>116</v>
      </c>
      <c r="R45" s="9"/>
      <c r="S45" s="10"/>
      <c r="T45" s="10"/>
      <c r="U45" s="10"/>
      <c r="V45" s="10"/>
      <c r="W45" s="11"/>
      <c r="X45" s="11"/>
      <c r="Y45" s="11"/>
      <c r="Z45" s="11"/>
      <c r="AA45" s="12" t="str">
        <f aca="false">IF(X45="","",IF(X45=0,"Unassigned",IF(X45=1,"Single point",IF(Z45="Yes","Staffed and credentialed","Staffed, credential gap"))))</f>
        <v/>
      </c>
      <c r="AB45" s="12" t="str">
        <f aca="false">IFERROR(INDEX(Lists!$H$3:$H$6,MATCH(AA45,Lists!$G$3:$G$6,0)),"")</f>
        <v/>
      </c>
      <c r="AC45" s="10"/>
      <c r="AD45" s="12" t="str">
        <f aca="false">IFERROR(INDEX(Lists!$B$3:$B$7,MATCH(AC45,Lists!$A$3:$A$7,0)),"")</f>
        <v/>
      </c>
      <c r="AE45" s="10"/>
      <c r="AF45" s="10"/>
      <c r="AG45" s="10"/>
      <c r="AH45" s="10"/>
      <c r="AI45" s="10"/>
      <c r="AJ45" s="10"/>
      <c r="AK45" s="13" t="str">
        <f aca="false">IF(OR(AH45="",AH45=0),"",AJ45/AH45)</f>
        <v/>
      </c>
      <c r="AL45" s="10"/>
      <c r="AM45" s="10"/>
      <c r="AN45" s="12" t="str">
        <f aca="false">IF(AL45="","Not assessed",IF(AND(Q45="No",AL45="Gap - recommend tailoring"),"INVALID: floor item is not tailorable",IF(OR(X45="",X45=0),"NO NAMED EXECUTOR",IF(AND(N(AD45)&gt;=3,AH45=""),"Operating claimed with no sample",IF(AND(N(AD45)&gt;=3,X45=1),"Operating rests on one individual",IF(AND(N(AD45)&gt;=3,Z45&lt;&gt;"Yes"),"Operating claimed below designed credential",IF(AND(Q45="No",N(AD45)&lt;3),"FLOOR GATE: below Operating",IF(AND(N(AD45)&gt;=3,AH45&lt;&gt;"",AJ45=""),"Sample size with no conforming count","OK"))))))))</f>
        <v>Not assessed</v>
      </c>
      <c r="AO45" s="10"/>
      <c r="AP45" s="10"/>
      <c r="AQ45" s="10"/>
    </row>
    <row r="46" customFormat="false" ht="22.35" hidden="false" customHeight="false" outlineLevel="0" collapsed="false">
      <c r="A46" s="9" t="s">
        <v>337</v>
      </c>
      <c r="B46" s="9" t="s">
        <v>101</v>
      </c>
      <c r="C46" s="9" t="s">
        <v>236</v>
      </c>
      <c r="D46" s="9" t="s">
        <v>338</v>
      </c>
      <c r="E46" s="9" t="s">
        <v>339</v>
      </c>
      <c r="F46" s="9" t="s">
        <v>340</v>
      </c>
      <c r="G46" s="9" t="s">
        <v>300</v>
      </c>
      <c r="H46" s="9" t="s">
        <v>341</v>
      </c>
      <c r="I46" s="9" t="s">
        <v>342</v>
      </c>
      <c r="J46" s="9" t="s">
        <v>109</v>
      </c>
      <c r="K46" s="9" t="s">
        <v>110</v>
      </c>
      <c r="L46" s="9" t="s">
        <v>111</v>
      </c>
      <c r="M46" s="9" t="s">
        <v>112</v>
      </c>
      <c r="N46" s="9" t="s">
        <v>113</v>
      </c>
      <c r="O46" s="9" t="s">
        <v>114</v>
      </c>
      <c r="P46" s="9" t="s">
        <v>115</v>
      </c>
      <c r="Q46" s="9" t="s">
        <v>116</v>
      </c>
      <c r="R46" s="9" t="s">
        <v>267</v>
      </c>
      <c r="S46" s="10"/>
      <c r="T46" s="10"/>
      <c r="U46" s="10"/>
      <c r="V46" s="10"/>
      <c r="W46" s="11"/>
      <c r="X46" s="11"/>
      <c r="Y46" s="11"/>
      <c r="Z46" s="11"/>
      <c r="AA46" s="12" t="str">
        <f aca="false">IF(X46="","",IF(X46=0,"Unassigned",IF(X46=1,"Single point",IF(Z46="Yes","Staffed and credentialed","Staffed, credential gap"))))</f>
        <v/>
      </c>
      <c r="AB46" s="12" t="str">
        <f aca="false">IFERROR(INDEX(Lists!$H$3:$H$6,MATCH(AA46,Lists!$G$3:$G$6,0)),"")</f>
        <v/>
      </c>
      <c r="AC46" s="10"/>
      <c r="AD46" s="12" t="str">
        <f aca="false">IFERROR(INDEX(Lists!$B$3:$B$7,MATCH(AC46,Lists!$A$3:$A$7,0)),"")</f>
        <v/>
      </c>
      <c r="AE46" s="10"/>
      <c r="AF46" s="10"/>
      <c r="AG46" s="10"/>
      <c r="AH46" s="10"/>
      <c r="AI46" s="10"/>
      <c r="AJ46" s="10"/>
      <c r="AK46" s="13" t="str">
        <f aca="false">IF(OR(AH46="",AH46=0),"",AJ46/AH46)</f>
        <v/>
      </c>
      <c r="AL46" s="10"/>
      <c r="AM46" s="10"/>
      <c r="AN46" s="12" t="str">
        <f aca="false">IF(AL46="","Not assessed",IF(AND(Q46="No",AL46="Gap - recommend tailoring"),"INVALID: floor item is not tailorable",IF(OR(X46="",X46=0),"NO NAMED EXECUTOR",IF(AND(N(AD46)&gt;=3,AH46=""),"Operating claimed with no sample",IF(AND(N(AD46)&gt;=3,X46=1),"Operating rests on one individual",IF(AND(N(AD46)&gt;=3,Z46&lt;&gt;"Yes"),"Operating claimed below designed credential",IF(AND(Q46="No",N(AD46)&lt;3),"FLOOR GATE: below Operating",IF(AND(N(AD46)&gt;=3,AH46&lt;&gt;"",AJ46=""),"Sample size with no conforming count","OK"))))))))</f>
        <v>Not assessed</v>
      </c>
      <c r="AO46" s="10"/>
      <c r="AP46" s="10"/>
      <c r="AQ46" s="10"/>
    </row>
    <row r="47" customFormat="false" ht="22.35" hidden="false" customHeight="false" outlineLevel="0" collapsed="false">
      <c r="A47" s="9" t="s">
        <v>343</v>
      </c>
      <c r="B47" s="9" t="s">
        <v>101</v>
      </c>
      <c r="C47" s="9" t="s">
        <v>236</v>
      </c>
      <c r="D47" s="9" t="s">
        <v>344</v>
      </c>
      <c r="E47" s="9" t="s">
        <v>345</v>
      </c>
      <c r="F47" s="9" t="s">
        <v>346</v>
      </c>
      <c r="G47" s="9" t="s">
        <v>300</v>
      </c>
      <c r="H47" s="9" t="s">
        <v>341</v>
      </c>
      <c r="I47" s="9" t="s">
        <v>342</v>
      </c>
      <c r="J47" s="9" t="s">
        <v>109</v>
      </c>
      <c r="K47" s="9" t="s">
        <v>110</v>
      </c>
      <c r="L47" s="9" t="s">
        <v>111</v>
      </c>
      <c r="M47" s="9" t="s">
        <v>112</v>
      </c>
      <c r="N47" s="9" t="s">
        <v>113</v>
      </c>
      <c r="O47" s="9" t="s">
        <v>206</v>
      </c>
      <c r="P47" s="9" t="s">
        <v>115</v>
      </c>
      <c r="Q47" s="9" t="s">
        <v>116</v>
      </c>
      <c r="R47" s="9" t="s">
        <v>276</v>
      </c>
      <c r="S47" s="10"/>
      <c r="T47" s="10"/>
      <c r="U47" s="10"/>
      <c r="V47" s="10"/>
      <c r="W47" s="11"/>
      <c r="X47" s="11"/>
      <c r="Y47" s="11"/>
      <c r="Z47" s="11"/>
      <c r="AA47" s="12" t="str">
        <f aca="false">IF(X47="","",IF(X47=0,"Unassigned",IF(X47=1,"Single point",IF(Z47="Yes","Staffed and credentialed","Staffed, credential gap"))))</f>
        <v/>
      </c>
      <c r="AB47" s="12" t="str">
        <f aca="false">IFERROR(INDEX(Lists!$H$3:$H$6,MATCH(AA47,Lists!$G$3:$G$6,0)),"")</f>
        <v/>
      </c>
      <c r="AC47" s="10"/>
      <c r="AD47" s="12" t="str">
        <f aca="false">IFERROR(INDEX(Lists!$B$3:$B$7,MATCH(AC47,Lists!$A$3:$A$7,0)),"")</f>
        <v/>
      </c>
      <c r="AE47" s="10"/>
      <c r="AF47" s="10"/>
      <c r="AG47" s="10"/>
      <c r="AH47" s="10"/>
      <c r="AI47" s="10"/>
      <c r="AJ47" s="10"/>
      <c r="AK47" s="13" t="str">
        <f aca="false">IF(OR(AH47="",AH47=0),"",AJ47/AH47)</f>
        <v/>
      </c>
      <c r="AL47" s="10"/>
      <c r="AM47" s="10"/>
      <c r="AN47" s="12" t="str">
        <f aca="false">IF(AL47="","Not assessed",IF(AND(Q47="No",AL47="Gap - recommend tailoring"),"INVALID: floor item is not tailorable",IF(OR(X47="",X47=0),"NO NAMED EXECUTOR",IF(AND(N(AD47)&gt;=3,AH47=""),"Operating claimed with no sample",IF(AND(N(AD47)&gt;=3,X47=1),"Operating rests on one individual",IF(AND(N(AD47)&gt;=3,Z47&lt;&gt;"Yes"),"Operating claimed below designed credential",IF(AND(Q47="No",N(AD47)&lt;3),"FLOOR GATE: below Operating",IF(AND(N(AD47)&gt;=3,AH47&lt;&gt;"",AJ47=""),"Sample size with no conforming count","OK"))))))))</f>
        <v>Not assessed</v>
      </c>
      <c r="AO47" s="10"/>
      <c r="AP47" s="10"/>
      <c r="AQ47" s="10"/>
    </row>
    <row r="48" customFormat="false" ht="22.35" hidden="false" customHeight="false" outlineLevel="0" collapsed="false">
      <c r="A48" s="9" t="s">
        <v>347</v>
      </c>
      <c r="B48" s="9" t="s">
        <v>101</v>
      </c>
      <c r="C48" s="9" t="s">
        <v>236</v>
      </c>
      <c r="D48" s="9" t="s">
        <v>348</v>
      </c>
      <c r="E48" s="9" t="s">
        <v>349</v>
      </c>
      <c r="F48" s="9" t="s">
        <v>350</v>
      </c>
      <c r="G48" s="9" t="s">
        <v>300</v>
      </c>
      <c r="H48" s="9" t="s">
        <v>341</v>
      </c>
      <c r="I48" s="9" t="s">
        <v>342</v>
      </c>
      <c r="J48" s="9" t="s">
        <v>109</v>
      </c>
      <c r="K48" s="9" t="s">
        <v>110</v>
      </c>
      <c r="L48" s="9" t="s">
        <v>111</v>
      </c>
      <c r="M48" s="9" t="s">
        <v>112</v>
      </c>
      <c r="N48" s="9" t="s">
        <v>113</v>
      </c>
      <c r="O48" s="9" t="s">
        <v>114</v>
      </c>
      <c r="P48" s="9" t="s">
        <v>115</v>
      </c>
      <c r="Q48" s="9" t="s">
        <v>116</v>
      </c>
      <c r="R48" s="9"/>
      <c r="S48" s="10"/>
      <c r="T48" s="10"/>
      <c r="U48" s="10"/>
      <c r="V48" s="10"/>
      <c r="W48" s="11"/>
      <c r="X48" s="11"/>
      <c r="Y48" s="11"/>
      <c r="Z48" s="11"/>
      <c r="AA48" s="12" t="str">
        <f aca="false">IF(X48="","",IF(X48=0,"Unassigned",IF(X48=1,"Single point",IF(Z48="Yes","Staffed and credentialed","Staffed, credential gap"))))</f>
        <v/>
      </c>
      <c r="AB48" s="12" t="str">
        <f aca="false">IFERROR(INDEX(Lists!$H$3:$H$6,MATCH(AA48,Lists!$G$3:$G$6,0)),"")</f>
        <v/>
      </c>
      <c r="AC48" s="10"/>
      <c r="AD48" s="12" t="str">
        <f aca="false">IFERROR(INDEX(Lists!$B$3:$B$7,MATCH(AC48,Lists!$A$3:$A$7,0)),"")</f>
        <v/>
      </c>
      <c r="AE48" s="10"/>
      <c r="AF48" s="10"/>
      <c r="AG48" s="10"/>
      <c r="AH48" s="10"/>
      <c r="AI48" s="10"/>
      <c r="AJ48" s="10"/>
      <c r="AK48" s="13" t="str">
        <f aca="false">IF(OR(AH48="",AH48=0),"",AJ48/AH48)</f>
        <v/>
      </c>
      <c r="AL48" s="10"/>
      <c r="AM48" s="10"/>
      <c r="AN48" s="12" t="str">
        <f aca="false">IF(AL48="","Not assessed",IF(AND(Q48="No",AL48="Gap - recommend tailoring"),"INVALID: floor item is not tailorable",IF(OR(X48="",X48=0),"NO NAMED EXECUTOR",IF(AND(N(AD48)&gt;=3,AH48=""),"Operating claimed with no sample",IF(AND(N(AD48)&gt;=3,X48=1),"Operating rests on one individual",IF(AND(N(AD48)&gt;=3,Z48&lt;&gt;"Yes"),"Operating claimed below designed credential",IF(AND(Q48="No",N(AD48)&lt;3),"FLOOR GATE: below Operating",IF(AND(N(AD48)&gt;=3,AH48&lt;&gt;"",AJ48=""),"Sample size with no conforming count","OK"))))))))</f>
        <v>Not assessed</v>
      </c>
      <c r="AO48" s="10"/>
      <c r="AP48" s="10"/>
      <c r="AQ48" s="10"/>
    </row>
    <row r="49" customFormat="false" ht="22.35" hidden="false" customHeight="false" outlineLevel="0" collapsed="false">
      <c r="A49" s="9" t="s">
        <v>351</v>
      </c>
      <c r="B49" s="9" t="s">
        <v>352</v>
      </c>
      <c r="C49" s="9" t="s">
        <v>324</v>
      </c>
      <c r="D49" s="9" t="s">
        <v>353</v>
      </c>
      <c r="E49" s="9" t="s">
        <v>354</v>
      </c>
      <c r="F49" s="9"/>
      <c r="G49" s="9"/>
      <c r="H49" s="9"/>
      <c r="I49" s="9"/>
      <c r="J49" s="9" t="s">
        <v>355</v>
      </c>
      <c r="K49" s="9" t="s">
        <v>356</v>
      </c>
      <c r="L49" s="9"/>
      <c r="M49" s="9"/>
      <c r="N49" s="9"/>
      <c r="O49" s="9"/>
      <c r="P49" s="9" t="s">
        <v>357</v>
      </c>
      <c r="Q49" s="9" t="s">
        <v>53</v>
      </c>
      <c r="R49" s="9"/>
      <c r="S49" s="10"/>
      <c r="T49" s="10"/>
      <c r="U49" s="10"/>
      <c r="V49" s="10"/>
      <c r="W49" s="11"/>
      <c r="X49" s="11"/>
      <c r="Y49" s="11"/>
      <c r="Z49" s="11"/>
      <c r="AA49" s="12" t="str">
        <f aca="false">IF(X49="","",IF(X49=0,"Unassigned",IF(X49=1,"Single point",IF(Z49="Yes","Staffed and credentialed","Staffed, credential gap"))))</f>
        <v/>
      </c>
      <c r="AB49" s="12" t="str">
        <f aca="false">IFERROR(INDEX(Lists!$H$3:$H$6,MATCH(AA49,Lists!$G$3:$G$6,0)),"")</f>
        <v/>
      </c>
      <c r="AC49" s="10"/>
      <c r="AD49" s="12" t="str">
        <f aca="false">IFERROR(INDEX(Lists!$B$3:$B$7,MATCH(AC49,Lists!$A$3:$A$7,0)),"")</f>
        <v/>
      </c>
      <c r="AE49" s="10"/>
      <c r="AF49" s="10"/>
      <c r="AG49" s="10"/>
      <c r="AH49" s="10"/>
      <c r="AI49" s="10"/>
      <c r="AJ49" s="10"/>
      <c r="AK49" s="13" t="str">
        <f aca="false">IF(OR(AH49="",AH49=0),"",AJ49/AH49)</f>
        <v/>
      </c>
      <c r="AL49" s="10"/>
      <c r="AM49" s="10"/>
      <c r="AN49" s="12" t="str">
        <f aca="false">IF(AL49="","Not assessed",IF(AND(Q49="No",AL49="Gap - recommend tailoring"),"INVALID: floor item is not tailorable",IF(OR(X49="",X49=0),"NO NAMED EXECUTOR",IF(AND(N(AD49)&gt;=3,AH49=""),"Operating claimed with no sample",IF(AND(N(AD49)&gt;=3,X49=1),"Operating rests on one individual",IF(AND(N(AD49)&gt;=3,Z49&lt;&gt;"Yes"),"Operating claimed below designed credential",IF(AND(Q49="No",N(AD49)&lt;3),"FLOOR GATE: below Operating",IF(AND(N(AD49)&gt;=3,AH49&lt;&gt;"",AJ49=""),"Sample size with no conforming count","OK"))))))))</f>
        <v>Not assessed</v>
      </c>
      <c r="AO49" s="10"/>
      <c r="AP49" s="10"/>
      <c r="AQ49" s="10"/>
    </row>
    <row r="50" customFormat="false" ht="22.35" hidden="false" customHeight="false" outlineLevel="0" collapsed="false">
      <c r="A50" s="9" t="s">
        <v>358</v>
      </c>
      <c r="B50" s="9" t="s">
        <v>352</v>
      </c>
      <c r="C50" s="9" t="s">
        <v>324</v>
      </c>
      <c r="D50" s="9" t="s">
        <v>359</v>
      </c>
      <c r="E50" s="9" t="s">
        <v>360</v>
      </c>
      <c r="F50" s="9"/>
      <c r="G50" s="9"/>
      <c r="H50" s="9"/>
      <c r="I50" s="9"/>
      <c r="J50" s="9" t="s">
        <v>355</v>
      </c>
      <c r="K50" s="9" t="s">
        <v>356</v>
      </c>
      <c r="L50" s="9"/>
      <c r="M50" s="9"/>
      <c r="N50" s="9"/>
      <c r="O50" s="9"/>
      <c r="P50" s="9" t="s">
        <v>361</v>
      </c>
      <c r="Q50" s="9" t="s">
        <v>53</v>
      </c>
      <c r="R50" s="9"/>
      <c r="S50" s="10"/>
      <c r="T50" s="10"/>
      <c r="U50" s="10"/>
      <c r="V50" s="10"/>
      <c r="W50" s="11"/>
      <c r="X50" s="11"/>
      <c r="Y50" s="11"/>
      <c r="Z50" s="11"/>
      <c r="AA50" s="12" t="str">
        <f aca="false">IF(X50="","",IF(X50=0,"Unassigned",IF(X50=1,"Single point",IF(Z50="Yes","Staffed and credentialed","Staffed, credential gap"))))</f>
        <v/>
      </c>
      <c r="AB50" s="12" t="str">
        <f aca="false">IFERROR(INDEX(Lists!$H$3:$H$6,MATCH(AA50,Lists!$G$3:$G$6,0)),"")</f>
        <v/>
      </c>
      <c r="AC50" s="10"/>
      <c r="AD50" s="12" t="str">
        <f aca="false">IFERROR(INDEX(Lists!$B$3:$B$7,MATCH(AC50,Lists!$A$3:$A$7,0)),"")</f>
        <v/>
      </c>
      <c r="AE50" s="10"/>
      <c r="AF50" s="10"/>
      <c r="AG50" s="10"/>
      <c r="AH50" s="10"/>
      <c r="AI50" s="10"/>
      <c r="AJ50" s="10"/>
      <c r="AK50" s="13" t="str">
        <f aca="false">IF(OR(AH50="",AH50=0),"",AJ50/AH50)</f>
        <v/>
      </c>
      <c r="AL50" s="10"/>
      <c r="AM50" s="10"/>
      <c r="AN50" s="12" t="str">
        <f aca="false">IF(AL50="","Not assessed",IF(AND(Q50="No",AL50="Gap - recommend tailoring"),"INVALID: floor item is not tailorable",IF(OR(X50="",X50=0),"NO NAMED EXECUTOR",IF(AND(N(AD50)&gt;=3,AH50=""),"Operating claimed with no sample",IF(AND(N(AD50)&gt;=3,X50=1),"Operating rests on one individual",IF(AND(N(AD50)&gt;=3,Z50&lt;&gt;"Yes"),"Operating claimed below designed credential",IF(AND(Q50="No",N(AD50)&lt;3),"FLOOR GATE: below Operating",IF(AND(N(AD50)&gt;=3,AH50&lt;&gt;"",AJ50=""),"Sample size with no conforming count","OK"))))))))</f>
        <v>Not assessed</v>
      </c>
      <c r="AO50" s="10"/>
      <c r="AP50" s="10"/>
      <c r="AQ50" s="10"/>
    </row>
    <row r="51" customFormat="false" ht="22.35" hidden="false" customHeight="false" outlineLevel="0" collapsed="false">
      <c r="A51" s="9" t="s">
        <v>362</v>
      </c>
      <c r="B51" s="9" t="s">
        <v>363</v>
      </c>
      <c r="C51" s="9" t="s">
        <v>324</v>
      </c>
      <c r="D51" s="9" t="s">
        <v>364</v>
      </c>
      <c r="E51" s="9" t="s">
        <v>365</v>
      </c>
      <c r="F51" s="9"/>
      <c r="G51" s="9"/>
      <c r="H51" s="9"/>
      <c r="I51" s="9"/>
      <c r="J51" s="9" t="s">
        <v>355</v>
      </c>
      <c r="K51" s="9" t="s">
        <v>356</v>
      </c>
      <c r="L51" s="9"/>
      <c r="M51" s="9"/>
      <c r="N51" s="9"/>
      <c r="O51" s="9"/>
      <c r="P51" s="9" t="s">
        <v>361</v>
      </c>
      <c r="Q51" s="9" t="s">
        <v>53</v>
      </c>
      <c r="R51" s="9" t="s">
        <v>366</v>
      </c>
      <c r="S51" s="10"/>
      <c r="T51" s="10"/>
      <c r="U51" s="10"/>
      <c r="V51" s="10"/>
      <c r="W51" s="11"/>
      <c r="X51" s="11"/>
      <c r="Y51" s="11"/>
      <c r="Z51" s="11"/>
      <c r="AA51" s="12" t="str">
        <f aca="false">IF(X51="","",IF(X51=0,"Unassigned",IF(X51=1,"Single point",IF(Z51="Yes","Staffed and credentialed","Staffed, credential gap"))))</f>
        <v/>
      </c>
      <c r="AB51" s="12" t="str">
        <f aca="false">IFERROR(INDEX(Lists!$H$3:$H$6,MATCH(AA51,Lists!$G$3:$G$6,0)),"")</f>
        <v/>
      </c>
      <c r="AC51" s="10"/>
      <c r="AD51" s="12" t="str">
        <f aca="false">IFERROR(INDEX(Lists!$B$3:$B$7,MATCH(AC51,Lists!$A$3:$A$7,0)),"")</f>
        <v/>
      </c>
      <c r="AE51" s="10"/>
      <c r="AF51" s="10"/>
      <c r="AG51" s="10"/>
      <c r="AH51" s="10"/>
      <c r="AI51" s="10"/>
      <c r="AJ51" s="10"/>
      <c r="AK51" s="13" t="str">
        <f aca="false">IF(OR(AH51="",AH51=0),"",AJ51/AH51)</f>
        <v/>
      </c>
      <c r="AL51" s="10"/>
      <c r="AM51" s="10"/>
      <c r="AN51" s="12" t="str">
        <f aca="false">IF(AL51="","Not assessed",IF(AND(Q51="No",AL51="Gap - recommend tailoring"),"INVALID: floor item is not tailorable",IF(OR(X51="",X51=0),"NO NAMED EXECUTOR",IF(AND(N(AD51)&gt;=3,AH51=""),"Operating claimed with no sample",IF(AND(N(AD51)&gt;=3,X51=1),"Operating rests on one individual",IF(AND(N(AD51)&gt;=3,Z51&lt;&gt;"Yes"),"Operating claimed below designed credential",IF(AND(Q51="No",N(AD51)&lt;3),"FLOOR GATE: below Operating",IF(AND(N(AD51)&gt;=3,AH51&lt;&gt;"",AJ51=""),"Sample size with no conforming count","OK"))))))))</f>
        <v>Not assessed</v>
      </c>
      <c r="AO51" s="10"/>
      <c r="AP51" s="10"/>
      <c r="AQ51" s="10"/>
    </row>
    <row r="52" customFormat="false" ht="22.35" hidden="false" customHeight="false" outlineLevel="0" collapsed="false">
      <c r="A52" s="9" t="s">
        <v>367</v>
      </c>
      <c r="B52" s="9" t="s">
        <v>363</v>
      </c>
      <c r="C52" s="9" t="s">
        <v>324</v>
      </c>
      <c r="D52" s="9" t="s">
        <v>368</v>
      </c>
      <c r="E52" s="9" t="s">
        <v>369</v>
      </c>
      <c r="F52" s="9"/>
      <c r="G52" s="9"/>
      <c r="H52" s="9"/>
      <c r="I52" s="9"/>
      <c r="J52" s="9" t="s">
        <v>355</v>
      </c>
      <c r="K52" s="9" t="s">
        <v>356</v>
      </c>
      <c r="L52" s="9"/>
      <c r="M52" s="9"/>
      <c r="N52" s="9"/>
      <c r="O52" s="9"/>
      <c r="P52" s="9" t="s">
        <v>361</v>
      </c>
      <c r="Q52" s="9" t="s">
        <v>53</v>
      </c>
      <c r="R52" s="9" t="s">
        <v>366</v>
      </c>
      <c r="S52" s="10"/>
      <c r="T52" s="10"/>
      <c r="U52" s="10"/>
      <c r="V52" s="10"/>
      <c r="W52" s="11"/>
      <c r="X52" s="11"/>
      <c r="Y52" s="11"/>
      <c r="Z52" s="11"/>
      <c r="AA52" s="12" t="str">
        <f aca="false">IF(X52="","",IF(X52=0,"Unassigned",IF(X52=1,"Single point",IF(Z52="Yes","Staffed and credentialed","Staffed, credential gap"))))</f>
        <v/>
      </c>
      <c r="AB52" s="12" t="str">
        <f aca="false">IFERROR(INDEX(Lists!$H$3:$H$6,MATCH(AA52,Lists!$G$3:$G$6,0)),"")</f>
        <v/>
      </c>
      <c r="AC52" s="10"/>
      <c r="AD52" s="12" t="str">
        <f aca="false">IFERROR(INDEX(Lists!$B$3:$B$7,MATCH(AC52,Lists!$A$3:$A$7,0)),"")</f>
        <v/>
      </c>
      <c r="AE52" s="10"/>
      <c r="AF52" s="10"/>
      <c r="AG52" s="10"/>
      <c r="AH52" s="10"/>
      <c r="AI52" s="10"/>
      <c r="AJ52" s="10"/>
      <c r="AK52" s="13" t="str">
        <f aca="false">IF(OR(AH52="",AH52=0),"",AJ52/AH52)</f>
        <v/>
      </c>
      <c r="AL52" s="10"/>
      <c r="AM52" s="10"/>
      <c r="AN52" s="12" t="str">
        <f aca="false">IF(AL52="","Not assessed",IF(AND(Q52="No",AL52="Gap - recommend tailoring"),"INVALID: floor item is not tailorable",IF(OR(X52="",X52=0),"NO NAMED EXECUTOR",IF(AND(N(AD52)&gt;=3,AH52=""),"Operating claimed with no sample",IF(AND(N(AD52)&gt;=3,X52=1),"Operating rests on one individual",IF(AND(N(AD52)&gt;=3,Z52&lt;&gt;"Yes"),"Operating claimed below designed credential",IF(AND(Q52="No",N(AD52)&lt;3),"FLOOR GATE: below Operating",IF(AND(N(AD52)&gt;=3,AH52&lt;&gt;"",AJ52=""),"Sample size with no conforming count","OK"))))))))</f>
        <v>Not assessed</v>
      </c>
      <c r="AO52" s="10"/>
      <c r="AP52" s="10"/>
      <c r="AQ52" s="10"/>
    </row>
    <row r="53" customFormat="false" ht="22.35" hidden="false" customHeight="false" outlineLevel="0" collapsed="false">
      <c r="A53" s="9" t="s">
        <v>370</v>
      </c>
      <c r="B53" s="9" t="s">
        <v>363</v>
      </c>
      <c r="C53" s="9" t="s">
        <v>324</v>
      </c>
      <c r="D53" s="9" t="s">
        <v>371</v>
      </c>
      <c r="E53" s="9" t="s">
        <v>372</v>
      </c>
      <c r="F53" s="9"/>
      <c r="G53" s="9"/>
      <c r="H53" s="9"/>
      <c r="I53" s="9"/>
      <c r="J53" s="9" t="s">
        <v>355</v>
      </c>
      <c r="K53" s="9" t="s">
        <v>356</v>
      </c>
      <c r="L53" s="9"/>
      <c r="M53" s="9"/>
      <c r="N53" s="9"/>
      <c r="O53" s="9"/>
      <c r="P53" s="9" t="s">
        <v>361</v>
      </c>
      <c r="Q53" s="9" t="s">
        <v>53</v>
      </c>
      <c r="R53" s="9" t="s">
        <v>366</v>
      </c>
      <c r="S53" s="10"/>
      <c r="T53" s="10"/>
      <c r="U53" s="10"/>
      <c r="V53" s="10"/>
      <c r="W53" s="11"/>
      <c r="X53" s="11"/>
      <c r="Y53" s="11"/>
      <c r="Z53" s="11"/>
      <c r="AA53" s="12" t="str">
        <f aca="false">IF(X53="","",IF(X53=0,"Unassigned",IF(X53=1,"Single point",IF(Z53="Yes","Staffed and credentialed","Staffed, credential gap"))))</f>
        <v/>
      </c>
      <c r="AB53" s="12" t="str">
        <f aca="false">IFERROR(INDEX(Lists!$H$3:$H$6,MATCH(AA53,Lists!$G$3:$G$6,0)),"")</f>
        <v/>
      </c>
      <c r="AC53" s="10"/>
      <c r="AD53" s="12" t="str">
        <f aca="false">IFERROR(INDEX(Lists!$B$3:$B$7,MATCH(AC53,Lists!$A$3:$A$7,0)),"")</f>
        <v/>
      </c>
      <c r="AE53" s="10"/>
      <c r="AF53" s="10"/>
      <c r="AG53" s="10"/>
      <c r="AH53" s="10"/>
      <c r="AI53" s="10"/>
      <c r="AJ53" s="10"/>
      <c r="AK53" s="13" t="str">
        <f aca="false">IF(OR(AH53="",AH53=0),"",AJ53/AH53)</f>
        <v/>
      </c>
      <c r="AL53" s="10"/>
      <c r="AM53" s="10"/>
      <c r="AN53" s="12" t="str">
        <f aca="false">IF(AL53="","Not assessed",IF(AND(Q53="No",AL53="Gap - recommend tailoring"),"INVALID: floor item is not tailorable",IF(OR(X53="",X53=0),"NO NAMED EXECUTOR",IF(AND(N(AD53)&gt;=3,AH53=""),"Operating claimed with no sample",IF(AND(N(AD53)&gt;=3,X53=1),"Operating rests on one individual",IF(AND(N(AD53)&gt;=3,Z53&lt;&gt;"Yes"),"Operating claimed below designed credential",IF(AND(Q53="No",N(AD53)&lt;3),"FLOOR GATE: below Operating",IF(AND(N(AD53)&gt;=3,AH53&lt;&gt;"",AJ53=""),"Sample size with no conforming count","OK"))))))))</f>
        <v>Not assessed</v>
      </c>
      <c r="AO53" s="10"/>
      <c r="AP53" s="10"/>
      <c r="AQ53" s="10"/>
    </row>
    <row r="54" customFormat="false" ht="22.35" hidden="false" customHeight="false" outlineLevel="0" collapsed="false">
      <c r="A54" s="9" t="s">
        <v>373</v>
      </c>
      <c r="B54" s="9" t="s">
        <v>363</v>
      </c>
      <c r="C54" s="9" t="s">
        <v>324</v>
      </c>
      <c r="D54" s="9" t="s">
        <v>374</v>
      </c>
      <c r="E54" s="9" t="s">
        <v>375</v>
      </c>
      <c r="F54" s="9"/>
      <c r="G54" s="9"/>
      <c r="H54" s="9"/>
      <c r="I54" s="9"/>
      <c r="J54" s="9" t="s">
        <v>355</v>
      </c>
      <c r="K54" s="9" t="s">
        <v>356</v>
      </c>
      <c r="L54" s="9"/>
      <c r="M54" s="9"/>
      <c r="N54" s="9"/>
      <c r="O54" s="9"/>
      <c r="P54" s="9" t="s">
        <v>361</v>
      </c>
      <c r="Q54" s="9" t="s">
        <v>53</v>
      </c>
      <c r="R54" s="9" t="s">
        <v>366</v>
      </c>
      <c r="S54" s="10"/>
      <c r="T54" s="10"/>
      <c r="U54" s="10"/>
      <c r="V54" s="10"/>
      <c r="W54" s="11"/>
      <c r="X54" s="11"/>
      <c r="Y54" s="11"/>
      <c r="Z54" s="11"/>
      <c r="AA54" s="12" t="str">
        <f aca="false">IF(X54="","",IF(X54=0,"Unassigned",IF(X54=1,"Single point",IF(Z54="Yes","Staffed and credentialed","Staffed, credential gap"))))</f>
        <v/>
      </c>
      <c r="AB54" s="12" t="str">
        <f aca="false">IFERROR(INDEX(Lists!$H$3:$H$6,MATCH(AA54,Lists!$G$3:$G$6,0)),"")</f>
        <v/>
      </c>
      <c r="AC54" s="10"/>
      <c r="AD54" s="12" t="str">
        <f aca="false">IFERROR(INDEX(Lists!$B$3:$B$7,MATCH(AC54,Lists!$A$3:$A$7,0)),"")</f>
        <v/>
      </c>
      <c r="AE54" s="10"/>
      <c r="AF54" s="10"/>
      <c r="AG54" s="10"/>
      <c r="AH54" s="10"/>
      <c r="AI54" s="10"/>
      <c r="AJ54" s="10"/>
      <c r="AK54" s="13" t="str">
        <f aca="false">IF(OR(AH54="",AH54=0),"",AJ54/AH54)</f>
        <v/>
      </c>
      <c r="AL54" s="10"/>
      <c r="AM54" s="10"/>
      <c r="AN54" s="12" t="str">
        <f aca="false">IF(AL54="","Not assessed",IF(AND(Q54="No",AL54="Gap - recommend tailoring"),"INVALID: floor item is not tailorable",IF(OR(X54="",X54=0),"NO NAMED EXECUTOR",IF(AND(N(AD54)&gt;=3,AH54=""),"Operating claimed with no sample",IF(AND(N(AD54)&gt;=3,X54=1),"Operating rests on one individual",IF(AND(N(AD54)&gt;=3,Z54&lt;&gt;"Yes"),"Operating claimed below designed credential",IF(AND(Q54="No",N(AD54)&lt;3),"FLOOR GATE: below Operating",IF(AND(N(AD54)&gt;=3,AH54&lt;&gt;"",AJ54=""),"Sample size with no conforming count","OK"))))))))</f>
        <v>Not assessed</v>
      </c>
      <c r="AO54" s="10"/>
      <c r="AP54" s="10"/>
      <c r="AQ54" s="10"/>
    </row>
    <row r="55" customFormat="false" ht="22.35" hidden="false" customHeight="false" outlineLevel="0" collapsed="false">
      <c r="A55" s="9" t="s">
        <v>376</v>
      </c>
      <c r="B55" s="9" t="s">
        <v>363</v>
      </c>
      <c r="C55" s="9" t="s">
        <v>324</v>
      </c>
      <c r="D55" s="9" t="s">
        <v>377</v>
      </c>
      <c r="E55" s="9" t="s">
        <v>378</v>
      </c>
      <c r="F55" s="9"/>
      <c r="G55" s="9"/>
      <c r="H55" s="9"/>
      <c r="I55" s="9"/>
      <c r="J55" s="9" t="s">
        <v>355</v>
      </c>
      <c r="K55" s="9" t="s">
        <v>356</v>
      </c>
      <c r="L55" s="9"/>
      <c r="M55" s="9"/>
      <c r="N55" s="9"/>
      <c r="O55" s="9"/>
      <c r="P55" s="9" t="s">
        <v>379</v>
      </c>
      <c r="Q55" s="9" t="s">
        <v>53</v>
      </c>
      <c r="R55" s="9" t="s">
        <v>366</v>
      </c>
      <c r="S55" s="10"/>
      <c r="T55" s="10"/>
      <c r="U55" s="10"/>
      <c r="V55" s="10"/>
      <c r="W55" s="11"/>
      <c r="X55" s="11"/>
      <c r="Y55" s="11"/>
      <c r="Z55" s="11"/>
      <c r="AA55" s="12" t="str">
        <f aca="false">IF(X55="","",IF(X55=0,"Unassigned",IF(X55=1,"Single point",IF(Z55="Yes","Staffed and credentialed","Staffed, credential gap"))))</f>
        <v/>
      </c>
      <c r="AB55" s="12" t="str">
        <f aca="false">IFERROR(INDEX(Lists!$H$3:$H$6,MATCH(AA55,Lists!$G$3:$G$6,0)),"")</f>
        <v/>
      </c>
      <c r="AC55" s="10"/>
      <c r="AD55" s="12" t="str">
        <f aca="false">IFERROR(INDEX(Lists!$B$3:$B$7,MATCH(AC55,Lists!$A$3:$A$7,0)),"")</f>
        <v/>
      </c>
      <c r="AE55" s="10"/>
      <c r="AF55" s="10"/>
      <c r="AG55" s="10"/>
      <c r="AH55" s="10"/>
      <c r="AI55" s="10"/>
      <c r="AJ55" s="10"/>
      <c r="AK55" s="13" t="str">
        <f aca="false">IF(OR(AH55="",AH55=0),"",AJ55/AH55)</f>
        <v/>
      </c>
      <c r="AL55" s="10"/>
      <c r="AM55" s="10"/>
      <c r="AN55" s="12" t="str">
        <f aca="false">IF(AL55="","Not assessed",IF(AND(Q55="No",AL55="Gap - recommend tailoring"),"INVALID: floor item is not tailorable",IF(OR(X55="",X55=0),"NO NAMED EXECUTOR",IF(AND(N(AD55)&gt;=3,AH55=""),"Operating claimed with no sample",IF(AND(N(AD55)&gt;=3,X55=1),"Operating rests on one individual",IF(AND(N(AD55)&gt;=3,Z55&lt;&gt;"Yes"),"Operating claimed below designed credential",IF(AND(Q55="No",N(AD55)&lt;3),"FLOOR GATE: below Operating",IF(AND(N(AD55)&gt;=3,AH55&lt;&gt;"",AJ55=""),"Sample size with no conforming count","OK"))))))))</f>
        <v>Not assessed</v>
      </c>
      <c r="AO55" s="10"/>
      <c r="AP55" s="10"/>
      <c r="AQ55" s="10"/>
    </row>
    <row r="56" customFormat="false" ht="22.35" hidden="false" customHeight="false" outlineLevel="0" collapsed="false">
      <c r="A56" s="9" t="s">
        <v>380</v>
      </c>
      <c r="B56" s="9" t="s">
        <v>363</v>
      </c>
      <c r="C56" s="9" t="s">
        <v>324</v>
      </c>
      <c r="D56" s="9" t="s">
        <v>381</v>
      </c>
      <c r="E56" s="9" t="s">
        <v>382</v>
      </c>
      <c r="F56" s="9"/>
      <c r="G56" s="9"/>
      <c r="H56" s="9"/>
      <c r="I56" s="9"/>
      <c r="J56" s="9" t="s">
        <v>355</v>
      </c>
      <c r="K56" s="9" t="s">
        <v>356</v>
      </c>
      <c r="L56" s="9"/>
      <c r="M56" s="9"/>
      <c r="N56" s="9"/>
      <c r="O56" s="9"/>
      <c r="P56" s="9" t="s">
        <v>361</v>
      </c>
      <c r="Q56" s="9" t="s">
        <v>53</v>
      </c>
      <c r="R56" s="9" t="s">
        <v>366</v>
      </c>
      <c r="S56" s="10"/>
      <c r="T56" s="10"/>
      <c r="U56" s="10"/>
      <c r="V56" s="10"/>
      <c r="W56" s="11"/>
      <c r="X56" s="11"/>
      <c r="Y56" s="11"/>
      <c r="Z56" s="11"/>
      <c r="AA56" s="12" t="str">
        <f aca="false">IF(X56="","",IF(X56=0,"Unassigned",IF(X56=1,"Single point",IF(Z56="Yes","Staffed and credentialed","Staffed, credential gap"))))</f>
        <v/>
      </c>
      <c r="AB56" s="12" t="str">
        <f aca="false">IFERROR(INDEX(Lists!$H$3:$H$6,MATCH(AA56,Lists!$G$3:$G$6,0)),"")</f>
        <v/>
      </c>
      <c r="AC56" s="10"/>
      <c r="AD56" s="12" t="str">
        <f aca="false">IFERROR(INDEX(Lists!$B$3:$B$7,MATCH(AC56,Lists!$A$3:$A$7,0)),"")</f>
        <v/>
      </c>
      <c r="AE56" s="10"/>
      <c r="AF56" s="10"/>
      <c r="AG56" s="10"/>
      <c r="AH56" s="10"/>
      <c r="AI56" s="10"/>
      <c r="AJ56" s="10"/>
      <c r="AK56" s="13" t="str">
        <f aca="false">IF(OR(AH56="",AH56=0),"",AJ56/AH56)</f>
        <v/>
      </c>
      <c r="AL56" s="10"/>
      <c r="AM56" s="10"/>
      <c r="AN56" s="12" t="str">
        <f aca="false">IF(AL56="","Not assessed",IF(AND(Q56="No",AL56="Gap - recommend tailoring"),"INVALID: floor item is not tailorable",IF(OR(X56="",X56=0),"NO NAMED EXECUTOR",IF(AND(N(AD56)&gt;=3,AH56=""),"Operating claimed with no sample",IF(AND(N(AD56)&gt;=3,X56=1),"Operating rests on one individual",IF(AND(N(AD56)&gt;=3,Z56&lt;&gt;"Yes"),"Operating claimed below designed credential",IF(AND(Q56="No",N(AD56)&lt;3),"FLOOR GATE: below Operating",IF(AND(N(AD56)&gt;=3,AH56&lt;&gt;"",AJ56=""),"Sample size with no conforming count","OK"))))))))</f>
        <v>Not assessed</v>
      </c>
      <c r="AO56" s="10"/>
      <c r="AP56" s="10"/>
      <c r="AQ56" s="10"/>
    </row>
    <row r="57" customFormat="false" ht="22.35" hidden="false" customHeight="false" outlineLevel="0" collapsed="false">
      <c r="A57" s="9" t="s">
        <v>383</v>
      </c>
      <c r="B57" s="9" t="s">
        <v>363</v>
      </c>
      <c r="C57" s="9" t="s">
        <v>324</v>
      </c>
      <c r="D57" s="9" t="s">
        <v>384</v>
      </c>
      <c r="E57" s="9" t="s">
        <v>385</v>
      </c>
      <c r="F57" s="9"/>
      <c r="G57" s="9"/>
      <c r="H57" s="9"/>
      <c r="I57" s="9"/>
      <c r="J57" s="9" t="s">
        <v>355</v>
      </c>
      <c r="K57" s="9" t="s">
        <v>356</v>
      </c>
      <c r="L57" s="9"/>
      <c r="M57" s="9"/>
      <c r="N57" s="9"/>
      <c r="O57" s="9"/>
      <c r="P57" s="9" t="s">
        <v>386</v>
      </c>
      <c r="Q57" s="9" t="s">
        <v>53</v>
      </c>
      <c r="R57" s="9" t="s">
        <v>366</v>
      </c>
      <c r="S57" s="10"/>
      <c r="T57" s="10"/>
      <c r="U57" s="10"/>
      <c r="V57" s="10"/>
      <c r="W57" s="11"/>
      <c r="X57" s="11"/>
      <c r="Y57" s="11"/>
      <c r="Z57" s="11"/>
      <c r="AA57" s="12" t="str">
        <f aca="false">IF(X57="","",IF(X57=0,"Unassigned",IF(X57=1,"Single point",IF(Z57="Yes","Staffed and credentialed","Staffed, credential gap"))))</f>
        <v/>
      </c>
      <c r="AB57" s="12" t="str">
        <f aca="false">IFERROR(INDEX(Lists!$H$3:$H$6,MATCH(AA57,Lists!$G$3:$G$6,0)),"")</f>
        <v/>
      </c>
      <c r="AC57" s="10"/>
      <c r="AD57" s="12" t="str">
        <f aca="false">IFERROR(INDEX(Lists!$B$3:$B$7,MATCH(AC57,Lists!$A$3:$A$7,0)),"")</f>
        <v/>
      </c>
      <c r="AE57" s="10"/>
      <c r="AF57" s="10"/>
      <c r="AG57" s="10"/>
      <c r="AH57" s="10"/>
      <c r="AI57" s="10"/>
      <c r="AJ57" s="10"/>
      <c r="AK57" s="13" t="str">
        <f aca="false">IF(OR(AH57="",AH57=0),"",AJ57/AH57)</f>
        <v/>
      </c>
      <c r="AL57" s="10"/>
      <c r="AM57" s="10"/>
      <c r="AN57" s="12" t="str">
        <f aca="false">IF(AL57="","Not assessed",IF(AND(Q57="No",AL57="Gap - recommend tailoring"),"INVALID: floor item is not tailorable",IF(OR(X57="",X57=0),"NO NAMED EXECUTOR",IF(AND(N(AD57)&gt;=3,AH57=""),"Operating claimed with no sample",IF(AND(N(AD57)&gt;=3,X57=1),"Operating rests on one individual",IF(AND(N(AD57)&gt;=3,Z57&lt;&gt;"Yes"),"Operating claimed below designed credential",IF(AND(Q57="No",N(AD57)&lt;3),"FLOOR GATE: below Operating",IF(AND(N(AD57)&gt;=3,AH57&lt;&gt;"",AJ57=""),"Sample size with no conforming count","OK"))))))))</f>
        <v>Not assessed</v>
      </c>
      <c r="AO57" s="10"/>
      <c r="AP57" s="10"/>
      <c r="AQ57" s="10"/>
    </row>
    <row r="58" customFormat="false" ht="22.35" hidden="false" customHeight="false" outlineLevel="0" collapsed="false">
      <c r="A58" s="9" t="s">
        <v>387</v>
      </c>
      <c r="B58" s="9" t="s">
        <v>363</v>
      </c>
      <c r="C58" s="9" t="s">
        <v>324</v>
      </c>
      <c r="D58" s="9" t="s">
        <v>388</v>
      </c>
      <c r="E58" s="9" t="s">
        <v>389</v>
      </c>
      <c r="F58" s="9"/>
      <c r="G58" s="9"/>
      <c r="H58" s="9"/>
      <c r="I58" s="9"/>
      <c r="J58" s="9" t="s">
        <v>355</v>
      </c>
      <c r="K58" s="9" t="s">
        <v>356</v>
      </c>
      <c r="L58" s="9"/>
      <c r="M58" s="9"/>
      <c r="N58" s="9"/>
      <c r="O58" s="9"/>
      <c r="P58" s="9" t="s">
        <v>390</v>
      </c>
      <c r="Q58" s="9" t="s">
        <v>53</v>
      </c>
      <c r="R58" s="9" t="s">
        <v>366</v>
      </c>
      <c r="S58" s="10"/>
      <c r="T58" s="10"/>
      <c r="U58" s="10"/>
      <c r="V58" s="10"/>
      <c r="W58" s="11"/>
      <c r="X58" s="11"/>
      <c r="Y58" s="11"/>
      <c r="Z58" s="11"/>
      <c r="AA58" s="12" t="str">
        <f aca="false">IF(X58="","",IF(X58=0,"Unassigned",IF(X58=1,"Single point",IF(Z58="Yes","Staffed and credentialed","Staffed, credential gap"))))</f>
        <v/>
      </c>
      <c r="AB58" s="12" t="str">
        <f aca="false">IFERROR(INDEX(Lists!$H$3:$H$6,MATCH(AA58,Lists!$G$3:$G$6,0)),"")</f>
        <v/>
      </c>
      <c r="AC58" s="10"/>
      <c r="AD58" s="12" t="str">
        <f aca="false">IFERROR(INDEX(Lists!$B$3:$B$7,MATCH(AC58,Lists!$A$3:$A$7,0)),"")</f>
        <v/>
      </c>
      <c r="AE58" s="10"/>
      <c r="AF58" s="10"/>
      <c r="AG58" s="10"/>
      <c r="AH58" s="10"/>
      <c r="AI58" s="10"/>
      <c r="AJ58" s="10"/>
      <c r="AK58" s="13" t="str">
        <f aca="false">IF(OR(AH58="",AH58=0),"",AJ58/AH58)</f>
        <v/>
      </c>
      <c r="AL58" s="10"/>
      <c r="AM58" s="10"/>
      <c r="AN58" s="12" t="str">
        <f aca="false">IF(AL58="","Not assessed",IF(AND(Q58="No",AL58="Gap - recommend tailoring"),"INVALID: floor item is not tailorable",IF(OR(X58="",X58=0),"NO NAMED EXECUTOR",IF(AND(N(AD58)&gt;=3,AH58=""),"Operating claimed with no sample",IF(AND(N(AD58)&gt;=3,X58=1),"Operating rests on one individual",IF(AND(N(AD58)&gt;=3,Z58&lt;&gt;"Yes"),"Operating claimed below designed credential",IF(AND(Q58="No",N(AD58)&lt;3),"FLOOR GATE: below Operating",IF(AND(N(AD58)&gt;=3,AH58&lt;&gt;"",AJ58=""),"Sample size with no conforming count","OK"))))))))</f>
        <v>Not assessed</v>
      </c>
      <c r="AO58" s="10"/>
      <c r="AP58" s="10"/>
      <c r="AQ58" s="10"/>
    </row>
    <row r="59" customFormat="false" ht="32.8" hidden="false" customHeight="false" outlineLevel="0" collapsed="false">
      <c r="A59" s="9" t="s">
        <v>391</v>
      </c>
      <c r="B59" s="9" t="s">
        <v>363</v>
      </c>
      <c r="C59" s="9" t="s">
        <v>324</v>
      </c>
      <c r="D59" s="9" t="s">
        <v>392</v>
      </c>
      <c r="E59" s="9" t="s">
        <v>393</v>
      </c>
      <c r="F59" s="9"/>
      <c r="G59" s="9"/>
      <c r="H59" s="9"/>
      <c r="I59" s="9"/>
      <c r="J59" s="9" t="s">
        <v>355</v>
      </c>
      <c r="K59" s="9" t="s">
        <v>356</v>
      </c>
      <c r="L59" s="9"/>
      <c r="M59" s="9"/>
      <c r="N59" s="9"/>
      <c r="O59" s="9"/>
      <c r="P59" s="9" t="s">
        <v>394</v>
      </c>
      <c r="Q59" s="9" t="s">
        <v>53</v>
      </c>
      <c r="R59" s="9" t="s">
        <v>366</v>
      </c>
      <c r="S59" s="10"/>
      <c r="T59" s="10"/>
      <c r="U59" s="10"/>
      <c r="V59" s="10"/>
      <c r="W59" s="11"/>
      <c r="X59" s="11"/>
      <c r="Y59" s="11"/>
      <c r="Z59" s="11"/>
      <c r="AA59" s="12" t="str">
        <f aca="false">IF(X59="","",IF(X59=0,"Unassigned",IF(X59=1,"Single point",IF(Z59="Yes","Staffed and credentialed","Staffed, credential gap"))))</f>
        <v/>
      </c>
      <c r="AB59" s="12" t="str">
        <f aca="false">IFERROR(INDEX(Lists!$H$3:$H$6,MATCH(AA59,Lists!$G$3:$G$6,0)),"")</f>
        <v/>
      </c>
      <c r="AC59" s="10"/>
      <c r="AD59" s="12" t="str">
        <f aca="false">IFERROR(INDEX(Lists!$B$3:$B$7,MATCH(AC59,Lists!$A$3:$A$7,0)),"")</f>
        <v/>
      </c>
      <c r="AE59" s="10"/>
      <c r="AF59" s="10"/>
      <c r="AG59" s="10"/>
      <c r="AH59" s="10"/>
      <c r="AI59" s="10"/>
      <c r="AJ59" s="10"/>
      <c r="AK59" s="13" t="str">
        <f aca="false">IF(OR(AH59="",AH59=0),"",AJ59/AH59)</f>
        <v/>
      </c>
      <c r="AL59" s="10"/>
      <c r="AM59" s="10"/>
      <c r="AN59" s="12" t="str">
        <f aca="false">IF(AL59="","Not assessed",IF(AND(Q59="No",AL59="Gap - recommend tailoring"),"INVALID: floor item is not tailorable",IF(OR(X59="",X59=0),"NO NAMED EXECUTOR",IF(AND(N(AD59)&gt;=3,AH59=""),"Operating claimed with no sample",IF(AND(N(AD59)&gt;=3,X59=1),"Operating rests on one individual",IF(AND(N(AD59)&gt;=3,Z59&lt;&gt;"Yes"),"Operating claimed below designed credential",IF(AND(Q59="No",N(AD59)&lt;3),"FLOOR GATE: below Operating",IF(AND(N(AD59)&gt;=3,AH59&lt;&gt;"",AJ59=""),"Sample size with no conforming count","OK"))))))))</f>
        <v>Not assessed</v>
      </c>
      <c r="AO59" s="10"/>
      <c r="AP59" s="10"/>
      <c r="AQ59" s="10"/>
    </row>
    <row r="60" customFormat="false" ht="32.8" hidden="false" customHeight="false" outlineLevel="0" collapsed="false">
      <c r="A60" s="9" t="s">
        <v>395</v>
      </c>
      <c r="B60" s="9" t="s">
        <v>363</v>
      </c>
      <c r="C60" s="9" t="s">
        <v>324</v>
      </c>
      <c r="D60" s="9" t="s">
        <v>396</v>
      </c>
      <c r="E60" s="9" t="s">
        <v>397</v>
      </c>
      <c r="F60" s="9"/>
      <c r="G60" s="9"/>
      <c r="H60" s="9"/>
      <c r="I60" s="9"/>
      <c r="J60" s="9" t="s">
        <v>355</v>
      </c>
      <c r="K60" s="9" t="s">
        <v>356</v>
      </c>
      <c r="L60" s="9"/>
      <c r="M60" s="9"/>
      <c r="N60" s="9"/>
      <c r="O60" s="9"/>
      <c r="P60" s="9" t="s">
        <v>398</v>
      </c>
      <c r="Q60" s="9" t="s">
        <v>53</v>
      </c>
      <c r="R60" s="9" t="s">
        <v>366</v>
      </c>
      <c r="S60" s="10"/>
      <c r="T60" s="10"/>
      <c r="U60" s="10"/>
      <c r="V60" s="10"/>
      <c r="W60" s="11"/>
      <c r="X60" s="11"/>
      <c r="Y60" s="11"/>
      <c r="Z60" s="11"/>
      <c r="AA60" s="12" t="str">
        <f aca="false">IF(X60="","",IF(X60=0,"Unassigned",IF(X60=1,"Single point",IF(Z60="Yes","Staffed and credentialed","Staffed, credential gap"))))</f>
        <v/>
      </c>
      <c r="AB60" s="12" t="str">
        <f aca="false">IFERROR(INDEX(Lists!$H$3:$H$6,MATCH(AA60,Lists!$G$3:$G$6,0)),"")</f>
        <v/>
      </c>
      <c r="AC60" s="10"/>
      <c r="AD60" s="12" t="str">
        <f aca="false">IFERROR(INDEX(Lists!$B$3:$B$7,MATCH(AC60,Lists!$A$3:$A$7,0)),"")</f>
        <v/>
      </c>
      <c r="AE60" s="10"/>
      <c r="AF60" s="10"/>
      <c r="AG60" s="10"/>
      <c r="AH60" s="10"/>
      <c r="AI60" s="10"/>
      <c r="AJ60" s="10"/>
      <c r="AK60" s="13" t="str">
        <f aca="false">IF(OR(AH60="",AH60=0),"",AJ60/AH60)</f>
        <v/>
      </c>
      <c r="AL60" s="10"/>
      <c r="AM60" s="10"/>
      <c r="AN60" s="12" t="str">
        <f aca="false">IF(AL60="","Not assessed",IF(AND(Q60="No",AL60="Gap - recommend tailoring"),"INVALID: floor item is not tailorable",IF(OR(X60="",X60=0),"NO NAMED EXECUTOR",IF(AND(N(AD60)&gt;=3,AH60=""),"Operating claimed with no sample",IF(AND(N(AD60)&gt;=3,X60=1),"Operating rests on one individual",IF(AND(N(AD60)&gt;=3,Z60&lt;&gt;"Yes"),"Operating claimed below designed credential",IF(AND(Q60="No",N(AD60)&lt;3),"FLOOR GATE: below Operating",IF(AND(N(AD60)&gt;=3,AH60&lt;&gt;"",AJ60=""),"Sample size with no conforming count","OK"))))))))</f>
        <v>Not assessed</v>
      </c>
      <c r="AO60" s="10"/>
      <c r="AP60" s="10"/>
      <c r="AQ60" s="10"/>
    </row>
    <row r="61" customFormat="false" ht="22.35" hidden="false" customHeight="false" outlineLevel="0" collapsed="false">
      <c r="A61" s="9" t="s">
        <v>399</v>
      </c>
      <c r="B61" s="9" t="s">
        <v>363</v>
      </c>
      <c r="C61" s="9" t="s">
        <v>324</v>
      </c>
      <c r="D61" s="9" t="s">
        <v>400</v>
      </c>
      <c r="E61" s="9" t="s">
        <v>401</v>
      </c>
      <c r="F61" s="9"/>
      <c r="G61" s="9"/>
      <c r="H61" s="9"/>
      <c r="I61" s="9"/>
      <c r="J61" s="9" t="s">
        <v>355</v>
      </c>
      <c r="K61" s="9" t="s">
        <v>356</v>
      </c>
      <c r="L61" s="9"/>
      <c r="M61" s="9"/>
      <c r="N61" s="9"/>
      <c r="O61" s="9"/>
      <c r="P61" s="9" t="s">
        <v>402</v>
      </c>
      <c r="Q61" s="9" t="s">
        <v>53</v>
      </c>
      <c r="R61" s="9" t="s">
        <v>366</v>
      </c>
      <c r="S61" s="10"/>
      <c r="T61" s="10"/>
      <c r="U61" s="10"/>
      <c r="V61" s="10"/>
      <c r="W61" s="11"/>
      <c r="X61" s="11"/>
      <c r="Y61" s="11"/>
      <c r="Z61" s="11"/>
      <c r="AA61" s="12" t="str">
        <f aca="false">IF(X61="","",IF(X61=0,"Unassigned",IF(X61=1,"Single point",IF(Z61="Yes","Staffed and credentialed","Staffed, credential gap"))))</f>
        <v/>
      </c>
      <c r="AB61" s="12" t="str">
        <f aca="false">IFERROR(INDEX(Lists!$H$3:$H$6,MATCH(AA61,Lists!$G$3:$G$6,0)),"")</f>
        <v/>
      </c>
      <c r="AC61" s="10"/>
      <c r="AD61" s="12" t="str">
        <f aca="false">IFERROR(INDEX(Lists!$B$3:$B$7,MATCH(AC61,Lists!$A$3:$A$7,0)),"")</f>
        <v/>
      </c>
      <c r="AE61" s="10"/>
      <c r="AF61" s="10"/>
      <c r="AG61" s="10"/>
      <c r="AH61" s="10"/>
      <c r="AI61" s="10"/>
      <c r="AJ61" s="10"/>
      <c r="AK61" s="13" t="str">
        <f aca="false">IF(OR(AH61="",AH61=0),"",AJ61/AH61)</f>
        <v/>
      </c>
      <c r="AL61" s="10"/>
      <c r="AM61" s="10"/>
      <c r="AN61" s="12" t="str">
        <f aca="false">IF(AL61="","Not assessed",IF(AND(Q61="No",AL61="Gap - recommend tailoring"),"INVALID: floor item is not tailorable",IF(OR(X61="",X61=0),"NO NAMED EXECUTOR",IF(AND(N(AD61)&gt;=3,AH61=""),"Operating claimed with no sample",IF(AND(N(AD61)&gt;=3,X61=1),"Operating rests on one individual",IF(AND(N(AD61)&gt;=3,Z61&lt;&gt;"Yes"),"Operating claimed below designed credential",IF(AND(Q61="No",N(AD61)&lt;3),"FLOOR GATE: below Operating",IF(AND(N(AD61)&gt;=3,AH61&lt;&gt;"",AJ61=""),"Sample size with no conforming count","OK"))))))))</f>
        <v>Not assessed</v>
      </c>
      <c r="AO61" s="10"/>
      <c r="AP61" s="10"/>
      <c r="AQ61" s="10"/>
    </row>
    <row r="62" customFormat="false" ht="22.35" hidden="false" customHeight="false" outlineLevel="0" collapsed="false">
      <c r="A62" s="9" t="s">
        <v>403</v>
      </c>
      <c r="B62" s="9" t="s">
        <v>363</v>
      </c>
      <c r="C62" s="9" t="s">
        <v>324</v>
      </c>
      <c r="D62" s="9" t="s">
        <v>404</v>
      </c>
      <c r="E62" s="9" t="s">
        <v>405</v>
      </c>
      <c r="F62" s="9"/>
      <c r="G62" s="9"/>
      <c r="H62" s="9"/>
      <c r="I62" s="9"/>
      <c r="J62" s="9" t="s">
        <v>355</v>
      </c>
      <c r="K62" s="9" t="s">
        <v>356</v>
      </c>
      <c r="L62" s="9"/>
      <c r="M62" s="9"/>
      <c r="N62" s="9"/>
      <c r="O62" s="9"/>
      <c r="P62" s="9" t="s">
        <v>406</v>
      </c>
      <c r="Q62" s="9" t="s">
        <v>53</v>
      </c>
      <c r="R62" s="9"/>
      <c r="S62" s="10"/>
      <c r="T62" s="10"/>
      <c r="U62" s="10"/>
      <c r="V62" s="10"/>
      <c r="W62" s="11"/>
      <c r="X62" s="11"/>
      <c r="Y62" s="11"/>
      <c r="Z62" s="11"/>
      <c r="AA62" s="12" t="str">
        <f aca="false">IF(X62="","",IF(X62=0,"Unassigned",IF(X62=1,"Single point",IF(Z62="Yes","Staffed and credentialed","Staffed, credential gap"))))</f>
        <v/>
      </c>
      <c r="AB62" s="12" t="str">
        <f aca="false">IFERROR(INDEX(Lists!$H$3:$H$6,MATCH(AA62,Lists!$G$3:$G$6,0)),"")</f>
        <v/>
      </c>
      <c r="AC62" s="10"/>
      <c r="AD62" s="12" t="str">
        <f aca="false">IFERROR(INDEX(Lists!$B$3:$B$7,MATCH(AC62,Lists!$A$3:$A$7,0)),"")</f>
        <v/>
      </c>
      <c r="AE62" s="10"/>
      <c r="AF62" s="10"/>
      <c r="AG62" s="10"/>
      <c r="AH62" s="10"/>
      <c r="AI62" s="10"/>
      <c r="AJ62" s="10"/>
      <c r="AK62" s="13" t="str">
        <f aca="false">IF(OR(AH62="",AH62=0),"",AJ62/AH62)</f>
        <v/>
      </c>
      <c r="AL62" s="10"/>
      <c r="AM62" s="10"/>
      <c r="AN62" s="12" t="str">
        <f aca="false">IF(AL62="","Not assessed",IF(AND(Q62="No",AL62="Gap - recommend tailoring"),"INVALID: floor item is not tailorable",IF(OR(X62="",X62=0),"NO NAMED EXECUTOR",IF(AND(N(AD62)&gt;=3,AH62=""),"Operating claimed with no sample",IF(AND(N(AD62)&gt;=3,X62=1),"Operating rests on one individual",IF(AND(N(AD62)&gt;=3,Z62&lt;&gt;"Yes"),"Operating claimed below designed credential",IF(AND(Q62="No",N(AD62)&lt;3),"FLOOR GATE: below Operating",IF(AND(N(AD62)&gt;=3,AH62&lt;&gt;"",AJ62=""),"Sample size with no conforming count","OK"))))))))</f>
        <v>Not assessed</v>
      </c>
      <c r="AO62" s="10"/>
      <c r="AP62" s="10"/>
      <c r="AQ62" s="10"/>
    </row>
    <row r="63" customFormat="false" ht="22.35" hidden="false" customHeight="false" outlineLevel="0" collapsed="false">
      <c r="A63" s="9" t="s">
        <v>407</v>
      </c>
      <c r="B63" s="9" t="s">
        <v>363</v>
      </c>
      <c r="C63" s="9" t="s">
        <v>324</v>
      </c>
      <c r="D63" s="9" t="s">
        <v>408</v>
      </c>
      <c r="E63" s="9" t="s">
        <v>409</v>
      </c>
      <c r="F63" s="9"/>
      <c r="G63" s="9"/>
      <c r="H63" s="9"/>
      <c r="I63" s="9"/>
      <c r="J63" s="9" t="s">
        <v>355</v>
      </c>
      <c r="K63" s="9" t="s">
        <v>356</v>
      </c>
      <c r="L63" s="9"/>
      <c r="M63" s="9"/>
      <c r="N63" s="9"/>
      <c r="O63" s="9"/>
      <c r="P63" s="9" t="s">
        <v>361</v>
      </c>
      <c r="Q63" s="9" t="s">
        <v>53</v>
      </c>
      <c r="R63" s="9"/>
      <c r="S63" s="10"/>
      <c r="T63" s="10"/>
      <c r="U63" s="10"/>
      <c r="V63" s="10"/>
      <c r="W63" s="11"/>
      <c r="X63" s="11"/>
      <c r="Y63" s="11"/>
      <c r="Z63" s="11"/>
      <c r="AA63" s="12" t="str">
        <f aca="false">IF(X63="","",IF(X63=0,"Unassigned",IF(X63=1,"Single point",IF(Z63="Yes","Staffed and credentialed","Staffed, credential gap"))))</f>
        <v/>
      </c>
      <c r="AB63" s="12" t="str">
        <f aca="false">IFERROR(INDEX(Lists!$H$3:$H$6,MATCH(AA63,Lists!$G$3:$G$6,0)),"")</f>
        <v/>
      </c>
      <c r="AC63" s="10"/>
      <c r="AD63" s="12" t="str">
        <f aca="false">IFERROR(INDEX(Lists!$B$3:$B$7,MATCH(AC63,Lists!$A$3:$A$7,0)),"")</f>
        <v/>
      </c>
      <c r="AE63" s="10"/>
      <c r="AF63" s="10"/>
      <c r="AG63" s="10"/>
      <c r="AH63" s="10"/>
      <c r="AI63" s="10"/>
      <c r="AJ63" s="10"/>
      <c r="AK63" s="13" t="str">
        <f aca="false">IF(OR(AH63="",AH63=0),"",AJ63/AH63)</f>
        <v/>
      </c>
      <c r="AL63" s="10"/>
      <c r="AM63" s="10"/>
      <c r="AN63" s="12" t="str">
        <f aca="false">IF(AL63="","Not assessed",IF(AND(Q63="No",AL63="Gap - recommend tailoring"),"INVALID: floor item is not tailorable",IF(OR(X63="",X63=0),"NO NAMED EXECUTOR",IF(AND(N(AD63)&gt;=3,AH63=""),"Operating claimed with no sample",IF(AND(N(AD63)&gt;=3,X63=1),"Operating rests on one individual",IF(AND(N(AD63)&gt;=3,Z63&lt;&gt;"Yes"),"Operating claimed below designed credential",IF(AND(Q63="No",N(AD63)&lt;3),"FLOOR GATE: below Operating",IF(AND(N(AD63)&gt;=3,AH63&lt;&gt;"",AJ63=""),"Sample size with no conforming count","OK"))))))))</f>
        <v>Not assessed</v>
      </c>
      <c r="AO63" s="10"/>
      <c r="AP63" s="10"/>
      <c r="AQ63" s="10"/>
    </row>
    <row r="64" customFormat="false" ht="32.8" hidden="false" customHeight="false" outlineLevel="0" collapsed="false">
      <c r="A64" s="9" t="s">
        <v>410</v>
      </c>
      <c r="B64" s="9" t="s">
        <v>363</v>
      </c>
      <c r="C64" s="9" t="s">
        <v>324</v>
      </c>
      <c r="D64" s="9" t="s">
        <v>411</v>
      </c>
      <c r="E64" s="9" t="s">
        <v>412</v>
      </c>
      <c r="F64" s="9"/>
      <c r="G64" s="9"/>
      <c r="H64" s="9"/>
      <c r="I64" s="9"/>
      <c r="J64" s="9" t="s">
        <v>355</v>
      </c>
      <c r="K64" s="9" t="s">
        <v>356</v>
      </c>
      <c r="L64" s="9"/>
      <c r="M64" s="9"/>
      <c r="N64" s="9"/>
      <c r="O64" s="9"/>
      <c r="P64" s="9" t="s">
        <v>413</v>
      </c>
      <c r="Q64" s="9" t="s">
        <v>53</v>
      </c>
      <c r="R64" s="9" t="s">
        <v>414</v>
      </c>
      <c r="S64" s="10"/>
      <c r="T64" s="10"/>
      <c r="U64" s="10"/>
      <c r="V64" s="10"/>
      <c r="W64" s="11"/>
      <c r="X64" s="11"/>
      <c r="Y64" s="11"/>
      <c r="Z64" s="11"/>
      <c r="AA64" s="12" t="str">
        <f aca="false">IF(X64="","",IF(X64=0,"Unassigned",IF(X64=1,"Single point",IF(Z64="Yes","Staffed and credentialed","Staffed, credential gap"))))</f>
        <v/>
      </c>
      <c r="AB64" s="12" t="str">
        <f aca="false">IFERROR(INDEX(Lists!$H$3:$H$6,MATCH(AA64,Lists!$G$3:$G$6,0)),"")</f>
        <v/>
      </c>
      <c r="AC64" s="10"/>
      <c r="AD64" s="12" t="str">
        <f aca="false">IFERROR(INDEX(Lists!$B$3:$B$7,MATCH(AC64,Lists!$A$3:$A$7,0)),"")</f>
        <v/>
      </c>
      <c r="AE64" s="10"/>
      <c r="AF64" s="10"/>
      <c r="AG64" s="10"/>
      <c r="AH64" s="10"/>
      <c r="AI64" s="10"/>
      <c r="AJ64" s="10"/>
      <c r="AK64" s="13" t="str">
        <f aca="false">IF(OR(AH64="",AH64=0),"",AJ64/AH64)</f>
        <v/>
      </c>
      <c r="AL64" s="10"/>
      <c r="AM64" s="10"/>
      <c r="AN64" s="12" t="str">
        <f aca="false">IF(AL64="","Not assessed",IF(AND(Q64="No",AL64="Gap - recommend tailoring"),"INVALID: floor item is not tailorable",IF(OR(X64="",X64=0),"NO NAMED EXECUTOR",IF(AND(N(AD64)&gt;=3,AH64=""),"Operating claimed with no sample",IF(AND(N(AD64)&gt;=3,X64=1),"Operating rests on one individual",IF(AND(N(AD64)&gt;=3,Z64&lt;&gt;"Yes"),"Operating claimed below designed credential",IF(AND(Q64="No",N(AD64)&lt;3),"FLOOR GATE: below Operating",IF(AND(N(AD64)&gt;=3,AH64&lt;&gt;"",AJ64=""),"Sample size with no conforming count","OK"))))))))</f>
        <v>Not assessed</v>
      </c>
      <c r="AO64" s="10"/>
      <c r="AP64" s="10"/>
      <c r="AQ64" s="10"/>
    </row>
    <row r="65" customFormat="false" ht="22.35" hidden="false" customHeight="false" outlineLevel="0" collapsed="false">
      <c r="A65" s="9" t="s">
        <v>415</v>
      </c>
      <c r="B65" s="9" t="s">
        <v>363</v>
      </c>
      <c r="C65" s="9" t="s">
        <v>324</v>
      </c>
      <c r="D65" s="9" t="s">
        <v>416</v>
      </c>
      <c r="E65" s="9" t="s">
        <v>417</v>
      </c>
      <c r="F65" s="9"/>
      <c r="G65" s="9"/>
      <c r="H65" s="9"/>
      <c r="I65" s="9"/>
      <c r="J65" s="9" t="s">
        <v>355</v>
      </c>
      <c r="K65" s="9" t="s">
        <v>356</v>
      </c>
      <c r="L65" s="9"/>
      <c r="M65" s="9"/>
      <c r="N65" s="9"/>
      <c r="O65" s="9"/>
      <c r="P65" s="9" t="s">
        <v>418</v>
      </c>
      <c r="Q65" s="9" t="s">
        <v>53</v>
      </c>
      <c r="R65" s="9"/>
      <c r="S65" s="10"/>
      <c r="T65" s="10"/>
      <c r="U65" s="10"/>
      <c r="V65" s="10"/>
      <c r="W65" s="11"/>
      <c r="X65" s="11"/>
      <c r="Y65" s="11"/>
      <c r="Z65" s="11"/>
      <c r="AA65" s="12" t="str">
        <f aca="false">IF(X65="","",IF(X65=0,"Unassigned",IF(X65=1,"Single point",IF(Z65="Yes","Staffed and credentialed","Staffed, credential gap"))))</f>
        <v/>
      </c>
      <c r="AB65" s="12" t="str">
        <f aca="false">IFERROR(INDEX(Lists!$H$3:$H$6,MATCH(AA65,Lists!$G$3:$G$6,0)),"")</f>
        <v/>
      </c>
      <c r="AC65" s="10"/>
      <c r="AD65" s="12" t="str">
        <f aca="false">IFERROR(INDEX(Lists!$B$3:$B$7,MATCH(AC65,Lists!$A$3:$A$7,0)),"")</f>
        <v/>
      </c>
      <c r="AE65" s="10"/>
      <c r="AF65" s="10"/>
      <c r="AG65" s="10"/>
      <c r="AH65" s="10"/>
      <c r="AI65" s="10"/>
      <c r="AJ65" s="10"/>
      <c r="AK65" s="13" t="str">
        <f aca="false">IF(OR(AH65="",AH65=0),"",AJ65/AH65)</f>
        <v/>
      </c>
      <c r="AL65" s="10"/>
      <c r="AM65" s="10"/>
      <c r="AN65" s="12" t="str">
        <f aca="false">IF(AL65="","Not assessed",IF(AND(Q65="No",AL65="Gap - recommend tailoring"),"INVALID: floor item is not tailorable",IF(OR(X65="",X65=0),"NO NAMED EXECUTOR",IF(AND(N(AD65)&gt;=3,AH65=""),"Operating claimed with no sample",IF(AND(N(AD65)&gt;=3,X65=1),"Operating rests on one individual",IF(AND(N(AD65)&gt;=3,Z65&lt;&gt;"Yes"),"Operating claimed below designed credential",IF(AND(Q65="No",N(AD65)&lt;3),"FLOOR GATE: below Operating",IF(AND(N(AD65)&gt;=3,AH65&lt;&gt;"",AJ65=""),"Sample size with no conforming count","OK"))))))))</f>
        <v>Not assessed</v>
      </c>
      <c r="AO65" s="10"/>
      <c r="AP65" s="10"/>
      <c r="AQ65" s="10"/>
    </row>
    <row r="66" customFormat="false" ht="43.25" hidden="false" customHeight="false" outlineLevel="0" collapsed="false">
      <c r="A66" s="9" t="s">
        <v>419</v>
      </c>
      <c r="B66" s="9" t="s">
        <v>363</v>
      </c>
      <c r="C66" s="9" t="s">
        <v>324</v>
      </c>
      <c r="D66" s="9" t="s">
        <v>420</v>
      </c>
      <c r="E66" s="9" t="s">
        <v>421</v>
      </c>
      <c r="F66" s="9"/>
      <c r="G66" s="9"/>
      <c r="H66" s="9"/>
      <c r="I66" s="9"/>
      <c r="J66" s="9" t="s">
        <v>355</v>
      </c>
      <c r="K66" s="9" t="s">
        <v>356</v>
      </c>
      <c r="L66" s="9"/>
      <c r="M66" s="9"/>
      <c r="N66" s="9"/>
      <c r="O66" s="9"/>
      <c r="P66" s="9" t="s">
        <v>422</v>
      </c>
      <c r="Q66" s="9" t="s">
        <v>53</v>
      </c>
      <c r="R66" s="9"/>
      <c r="S66" s="10"/>
      <c r="T66" s="10"/>
      <c r="U66" s="10"/>
      <c r="V66" s="10"/>
      <c r="W66" s="11"/>
      <c r="X66" s="11"/>
      <c r="Y66" s="11"/>
      <c r="Z66" s="11"/>
      <c r="AA66" s="12" t="str">
        <f aca="false">IF(X66="","",IF(X66=0,"Unassigned",IF(X66=1,"Single point",IF(Z66="Yes","Staffed and credentialed","Staffed, credential gap"))))</f>
        <v/>
      </c>
      <c r="AB66" s="12" t="str">
        <f aca="false">IFERROR(INDEX(Lists!$H$3:$H$6,MATCH(AA66,Lists!$G$3:$G$6,0)),"")</f>
        <v/>
      </c>
      <c r="AC66" s="10"/>
      <c r="AD66" s="12" t="str">
        <f aca="false">IFERROR(INDEX(Lists!$B$3:$B$7,MATCH(AC66,Lists!$A$3:$A$7,0)),"")</f>
        <v/>
      </c>
      <c r="AE66" s="10"/>
      <c r="AF66" s="10"/>
      <c r="AG66" s="10"/>
      <c r="AH66" s="10"/>
      <c r="AI66" s="10"/>
      <c r="AJ66" s="10"/>
      <c r="AK66" s="13" t="str">
        <f aca="false">IF(OR(AH66="",AH66=0),"",AJ66/AH66)</f>
        <v/>
      </c>
      <c r="AL66" s="10"/>
      <c r="AM66" s="10"/>
      <c r="AN66" s="12" t="str">
        <f aca="false">IF(AL66="","Not assessed",IF(AND(Q66="No",AL66="Gap - recommend tailoring"),"INVALID: floor item is not tailorable",IF(OR(X66="",X66=0),"NO NAMED EXECUTOR",IF(AND(N(AD66)&gt;=3,AH66=""),"Operating claimed with no sample",IF(AND(N(AD66)&gt;=3,X66=1),"Operating rests on one individual",IF(AND(N(AD66)&gt;=3,Z66&lt;&gt;"Yes"),"Operating claimed below designed credential",IF(AND(Q66="No",N(AD66)&lt;3),"FLOOR GATE: below Operating",IF(AND(N(AD66)&gt;=3,AH66&lt;&gt;"",AJ66=""),"Sample size with no conforming count","OK"))))))))</f>
        <v>Not assessed</v>
      </c>
      <c r="AO66" s="10"/>
      <c r="AP66" s="10"/>
      <c r="AQ66" s="10"/>
    </row>
    <row r="67" customFormat="false" ht="22.35" hidden="false" customHeight="false" outlineLevel="0" collapsed="false">
      <c r="A67" s="9" t="s">
        <v>423</v>
      </c>
      <c r="B67" s="9" t="s">
        <v>363</v>
      </c>
      <c r="C67" s="9" t="s">
        <v>324</v>
      </c>
      <c r="D67" s="9" t="s">
        <v>424</v>
      </c>
      <c r="E67" s="9" t="s">
        <v>425</v>
      </c>
      <c r="F67" s="9"/>
      <c r="G67" s="9"/>
      <c r="H67" s="9"/>
      <c r="I67" s="9"/>
      <c r="J67" s="9" t="s">
        <v>355</v>
      </c>
      <c r="K67" s="9" t="s">
        <v>356</v>
      </c>
      <c r="L67" s="9"/>
      <c r="M67" s="9"/>
      <c r="N67" s="9"/>
      <c r="O67" s="9"/>
      <c r="P67" s="9" t="s">
        <v>426</v>
      </c>
      <c r="Q67" s="9" t="s">
        <v>53</v>
      </c>
      <c r="R67" s="9"/>
      <c r="S67" s="10"/>
      <c r="T67" s="10"/>
      <c r="U67" s="10"/>
      <c r="V67" s="10"/>
      <c r="W67" s="11"/>
      <c r="X67" s="11"/>
      <c r="Y67" s="11"/>
      <c r="Z67" s="11"/>
      <c r="AA67" s="12" t="str">
        <f aca="false">IF(X67="","",IF(X67=0,"Unassigned",IF(X67=1,"Single point",IF(Z67="Yes","Staffed and credentialed","Staffed, credential gap"))))</f>
        <v/>
      </c>
      <c r="AB67" s="12" t="str">
        <f aca="false">IFERROR(INDEX(Lists!$H$3:$H$6,MATCH(AA67,Lists!$G$3:$G$6,0)),"")</f>
        <v/>
      </c>
      <c r="AC67" s="10"/>
      <c r="AD67" s="12" t="str">
        <f aca="false">IFERROR(INDEX(Lists!$B$3:$B$7,MATCH(AC67,Lists!$A$3:$A$7,0)),"")</f>
        <v/>
      </c>
      <c r="AE67" s="10"/>
      <c r="AF67" s="10"/>
      <c r="AG67" s="10"/>
      <c r="AH67" s="10"/>
      <c r="AI67" s="10"/>
      <c r="AJ67" s="10"/>
      <c r="AK67" s="13" t="str">
        <f aca="false">IF(OR(AH67="",AH67=0),"",AJ67/AH67)</f>
        <v/>
      </c>
      <c r="AL67" s="10"/>
      <c r="AM67" s="10"/>
      <c r="AN67" s="12" t="str">
        <f aca="false">IF(AL67="","Not assessed",IF(AND(Q67="No",AL67="Gap - recommend tailoring"),"INVALID: floor item is not tailorable",IF(OR(X67="",X67=0),"NO NAMED EXECUTOR",IF(AND(N(AD67)&gt;=3,AH67=""),"Operating claimed with no sample",IF(AND(N(AD67)&gt;=3,X67=1),"Operating rests on one individual",IF(AND(N(AD67)&gt;=3,Z67&lt;&gt;"Yes"),"Operating claimed below designed credential",IF(AND(Q67="No",N(AD67)&lt;3),"FLOOR GATE: below Operating",IF(AND(N(AD67)&gt;=3,AH67&lt;&gt;"",AJ67=""),"Sample size with no conforming count","OK"))))))))</f>
        <v>Not assessed</v>
      </c>
      <c r="AO67" s="10"/>
      <c r="AP67" s="10"/>
      <c r="AQ67" s="10"/>
    </row>
    <row r="68" customFormat="false" ht="22.35" hidden="false" customHeight="false" outlineLevel="0" collapsed="false">
      <c r="A68" s="9" t="s">
        <v>427</v>
      </c>
      <c r="B68" s="9" t="s">
        <v>428</v>
      </c>
      <c r="C68" s="9" t="s">
        <v>102</v>
      </c>
      <c r="D68" s="9" t="s">
        <v>429</v>
      </c>
      <c r="E68" s="9" t="s">
        <v>430</v>
      </c>
      <c r="F68" s="9"/>
      <c r="G68" s="9"/>
      <c r="H68" s="9"/>
      <c r="I68" s="9"/>
      <c r="J68" s="9" t="s">
        <v>355</v>
      </c>
      <c r="K68" s="9" t="s">
        <v>356</v>
      </c>
      <c r="L68" s="9"/>
      <c r="M68" s="9"/>
      <c r="N68" s="9"/>
      <c r="O68" s="9"/>
      <c r="P68" s="9" t="s">
        <v>361</v>
      </c>
      <c r="Q68" s="9" t="s">
        <v>53</v>
      </c>
      <c r="R68" s="9"/>
      <c r="S68" s="10"/>
      <c r="T68" s="10"/>
      <c r="U68" s="10"/>
      <c r="V68" s="10"/>
      <c r="W68" s="11"/>
      <c r="X68" s="11"/>
      <c r="Y68" s="11"/>
      <c r="Z68" s="11"/>
      <c r="AA68" s="12" t="str">
        <f aca="false">IF(X68="","",IF(X68=0,"Unassigned",IF(X68=1,"Single point",IF(Z68="Yes","Staffed and credentialed","Staffed, credential gap"))))</f>
        <v/>
      </c>
      <c r="AB68" s="12" t="str">
        <f aca="false">IFERROR(INDEX(Lists!$H$3:$H$6,MATCH(AA68,Lists!$G$3:$G$6,0)),"")</f>
        <v/>
      </c>
      <c r="AC68" s="10"/>
      <c r="AD68" s="12" t="str">
        <f aca="false">IFERROR(INDEX(Lists!$B$3:$B$7,MATCH(AC68,Lists!$A$3:$A$7,0)),"")</f>
        <v/>
      </c>
      <c r="AE68" s="10"/>
      <c r="AF68" s="10"/>
      <c r="AG68" s="10"/>
      <c r="AH68" s="10"/>
      <c r="AI68" s="10"/>
      <c r="AJ68" s="10"/>
      <c r="AK68" s="13" t="str">
        <f aca="false">IF(OR(AH68="",AH68=0),"",AJ68/AH68)</f>
        <v/>
      </c>
      <c r="AL68" s="10"/>
      <c r="AM68" s="10"/>
      <c r="AN68" s="12" t="str">
        <f aca="false">IF(AL68="","Not assessed",IF(AND(Q68="No",AL68="Gap - recommend tailoring"),"INVALID: floor item is not tailorable",IF(OR(X68="",X68=0),"NO NAMED EXECUTOR",IF(AND(N(AD68)&gt;=3,AH68=""),"Operating claimed with no sample",IF(AND(N(AD68)&gt;=3,X68=1),"Operating rests on one individual",IF(AND(N(AD68)&gt;=3,Z68&lt;&gt;"Yes"),"Operating claimed below designed credential",IF(AND(Q68="No",N(AD68)&lt;3),"FLOOR GATE: below Operating",IF(AND(N(AD68)&gt;=3,AH68&lt;&gt;"",AJ68=""),"Sample size with no conforming count","OK"))))))))</f>
        <v>Not assessed</v>
      </c>
      <c r="AO68" s="10"/>
      <c r="AP68" s="10"/>
      <c r="AQ68" s="10"/>
    </row>
    <row r="69" customFormat="false" ht="22.35" hidden="false" customHeight="false" outlineLevel="0" collapsed="false">
      <c r="A69" s="9" t="s">
        <v>431</v>
      </c>
      <c r="B69" s="9" t="s">
        <v>428</v>
      </c>
      <c r="C69" s="9" t="s">
        <v>102</v>
      </c>
      <c r="D69" s="9" t="s">
        <v>432</v>
      </c>
      <c r="E69" s="9" t="s">
        <v>433</v>
      </c>
      <c r="F69" s="9"/>
      <c r="G69" s="9"/>
      <c r="H69" s="9"/>
      <c r="I69" s="9"/>
      <c r="J69" s="9" t="s">
        <v>355</v>
      </c>
      <c r="K69" s="9" t="s">
        <v>356</v>
      </c>
      <c r="L69" s="9"/>
      <c r="M69" s="9"/>
      <c r="N69" s="9"/>
      <c r="O69" s="9"/>
      <c r="P69" s="9" t="s">
        <v>434</v>
      </c>
      <c r="Q69" s="9" t="s">
        <v>53</v>
      </c>
      <c r="R69" s="9"/>
      <c r="S69" s="10"/>
      <c r="T69" s="10"/>
      <c r="U69" s="10"/>
      <c r="V69" s="10"/>
      <c r="W69" s="11"/>
      <c r="X69" s="11"/>
      <c r="Y69" s="11"/>
      <c r="Z69" s="11"/>
      <c r="AA69" s="12" t="str">
        <f aca="false">IF(X69="","",IF(X69=0,"Unassigned",IF(X69=1,"Single point",IF(Z69="Yes","Staffed and credentialed","Staffed, credential gap"))))</f>
        <v/>
      </c>
      <c r="AB69" s="12" t="str">
        <f aca="false">IFERROR(INDEX(Lists!$H$3:$H$6,MATCH(AA69,Lists!$G$3:$G$6,0)),"")</f>
        <v/>
      </c>
      <c r="AC69" s="10"/>
      <c r="AD69" s="12" t="str">
        <f aca="false">IFERROR(INDEX(Lists!$B$3:$B$7,MATCH(AC69,Lists!$A$3:$A$7,0)),"")</f>
        <v/>
      </c>
      <c r="AE69" s="10"/>
      <c r="AF69" s="10"/>
      <c r="AG69" s="10"/>
      <c r="AH69" s="10"/>
      <c r="AI69" s="10"/>
      <c r="AJ69" s="10"/>
      <c r="AK69" s="13" t="str">
        <f aca="false">IF(OR(AH69="",AH69=0),"",AJ69/AH69)</f>
        <v/>
      </c>
      <c r="AL69" s="10"/>
      <c r="AM69" s="10"/>
      <c r="AN69" s="12" t="str">
        <f aca="false">IF(AL69="","Not assessed",IF(AND(Q69="No",AL69="Gap - recommend tailoring"),"INVALID: floor item is not tailorable",IF(OR(X69="",X69=0),"NO NAMED EXECUTOR",IF(AND(N(AD69)&gt;=3,AH69=""),"Operating claimed with no sample",IF(AND(N(AD69)&gt;=3,X69=1),"Operating rests on one individual",IF(AND(N(AD69)&gt;=3,Z69&lt;&gt;"Yes"),"Operating claimed below designed credential",IF(AND(Q69="No",N(AD69)&lt;3),"FLOOR GATE: below Operating",IF(AND(N(AD69)&gt;=3,AH69&lt;&gt;"",AJ69=""),"Sample size with no conforming count","OK"))))))))</f>
        <v>Not assessed</v>
      </c>
      <c r="AO69" s="10"/>
      <c r="AP69" s="10"/>
      <c r="AQ69" s="10"/>
    </row>
    <row r="70" customFormat="false" ht="22.35" hidden="false" customHeight="false" outlineLevel="0" collapsed="false">
      <c r="A70" s="9" t="s">
        <v>435</v>
      </c>
      <c r="B70" s="9" t="s">
        <v>428</v>
      </c>
      <c r="C70" s="9" t="s">
        <v>102</v>
      </c>
      <c r="D70" s="9" t="s">
        <v>436</v>
      </c>
      <c r="E70" s="9" t="s">
        <v>437</v>
      </c>
      <c r="F70" s="9"/>
      <c r="G70" s="9"/>
      <c r="H70" s="9"/>
      <c r="I70" s="9"/>
      <c r="J70" s="9" t="s">
        <v>355</v>
      </c>
      <c r="K70" s="9" t="s">
        <v>356</v>
      </c>
      <c r="L70" s="9"/>
      <c r="M70" s="9"/>
      <c r="N70" s="9"/>
      <c r="O70" s="9"/>
      <c r="P70" s="9" t="s">
        <v>438</v>
      </c>
      <c r="Q70" s="9" t="s">
        <v>53</v>
      </c>
      <c r="R70" s="9"/>
      <c r="S70" s="10"/>
      <c r="T70" s="10"/>
      <c r="U70" s="10"/>
      <c r="V70" s="10"/>
      <c r="W70" s="11"/>
      <c r="X70" s="11"/>
      <c r="Y70" s="11"/>
      <c r="Z70" s="11"/>
      <c r="AA70" s="12" t="str">
        <f aca="false">IF(X70="","",IF(X70=0,"Unassigned",IF(X70=1,"Single point",IF(Z70="Yes","Staffed and credentialed","Staffed, credential gap"))))</f>
        <v/>
      </c>
      <c r="AB70" s="12" t="str">
        <f aca="false">IFERROR(INDEX(Lists!$H$3:$H$6,MATCH(AA70,Lists!$G$3:$G$6,0)),"")</f>
        <v/>
      </c>
      <c r="AC70" s="10"/>
      <c r="AD70" s="12" t="str">
        <f aca="false">IFERROR(INDEX(Lists!$B$3:$B$7,MATCH(AC70,Lists!$A$3:$A$7,0)),"")</f>
        <v/>
      </c>
      <c r="AE70" s="10"/>
      <c r="AF70" s="10"/>
      <c r="AG70" s="10"/>
      <c r="AH70" s="10"/>
      <c r="AI70" s="10"/>
      <c r="AJ70" s="10"/>
      <c r="AK70" s="13" t="str">
        <f aca="false">IF(OR(AH70="",AH70=0),"",AJ70/AH70)</f>
        <v/>
      </c>
      <c r="AL70" s="10"/>
      <c r="AM70" s="10"/>
      <c r="AN70" s="12" t="str">
        <f aca="false">IF(AL70="","Not assessed",IF(AND(Q70="No",AL70="Gap - recommend tailoring"),"INVALID: floor item is not tailorable",IF(OR(X70="",X70=0),"NO NAMED EXECUTOR",IF(AND(N(AD70)&gt;=3,AH70=""),"Operating claimed with no sample",IF(AND(N(AD70)&gt;=3,X70=1),"Operating rests on one individual",IF(AND(N(AD70)&gt;=3,Z70&lt;&gt;"Yes"),"Operating claimed below designed credential",IF(AND(Q70="No",N(AD70)&lt;3),"FLOOR GATE: below Operating",IF(AND(N(AD70)&gt;=3,AH70&lt;&gt;"",AJ70=""),"Sample size with no conforming count","OK"))))))))</f>
        <v>Not assessed</v>
      </c>
      <c r="AO70" s="10"/>
      <c r="AP70" s="10"/>
      <c r="AQ70" s="10"/>
    </row>
    <row r="71" customFormat="false" ht="22.35" hidden="false" customHeight="false" outlineLevel="0" collapsed="false">
      <c r="A71" s="9" t="s">
        <v>439</v>
      </c>
      <c r="B71" s="9" t="s">
        <v>428</v>
      </c>
      <c r="C71" s="9" t="s">
        <v>102</v>
      </c>
      <c r="D71" s="9" t="s">
        <v>440</v>
      </c>
      <c r="E71" s="9" t="s">
        <v>441</v>
      </c>
      <c r="F71" s="9"/>
      <c r="G71" s="9"/>
      <c r="H71" s="9"/>
      <c r="I71" s="9"/>
      <c r="J71" s="9" t="s">
        <v>355</v>
      </c>
      <c r="K71" s="9" t="s">
        <v>356</v>
      </c>
      <c r="L71" s="9"/>
      <c r="M71" s="9"/>
      <c r="N71" s="9"/>
      <c r="O71" s="9"/>
      <c r="P71" s="9" t="s">
        <v>442</v>
      </c>
      <c r="Q71" s="9" t="s">
        <v>53</v>
      </c>
      <c r="R71" s="9"/>
      <c r="S71" s="10"/>
      <c r="T71" s="10"/>
      <c r="U71" s="10"/>
      <c r="V71" s="10"/>
      <c r="W71" s="11"/>
      <c r="X71" s="11"/>
      <c r="Y71" s="11"/>
      <c r="Z71" s="11"/>
      <c r="AA71" s="12" t="str">
        <f aca="false">IF(X71="","",IF(X71=0,"Unassigned",IF(X71=1,"Single point",IF(Z71="Yes","Staffed and credentialed","Staffed, credential gap"))))</f>
        <v/>
      </c>
      <c r="AB71" s="12" t="str">
        <f aca="false">IFERROR(INDEX(Lists!$H$3:$H$6,MATCH(AA71,Lists!$G$3:$G$6,0)),"")</f>
        <v/>
      </c>
      <c r="AC71" s="10"/>
      <c r="AD71" s="12" t="str">
        <f aca="false">IFERROR(INDEX(Lists!$B$3:$B$7,MATCH(AC71,Lists!$A$3:$A$7,0)),"")</f>
        <v/>
      </c>
      <c r="AE71" s="10"/>
      <c r="AF71" s="10"/>
      <c r="AG71" s="10"/>
      <c r="AH71" s="10"/>
      <c r="AI71" s="10"/>
      <c r="AJ71" s="10"/>
      <c r="AK71" s="13" t="str">
        <f aca="false">IF(OR(AH71="",AH71=0),"",AJ71/AH71)</f>
        <v/>
      </c>
      <c r="AL71" s="10"/>
      <c r="AM71" s="10"/>
      <c r="AN71" s="12" t="str">
        <f aca="false">IF(AL71="","Not assessed",IF(AND(Q71="No",AL71="Gap - recommend tailoring"),"INVALID: floor item is not tailorable",IF(OR(X71="",X71=0),"NO NAMED EXECUTOR",IF(AND(N(AD71)&gt;=3,AH71=""),"Operating claimed with no sample",IF(AND(N(AD71)&gt;=3,X71=1),"Operating rests on one individual",IF(AND(N(AD71)&gt;=3,Z71&lt;&gt;"Yes"),"Operating claimed below designed credential",IF(AND(Q71="No",N(AD71)&lt;3),"FLOOR GATE: below Operating",IF(AND(N(AD71)&gt;=3,AH71&lt;&gt;"",AJ71=""),"Sample size with no conforming count","OK"))))))))</f>
        <v>Not assessed</v>
      </c>
      <c r="AO71" s="10"/>
      <c r="AP71" s="10"/>
      <c r="AQ71" s="10"/>
    </row>
    <row r="72" customFormat="false" ht="22.35" hidden="false" customHeight="false" outlineLevel="0" collapsed="false">
      <c r="A72" s="9" t="s">
        <v>443</v>
      </c>
      <c r="B72" s="9" t="s">
        <v>428</v>
      </c>
      <c r="C72" s="9" t="s">
        <v>102</v>
      </c>
      <c r="D72" s="9" t="s">
        <v>444</v>
      </c>
      <c r="E72" s="9" t="s">
        <v>445</v>
      </c>
      <c r="F72" s="9"/>
      <c r="G72" s="9"/>
      <c r="H72" s="9"/>
      <c r="I72" s="9"/>
      <c r="J72" s="9" t="s">
        <v>355</v>
      </c>
      <c r="K72" s="9" t="s">
        <v>356</v>
      </c>
      <c r="L72" s="9"/>
      <c r="M72" s="9"/>
      <c r="N72" s="9"/>
      <c r="O72" s="9"/>
      <c r="P72" s="9" t="s">
        <v>426</v>
      </c>
      <c r="Q72" s="9" t="s">
        <v>53</v>
      </c>
      <c r="R72" s="9" t="s">
        <v>303</v>
      </c>
      <c r="S72" s="10"/>
      <c r="T72" s="10"/>
      <c r="U72" s="10"/>
      <c r="V72" s="10"/>
      <c r="W72" s="11"/>
      <c r="X72" s="11"/>
      <c r="Y72" s="11"/>
      <c r="Z72" s="11"/>
      <c r="AA72" s="12" t="str">
        <f aca="false">IF(X72="","",IF(X72=0,"Unassigned",IF(X72=1,"Single point",IF(Z72="Yes","Staffed and credentialed","Staffed, credential gap"))))</f>
        <v/>
      </c>
      <c r="AB72" s="12" t="str">
        <f aca="false">IFERROR(INDEX(Lists!$H$3:$H$6,MATCH(AA72,Lists!$G$3:$G$6,0)),"")</f>
        <v/>
      </c>
      <c r="AC72" s="10"/>
      <c r="AD72" s="12" t="str">
        <f aca="false">IFERROR(INDEX(Lists!$B$3:$B$7,MATCH(AC72,Lists!$A$3:$A$7,0)),"")</f>
        <v/>
      </c>
      <c r="AE72" s="10"/>
      <c r="AF72" s="10"/>
      <c r="AG72" s="10"/>
      <c r="AH72" s="10"/>
      <c r="AI72" s="10"/>
      <c r="AJ72" s="10"/>
      <c r="AK72" s="13" t="str">
        <f aca="false">IF(OR(AH72="",AH72=0),"",AJ72/AH72)</f>
        <v/>
      </c>
      <c r="AL72" s="10"/>
      <c r="AM72" s="10"/>
      <c r="AN72" s="12" t="str">
        <f aca="false">IF(AL72="","Not assessed",IF(AND(Q72="No",AL72="Gap - recommend tailoring"),"INVALID: floor item is not tailorable",IF(OR(X72="",X72=0),"NO NAMED EXECUTOR",IF(AND(N(AD72)&gt;=3,AH72=""),"Operating claimed with no sample",IF(AND(N(AD72)&gt;=3,X72=1),"Operating rests on one individual",IF(AND(N(AD72)&gt;=3,Z72&lt;&gt;"Yes"),"Operating claimed below designed credential",IF(AND(Q72="No",N(AD72)&lt;3),"FLOOR GATE: below Operating",IF(AND(N(AD72)&gt;=3,AH72&lt;&gt;"",AJ72=""),"Sample size with no conforming count","OK"))))))))</f>
        <v>Not assessed</v>
      </c>
      <c r="AO72" s="10"/>
      <c r="AP72" s="10"/>
      <c r="AQ72" s="10"/>
    </row>
    <row r="73" customFormat="false" ht="32.8" hidden="false" customHeight="false" outlineLevel="0" collapsed="false">
      <c r="A73" s="9" t="s">
        <v>446</v>
      </c>
      <c r="B73" s="9" t="s">
        <v>428</v>
      </c>
      <c r="C73" s="9" t="s">
        <v>102</v>
      </c>
      <c r="D73" s="9" t="s">
        <v>447</v>
      </c>
      <c r="E73" s="9" t="s">
        <v>448</v>
      </c>
      <c r="F73" s="9"/>
      <c r="G73" s="9"/>
      <c r="H73" s="9"/>
      <c r="I73" s="9"/>
      <c r="J73" s="9" t="s">
        <v>355</v>
      </c>
      <c r="K73" s="9" t="s">
        <v>356</v>
      </c>
      <c r="L73" s="9"/>
      <c r="M73" s="9"/>
      <c r="N73" s="9"/>
      <c r="O73" s="9"/>
      <c r="P73" s="9" t="s">
        <v>449</v>
      </c>
      <c r="Q73" s="9" t="s">
        <v>53</v>
      </c>
      <c r="R73" s="9"/>
      <c r="S73" s="10"/>
      <c r="T73" s="10"/>
      <c r="U73" s="10"/>
      <c r="V73" s="10"/>
      <c r="W73" s="11"/>
      <c r="X73" s="11"/>
      <c r="Y73" s="11"/>
      <c r="Z73" s="11"/>
      <c r="AA73" s="12" t="str">
        <f aca="false">IF(X73="","",IF(X73=0,"Unassigned",IF(X73=1,"Single point",IF(Z73="Yes","Staffed and credentialed","Staffed, credential gap"))))</f>
        <v/>
      </c>
      <c r="AB73" s="12" t="str">
        <f aca="false">IFERROR(INDEX(Lists!$H$3:$H$6,MATCH(AA73,Lists!$G$3:$G$6,0)),"")</f>
        <v/>
      </c>
      <c r="AC73" s="10"/>
      <c r="AD73" s="12" t="str">
        <f aca="false">IFERROR(INDEX(Lists!$B$3:$B$7,MATCH(AC73,Lists!$A$3:$A$7,0)),"")</f>
        <v/>
      </c>
      <c r="AE73" s="10"/>
      <c r="AF73" s="10"/>
      <c r="AG73" s="10"/>
      <c r="AH73" s="10"/>
      <c r="AI73" s="10"/>
      <c r="AJ73" s="10"/>
      <c r="AK73" s="13" t="str">
        <f aca="false">IF(OR(AH73="",AH73=0),"",AJ73/AH73)</f>
        <v/>
      </c>
      <c r="AL73" s="10"/>
      <c r="AM73" s="10"/>
      <c r="AN73" s="12" t="str">
        <f aca="false">IF(AL73="","Not assessed",IF(AND(Q73="No",AL73="Gap - recommend tailoring"),"INVALID: floor item is not tailorable",IF(OR(X73="",X73=0),"NO NAMED EXECUTOR",IF(AND(N(AD73)&gt;=3,AH73=""),"Operating claimed with no sample",IF(AND(N(AD73)&gt;=3,X73=1),"Operating rests on one individual",IF(AND(N(AD73)&gt;=3,Z73&lt;&gt;"Yes"),"Operating claimed below designed credential",IF(AND(Q73="No",N(AD73)&lt;3),"FLOOR GATE: below Operating",IF(AND(N(AD73)&gt;=3,AH73&lt;&gt;"",AJ73=""),"Sample size with no conforming count","OK"))))))))</f>
        <v>Not assessed</v>
      </c>
      <c r="AO73" s="10"/>
      <c r="AP73" s="10"/>
      <c r="AQ73" s="10"/>
    </row>
    <row r="74" customFormat="false" ht="32.8" hidden="false" customHeight="false" outlineLevel="0" collapsed="false">
      <c r="A74" s="9" t="s">
        <v>450</v>
      </c>
      <c r="B74" s="9" t="s">
        <v>428</v>
      </c>
      <c r="C74" s="9" t="s">
        <v>102</v>
      </c>
      <c r="D74" s="9" t="s">
        <v>451</v>
      </c>
      <c r="E74" s="9" t="s">
        <v>452</v>
      </c>
      <c r="F74" s="9"/>
      <c r="G74" s="9"/>
      <c r="H74" s="9"/>
      <c r="I74" s="9"/>
      <c r="J74" s="9" t="s">
        <v>355</v>
      </c>
      <c r="K74" s="9" t="s">
        <v>356</v>
      </c>
      <c r="L74" s="9"/>
      <c r="M74" s="9"/>
      <c r="N74" s="9"/>
      <c r="O74" s="9"/>
      <c r="P74" s="9" t="s">
        <v>453</v>
      </c>
      <c r="Q74" s="9" t="s">
        <v>53</v>
      </c>
      <c r="R74" s="9"/>
      <c r="S74" s="10"/>
      <c r="T74" s="10"/>
      <c r="U74" s="10"/>
      <c r="V74" s="10"/>
      <c r="W74" s="11"/>
      <c r="X74" s="11"/>
      <c r="Y74" s="11"/>
      <c r="Z74" s="11"/>
      <c r="AA74" s="12" t="str">
        <f aca="false">IF(X74="","",IF(X74=0,"Unassigned",IF(X74=1,"Single point",IF(Z74="Yes","Staffed and credentialed","Staffed, credential gap"))))</f>
        <v/>
      </c>
      <c r="AB74" s="12" t="str">
        <f aca="false">IFERROR(INDEX(Lists!$H$3:$H$6,MATCH(AA74,Lists!$G$3:$G$6,0)),"")</f>
        <v/>
      </c>
      <c r="AC74" s="10"/>
      <c r="AD74" s="12" t="str">
        <f aca="false">IFERROR(INDEX(Lists!$B$3:$B$7,MATCH(AC74,Lists!$A$3:$A$7,0)),"")</f>
        <v/>
      </c>
      <c r="AE74" s="10"/>
      <c r="AF74" s="10"/>
      <c r="AG74" s="10"/>
      <c r="AH74" s="10"/>
      <c r="AI74" s="10"/>
      <c r="AJ74" s="10"/>
      <c r="AK74" s="13" t="str">
        <f aca="false">IF(OR(AH74="",AH74=0),"",AJ74/AH74)</f>
        <v/>
      </c>
      <c r="AL74" s="10"/>
      <c r="AM74" s="10"/>
      <c r="AN74" s="12" t="str">
        <f aca="false">IF(AL74="","Not assessed",IF(AND(Q74="No",AL74="Gap - recommend tailoring"),"INVALID: floor item is not tailorable",IF(OR(X74="",X74=0),"NO NAMED EXECUTOR",IF(AND(N(AD74)&gt;=3,AH74=""),"Operating claimed with no sample",IF(AND(N(AD74)&gt;=3,X74=1),"Operating rests on one individual",IF(AND(N(AD74)&gt;=3,Z74&lt;&gt;"Yes"),"Operating claimed below designed credential",IF(AND(Q74="No",N(AD74)&lt;3),"FLOOR GATE: below Operating",IF(AND(N(AD74)&gt;=3,AH74&lt;&gt;"",AJ74=""),"Sample size with no conforming count","OK"))))))))</f>
        <v>Not assessed</v>
      </c>
      <c r="AO74" s="10"/>
      <c r="AP74" s="10"/>
      <c r="AQ74" s="10"/>
    </row>
    <row r="75" customFormat="false" ht="32.8" hidden="false" customHeight="false" outlineLevel="0" collapsed="false">
      <c r="A75" s="9" t="s">
        <v>454</v>
      </c>
      <c r="B75" s="9" t="s">
        <v>428</v>
      </c>
      <c r="C75" s="9" t="s">
        <v>102</v>
      </c>
      <c r="D75" s="9" t="s">
        <v>455</v>
      </c>
      <c r="E75" s="9" t="s">
        <v>456</v>
      </c>
      <c r="F75" s="9"/>
      <c r="G75" s="9"/>
      <c r="H75" s="9"/>
      <c r="I75" s="9"/>
      <c r="J75" s="9" t="s">
        <v>355</v>
      </c>
      <c r="K75" s="9" t="s">
        <v>356</v>
      </c>
      <c r="L75" s="9"/>
      <c r="M75" s="9"/>
      <c r="N75" s="9"/>
      <c r="O75" s="9"/>
      <c r="P75" s="9" t="s">
        <v>457</v>
      </c>
      <c r="Q75" s="9" t="s">
        <v>53</v>
      </c>
      <c r="R75" s="9"/>
      <c r="S75" s="10"/>
      <c r="T75" s="10"/>
      <c r="U75" s="10"/>
      <c r="V75" s="10"/>
      <c r="W75" s="11"/>
      <c r="X75" s="11"/>
      <c r="Y75" s="11"/>
      <c r="Z75" s="11"/>
      <c r="AA75" s="12" t="str">
        <f aca="false">IF(X75="","",IF(X75=0,"Unassigned",IF(X75=1,"Single point",IF(Z75="Yes","Staffed and credentialed","Staffed, credential gap"))))</f>
        <v/>
      </c>
      <c r="AB75" s="12" t="str">
        <f aca="false">IFERROR(INDEX(Lists!$H$3:$H$6,MATCH(AA75,Lists!$G$3:$G$6,0)),"")</f>
        <v/>
      </c>
      <c r="AC75" s="10"/>
      <c r="AD75" s="12" t="str">
        <f aca="false">IFERROR(INDEX(Lists!$B$3:$B$7,MATCH(AC75,Lists!$A$3:$A$7,0)),"")</f>
        <v/>
      </c>
      <c r="AE75" s="10"/>
      <c r="AF75" s="10"/>
      <c r="AG75" s="10"/>
      <c r="AH75" s="10"/>
      <c r="AI75" s="10"/>
      <c r="AJ75" s="10"/>
      <c r="AK75" s="13" t="str">
        <f aca="false">IF(OR(AH75="",AH75=0),"",AJ75/AH75)</f>
        <v/>
      </c>
      <c r="AL75" s="10"/>
      <c r="AM75" s="10"/>
      <c r="AN75" s="12" t="str">
        <f aca="false">IF(AL75="","Not assessed",IF(AND(Q75="No",AL75="Gap - recommend tailoring"),"INVALID: floor item is not tailorable",IF(OR(X75="",X75=0),"NO NAMED EXECUTOR",IF(AND(N(AD75)&gt;=3,AH75=""),"Operating claimed with no sample",IF(AND(N(AD75)&gt;=3,X75=1),"Operating rests on one individual",IF(AND(N(AD75)&gt;=3,Z75&lt;&gt;"Yes"),"Operating claimed below designed credential",IF(AND(Q75="No",N(AD75)&lt;3),"FLOOR GATE: below Operating",IF(AND(N(AD75)&gt;=3,AH75&lt;&gt;"",AJ75=""),"Sample size with no conforming count","OK"))))))))</f>
        <v>Not assessed</v>
      </c>
      <c r="AO75" s="10"/>
      <c r="AP75" s="10"/>
      <c r="AQ75" s="10"/>
    </row>
    <row r="76" customFormat="false" ht="22.35" hidden="false" customHeight="false" outlineLevel="0" collapsed="false">
      <c r="A76" s="9" t="s">
        <v>458</v>
      </c>
      <c r="B76" s="9" t="s">
        <v>428</v>
      </c>
      <c r="C76" s="9" t="s">
        <v>102</v>
      </c>
      <c r="D76" s="9" t="s">
        <v>459</v>
      </c>
      <c r="E76" s="9" t="s">
        <v>460</v>
      </c>
      <c r="F76" s="9"/>
      <c r="G76" s="9"/>
      <c r="H76" s="9"/>
      <c r="I76" s="9"/>
      <c r="J76" s="9" t="s">
        <v>355</v>
      </c>
      <c r="K76" s="9" t="s">
        <v>356</v>
      </c>
      <c r="L76" s="9"/>
      <c r="M76" s="9"/>
      <c r="N76" s="9"/>
      <c r="O76" s="9"/>
      <c r="P76" s="9" t="s">
        <v>461</v>
      </c>
      <c r="Q76" s="9" t="s">
        <v>53</v>
      </c>
      <c r="R76" s="9"/>
      <c r="S76" s="10"/>
      <c r="T76" s="10"/>
      <c r="U76" s="10"/>
      <c r="V76" s="10"/>
      <c r="W76" s="11"/>
      <c r="X76" s="11"/>
      <c r="Y76" s="11"/>
      <c r="Z76" s="11"/>
      <c r="AA76" s="12" t="str">
        <f aca="false">IF(X76="","",IF(X76=0,"Unassigned",IF(X76=1,"Single point",IF(Z76="Yes","Staffed and credentialed","Staffed, credential gap"))))</f>
        <v/>
      </c>
      <c r="AB76" s="12" t="str">
        <f aca="false">IFERROR(INDEX(Lists!$H$3:$H$6,MATCH(AA76,Lists!$G$3:$G$6,0)),"")</f>
        <v/>
      </c>
      <c r="AC76" s="10"/>
      <c r="AD76" s="12" t="str">
        <f aca="false">IFERROR(INDEX(Lists!$B$3:$B$7,MATCH(AC76,Lists!$A$3:$A$7,0)),"")</f>
        <v/>
      </c>
      <c r="AE76" s="10"/>
      <c r="AF76" s="10"/>
      <c r="AG76" s="10"/>
      <c r="AH76" s="10"/>
      <c r="AI76" s="10"/>
      <c r="AJ76" s="10"/>
      <c r="AK76" s="13" t="str">
        <f aca="false">IF(OR(AH76="",AH76=0),"",AJ76/AH76)</f>
        <v/>
      </c>
      <c r="AL76" s="10"/>
      <c r="AM76" s="10"/>
      <c r="AN76" s="12" t="str">
        <f aca="false">IF(AL76="","Not assessed",IF(AND(Q76="No",AL76="Gap - recommend tailoring"),"INVALID: floor item is not tailorable",IF(OR(X76="",X76=0),"NO NAMED EXECUTOR",IF(AND(N(AD76)&gt;=3,AH76=""),"Operating claimed with no sample",IF(AND(N(AD76)&gt;=3,X76=1),"Operating rests on one individual",IF(AND(N(AD76)&gt;=3,Z76&lt;&gt;"Yes"),"Operating claimed below designed credential",IF(AND(Q76="No",N(AD76)&lt;3),"FLOOR GATE: below Operating",IF(AND(N(AD76)&gt;=3,AH76&lt;&gt;"",AJ76=""),"Sample size with no conforming count","OK"))))))))</f>
        <v>Not assessed</v>
      </c>
      <c r="AO76" s="10"/>
      <c r="AP76" s="10"/>
      <c r="AQ76" s="10"/>
    </row>
    <row r="77" customFormat="false" ht="22.35" hidden="false" customHeight="false" outlineLevel="0" collapsed="false">
      <c r="A77" s="9" t="s">
        <v>462</v>
      </c>
      <c r="B77" s="9" t="s">
        <v>428</v>
      </c>
      <c r="C77" s="9" t="s">
        <v>102</v>
      </c>
      <c r="D77" s="9" t="s">
        <v>463</v>
      </c>
      <c r="E77" s="9" t="s">
        <v>464</v>
      </c>
      <c r="F77" s="9"/>
      <c r="G77" s="9"/>
      <c r="H77" s="9"/>
      <c r="I77" s="9"/>
      <c r="J77" s="9" t="s">
        <v>355</v>
      </c>
      <c r="K77" s="9" t="s">
        <v>356</v>
      </c>
      <c r="L77" s="9"/>
      <c r="M77" s="9"/>
      <c r="N77" s="9"/>
      <c r="O77" s="9"/>
      <c r="P77" s="9" t="s">
        <v>465</v>
      </c>
      <c r="Q77" s="9" t="s">
        <v>53</v>
      </c>
      <c r="R77" s="9" t="s">
        <v>466</v>
      </c>
      <c r="S77" s="10"/>
      <c r="T77" s="10"/>
      <c r="U77" s="10"/>
      <c r="V77" s="10"/>
      <c r="W77" s="11"/>
      <c r="X77" s="11"/>
      <c r="Y77" s="11"/>
      <c r="Z77" s="11"/>
      <c r="AA77" s="12" t="str">
        <f aca="false">IF(X77="","",IF(X77=0,"Unassigned",IF(X77=1,"Single point",IF(Z77="Yes","Staffed and credentialed","Staffed, credential gap"))))</f>
        <v/>
      </c>
      <c r="AB77" s="12" t="str">
        <f aca="false">IFERROR(INDEX(Lists!$H$3:$H$6,MATCH(AA77,Lists!$G$3:$G$6,0)),"")</f>
        <v/>
      </c>
      <c r="AC77" s="10"/>
      <c r="AD77" s="12" t="str">
        <f aca="false">IFERROR(INDEX(Lists!$B$3:$B$7,MATCH(AC77,Lists!$A$3:$A$7,0)),"")</f>
        <v/>
      </c>
      <c r="AE77" s="10"/>
      <c r="AF77" s="10"/>
      <c r="AG77" s="10"/>
      <c r="AH77" s="10"/>
      <c r="AI77" s="10"/>
      <c r="AJ77" s="10"/>
      <c r="AK77" s="13" t="str">
        <f aca="false">IF(OR(AH77="",AH77=0),"",AJ77/AH77)</f>
        <v/>
      </c>
      <c r="AL77" s="10"/>
      <c r="AM77" s="10"/>
      <c r="AN77" s="12" t="str">
        <f aca="false">IF(AL77="","Not assessed",IF(AND(Q77="No",AL77="Gap - recommend tailoring"),"INVALID: floor item is not tailorable",IF(OR(X77="",X77=0),"NO NAMED EXECUTOR",IF(AND(N(AD77)&gt;=3,AH77=""),"Operating claimed with no sample",IF(AND(N(AD77)&gt;=3,X77=1),"Operating rests on one individual",IF(AND(N(AD77)&gt;=3,Z77&lt;&gt;"Yes"),"Operating claimed below designed credential",IF(AND(Q77="No",N(AD77)&lt;3),"FLOOR GATE: below Operating",IF(AND(N(AD77)&gt;=3,AH77&lt;&gt;"",AJ77=""),"Sample size with no conforming count","OK"))))))))</f>
        <v>Not assessed</v>
      </c>
      <c r="AO77" s="10"/>
      <c r="AP77" s="10"/>
      <c r="AQ77" s="10"/>
    </row>
    <row r="78" customFormat="false" ht="32.8" hidden="false" customHeight="false" outlineLevel="0" collapsed="false">
      <c r="A78" s="9" t="s">
        <v>467</v>
      </c>
      <c r="B78" s="9" t="s">
        <v>428</v>
      </c>
      <c r="C78" s="9" t="s">
        <v>102</v>
      </c>
      <c r="D78" s="9" t="s">
        <v>468</v>
      </c>
      <c r="E78" s="9" t="s">
        <v>469</v>
      </c>
      <c r="F78" s="9"/>
      <c r="G78" s="9"/>
      <c r="H78" s="9"/>
      <c r="I78" s="9"/>
      <c r="J78" s="9" t="s">
        <v>355</v>
      </c>
      <c r="K78" s="9" t="s">
        <v>356</v>
      </c>
      <c r="L78" s="9"/>
      <c r="M78" s="9"/>
      <c r="N78" s="9"/>
      <c r="O78" s="9"/>
      <c r="P78" s="9" t="s">
        <v>470</v>
      </c>
      <c r="Q78" s="9" t="s">
        <v>53</v>
      </c>
      <c r="R78" s="9"/>
      <c r="S78" s="10"/>
      <c r="T78" s="10"/>
      <c r="U78" s="10"/>
      <c r="V78" s="10"/>
      <c r="W78" s="11"/>
      <c r="X78" s="11"/>
      <c r="Y78" s="11"/>
      <c r="Z78" s="11"/>
      <c r="AA78" s="12" t="str">
        <f aca="false">IF(X78="","",IF(X78=0,"Unassigned",IF(X78=1,"Single point",IF(Z78="Yes","Staffed and credentialed","Staffed, credential gap"))))</f>
        <v/>
      </c>
      <c r="AB78" s="12" t="str">
        <f aca="false">IFERROR(INDEX(Lists!$H$3:$H$6,MATCH(AA78,Lists!$G$3:$G$6,0)),"")</f>
        <v/>
      </c>
      <c r="AC78" s="10"/>
      <c r="AD78" s="12" t="str">
        <f aca="false">IFERROR(INDEX(Lists!$B$3:$B$7,MATCH(AC78,Lists!$A$3:$A$7,0)),"")</f>
        <v/>
      </c>
      <c r="AE78" s="10"/>
      <c r="AF78" s="10"/>
      <c r="AG78" s="10"/>
      <c r="AH78" s="10"/>
      <c r="AI78" s="10"/>
      <c r="AJ78" s="10"/>
      <c r="AK78" s="13" t="str">
        <f aca="false">IF(OR(AH78="",AH78=0),"",AJ78/AH78)</f>
        <v/>
      </c>
      <c r="AL78" s="10"/>
      <c r="AM78" s="10"/>
      <c r="AN78" s="12" t="str">
        <f aca="false">IF(AL78="","Not assessed",IF(AND(Q78="No",AL78="Gap - recommend tailoring"),"INVALID: floor item is not tailorable",IF(OR(X78="",X78=0),"NO NAMED EXECUTOR",IF(AND(N(AD78)&gt;=3,AH78=""),"Operating claimed with no sample",IF(AND(N(AD78)&gt;=3,X78=1),"Operating rests on one individual",IF(AND(N(AD78)&gt;=3,Z78&lt;&gt;"Yes"),"Operating claimed below designed credential",IF(AND(Q78="No",N(AD78)&lt;3),"FLOOR GATE: below Operating",IF(AND(N(AD78)&gt;=3,AH78&lt;&gt;"",AJ78=""),"Sample size with no conforming count","OK"))))))))</f>
        <v>Not assessed</v>
      </c>
      <c r="AO78" s="10"/>
      <c r="AP78" s="10"/>
      <c r="AQ78" s="10"/>
    </row>
    <row r="79" customFormat="false" ht="22.35" hidden="false" customHeight="false" outlineLevel="0" collapsed="false">
      <c r="A79" s="9" t="s">
        <v>471</v>
      </c>
      <c r="B79" s="9" t="s">
        <v>428</v>
      </c>
      <c r="C79" s="9" t="s">
        <v>102</v>
      </c>
      <c r="D79" s="9" t="s">
        <v>472</v>
      </c>
      <c r="E79" s="9" t="s">
        <v>473</v>
      </c>
      <c r="F79" s="9"/>
      <c r="G79" s="9"/>
      <c r="H79" s="9"/>
      <c r="I79" s="9"/>
      <c r="J79" s="9" t="s">
        <v>355</v>
      </c>
      <c r="K79" s="9" t="s">
        <v>356</v>
      </c>
      <c r="L79" s="9"/>
      <c r="M79" s="9"/>
      <c r="N79" s="9"/>
      <c r="O79" s="9"/>
      <c r="P79" s="9" t="s">
        <v>474</v>
      </c>
      <c r="Q79" s="9" t="s">
        <v>53</v>
      </c>
      <c r="R79" s="9" t="s">
        <v>475</v>
      </c>
      <c r="S79" s="10"/>
      <c r="T79" s="10"/>
      <c r="U79" s="10"/>
      <c r="V79" s="10"/>
      <c r="W79" s="11"/>
      <c r="X79" s="11"/>
      <c r="Y79" s="11"/>
      <c r="Z79" s="11"/>
      <c r="AA79" s="12" t="str">
        <f aca="false">IF(X79="","",IF(X79=0,"Unassigned",IF(X79=1,"Single point",IF(Z79="Yes","Staffed and credentialed","Staffed, credential gap"))))</f>
        <v/>
      </c>
      <c r="AB79" s="12" t="str">
        <f aca="false">IFERROR(INDEX(Lists!$H$3:$H$6,MATCH(AA79,Lists!$G$3:$G$6,0)),"")</f>
        <v/>
      </c>
      <c r="AC79" s="10"/>
      <c r="AD79" s="12" t="str">
        <f aca="false">IFERROR(INDEX(Lists!$B$3:$B$7,MATCH(AC79,Lists!$A$3:$A$7,0)),"")</f>
        <v/>
      </c>
      <c r="AE79" s="10"/>
      <c r="AF79" s="10"/>
      <c r="AG79" s="10"/>
      <c r="AH79" s="10"/>
      <c r="AI79" s="10"/>
      <c r="AJ79" s="10"/>
      <c r="AK79" s="13" t="str">
        <f aca="false">IF(OR(AH79="",AH79=0),"",AJ79/AH79)</f>
        <v/>
      </c>
      <c r="AL79" s="10"/>
      <c r="AM79" s="10"/>
      <c r="AN79" s="12" t="str">
        <f aca="false">IF(AL79="","Not assessed",IF(AND(Q79="No",AL79="Gap - recommend tailoring"),"INVALID: floor item is not tailorable",IF(OR(X79="",X79=0),"NO NAMED EXECUTOR",IF(AND(N(AD79)&gt;=3,AH79=""),"Operating claimed with no sample",IF(AND(N(AD79)&gt;=3,X79=1),"Operating rests on one individual",IF(AND(N(AD79)&gt;=3,Z79&lt;&gt;"Yes"),"Operating claimed below designed credential",IF(AND(Q79="No",N(AD79)&lt;3),"FLOOR GATE: below Operating",IF(AND(N(AD79)&gt;=3,AH79&lt;&gt;"",AJ79=""),"Sample size with no conforming count","OK"))))))))</f>
        <v>Not assessed</v>
      </c>
      <c r="AO79" s="10"/>
      <c r="AP79" s="10"/>
      <c r="AQ79" s="10"/>
    </row>
    <row r="80" customFormat="false" ht="22.35" hidden="false" customHeight="false" outlineLevel="0" collapsed="false">
      <c r="A80" s="9" t="s">
        <v>476</v>
      </c>
      <c r="B80" s="9" t="s">
        <v>428</v>
      </c>
      <c r="C80" s="9" t="s">
        <v>102</v>
      </c>
      <c r="D80" s="9" t="s">
        <v>477</v>
      </c>
      <c r="E80" s="9" t="s">
        <v>478</v>
      </c>
      <c r="F80" s="9"/>
      <c r="G80" s="9"/>
      <c r="H80" s="9"/>
      <c r="I80" s="9"/>
      <c r="J80" s="9" t="s">
        <v>355</v>
      </c>
      <c r="K80" s="9" t="s">
        <v>356</v>
      </c>
      <c r="L80" s="9"/>
      <c r="M80" s="9"/>
      <c r="N80" s="9"/>
      <c r="O80" s="9"/>
      <c r="P80" s="9" t="s">
        <v>434</v>
      </c>
      <c r="Q80" s="9" t="s">
        <v>53</v>
      </c>
      <c r="R80" s="9" t="s">
        <v>117</v>
      </c>
      <c r="S80" s="10"/>
      <c r="T80" s="10"/>
      <c r="U80" s="10"/>
      <c r="V80" s="10"/>
      <c r="W80" s="11"/>
      <c r="X80" s="11"/>
      <c r="Y80" s="11"/>
      <c r="Z80" s="11"/>
      <c r="AA80" s="12" t="str">
        <f aca="false">IF(X80="","",IF(X80=0,"Unassigned",IF(X80=1,"Single point",IF(Z80="Yes","Staffed and credentialed","Staffed, credential gap"))))</f>
        <v/>
      </c>
      <c r="AB80" s="12" t="str">
        <f aca="false">IFERROR(INDEX(Lists!$H$3:$H$6,MATCH(AA80,Lists!$G$3:$G$6,0)),"")</f>
        <v/>
      </c>
      <c r="AC80" s="10"/>
      <c r="AD80" s="12" t="str">
        <f aca="false">IFERROR(INDEX(Lists!$B$3:$B$7,MATCH(AC80,Lists!$A$3:$A$7,0)),"")</f>
        <v/>
      </c>
      <c r="AE80" s="10"/>
      <c r="AF80" s="10"/>
      <c r="AG80" s="10"/>
      <c r="AH80" s="10"/>
      <c r="AI80" s="10"/>
      <c r="AJ80" s="10"/>
      <c r="AK80" s="13" t="str">
        <f aca="false">IF(OR(AH80="",AH80=0),"",AJ80/AH80)</f>
        <v/>
      </c>
      <c r="AL80" s="10"/>
      <c r="AM80" s="10"/>
      <c r="AN80" s="12" t="str">
        <f aca="false">IF(AL80="","Not assessed",IF(AND(Q80="No",AL80="Gap - recommend tailoring"),"INVALID: floor item is not tailorable",IF(OR(X80="",X80=0),"NO NAMED EXECUTOR",IF(AND(N(AD80)&gt;=3,AH80=""),"Operating claimed with no sample",IF(AND(N(AD80)&gt;=3,X80=1),"Operating rests on one individual",IF(AND(N(AD80)&gt;=3,Z80&lt;&gt;"Yes"),"Operating claimed below designed credential",IF(AND(Q80="No",N(AD80)&lt;3),"FLOOR GATE: below Operating",IF(AND(N(AD80)&gt;=3,AH80&lt;&gt;"",AJ80=""),"Sample size with no conforming count","OK"))))))))</f>
        <v>Not assessed</v>
      </c>
      <c r="AO80" s="10"/>
      <c r="AP80" s="10"/>
      <c r="AQ80" s="10"/>
    </row>
    <row r="81" customFormat="false" ht="32.8" hidden="false" customHeight="false" outlineLevel="0" collapsed="false">
      <c r="A81" s="9" t="s">
        <v>479</v>
      </c>
      <c r="B81" s="9" t="s">
        <v>428</v>
      </c>
      <c r="C81" s="9" t="s">
        <v>102</v>
      </c>
      <c r="D81" s="9" t="s">
        <v>480</v>
      </c>
      <c r="E81" s="9" t="s">
        <v>481</v>
      </c>
      <c r="F81" s="9"/>
      <c r="G81" s="9"/>
      <c r="H81" s="9"/>
      <c r="I81" s="9"/>
      <c r="J81" s="9" t="s">
        <v>355</v>
      </c>
      <c r="K81" s="9" t="s">
        <v>356</v>
      </c>
      <c r="L81" s="9"/>
      <c r="M81" s="9"/>
      <c r="N81" s="9"/>
      <c r="O81" s="9"/>
      <c r="P81" s="9" t="s">
        <v>434</v>
      </c>
      <c r="Q81" s="9" t="s">
        <v>53</v>
      </c>
      <c r="R81" s="9" t="s">
        <v>117</v>
      </c>
      <c r="S81" s="10"/>
      <c r="T81" s="10"/>
      <c r="U81" s="10"/>
      <c r="V81" s="10"/>
      <c r="W81" s="11"/>
      <c r="X81" s="11"/>
      <c r="Y81" s="11"/>
      <c r="Z81" s="11"/>
      <c r="AA81" s="12" t="str">
        <f aca="false">IF(X81="","",IF(X81=0,"Unassigned",IF(X81=1,"Single point",IF(Z81="Yes","Staffed and credentialed","Staffed, credential gap"))))</f>
        <v/>
      </c>
      <c r="AB81" s="12" t="str">
        <f aca="false">IFERROR(INDEX(Lists!$H$3:$H$6,MATCH(AA81,Lists!$G$3:$G$6,0)),"")</f>
        <v/>
      </c>
      <c r="AC81" s="10"/>
      <c r="AD81" s="12" t="str">
        <f aca="false">IFERROR(INDEX(Lists!$B$3:$B$7,MATCH(AC81,Lists!$A$3:$A$7,0)),"")</f>
        <v/>
      </c>
      <c r="AE81" s="10"/>
      <c r="AF81" s="10"/>
      <c r="AG81" s="10"/>
      <c r="AH81" s="10"/>
      <c r="AI81" s="10"/>
      <c r="AJ81" s="10"/>
      <c r="AK81" s="13" t="str">
        <f aca="false">IF(OR(AH81="",AH81=0),"",AJ81/AH81)</f>
        <v/>
      </c>
      <c r="AL81" s="10"/>
      <c r="AM81" s="10"/>
      <c r="AN81" s="12" t="str">
        <f aca="false">IF(AL81="","Not assessed",IF(AND(Q81="No",AL81="Gap - recommend tailoring"),"INVALID: floor item is not tailorable",IF(OR(X81="",X81=0),"NO NAMED EXECUTOR",IF(AND(N(AD81)&gt;=3,AH81=""),"Operating claimed with no sample",IF(AND(N(AD81)&gt;=3,X81=1),"Operating rests on one individual",IF(AND(N(AD81)&gt;=3,Z81&lt;&gt;"Yes"),"Operating claimed below designed credential",IF(AND(Q81="No",N(AD81)&lt;3),"FLOOR GATE: below Operating",IF(AND(N(AD81)&gt;=3,AH81&lt;&gt;"",AJ81=""),"Sample size with no conforming count","OK"))))))))</f>
        <v>Not assessed</v>
      </c>
      <c r="AO81" s="10"/>
      <c r="AP81" s="10"/>
      <c r="AQ81" s="10"/>
    </row>
    <row r="82" customFormat="false" ht="22.35" hidden="false" customHeight="false" outlineLevel="0" collapsed="false">
      <c r="A82" s="9" t="s">
        <v>482</v>
      </c>
      <c r="B82" s="9" t="s">
        <v>428</v>
      </c>
      <c r="C82" s="9" t="s">
        <v>102</v>
      </c>
      <c r="D82" s="9" t="s">
        <v>483</v>
      </c>
      <c r="E82" s="9" t="s">
        <v>484</v>
      </c>
      <c r="F82" s="9"/>
      <c r="G82" s="9"/>
      <c r="H82" s="9"/>
      <c r="I82" s="9"/>
      <c r="J82" s="9" t="s">
        <v>355</v>
      </c>
      <c r="K82" s="9" t="s">
        <v>356</v>
      </c>
      <c r="L82" s="9"/>
      <c r="M82" s="9"/>
      <c r="N82" s="9"/>
      <c r="O82" s="9"/>
      <c r="P82" s="9" t="s">
        <v>485</v>
      </c>
      <c r="Q82" s="9" t="s">
        <v>53</v>
      </c>
      <c r="R82" s="9" t="s">
        <v>486</v>
      </c>
      <c r="S82" s="10"/>
      <c r="T82" s="10"/>
      <c r="U82" s="10"/>
      <c r="V82" s="10"/>
      <c r="W82" s="11"/>
      <c r="X82" s="11"/>
      <c r="Y82" s="11"/>
      <c r="Z82" s="11"/>
      <c r="AA82" s="12" t="str">
        <f aca="false">IF(X82="","",IF(X82=0,"Unassigned",IF(X82=1,"Single point",IF(Z82="Yes","Staffed and credentialed","Staffed, credential gap"))))</f>
        <v/>
      </c>
      <c r="AB82" s="12" t="str">
        <f aca="false">IFERROR(INDEX(Lists!$H$3:$H$6,MATCH(AA82,Lists!$G$3:$G$6,0)),"")</f>
        <v/>
      </c>
      <c r="AC82" s="10"/>
      <c r="AD82" s="12" t="str">
        <f aca="false">IFERROR(INDEX(Lists!$B$3:$B$7,MATCH(AC82,Lists!$A$3:$A$7,0)),"")</f>
        <v/>
      </c>
      <c r="AE82" s="10"/>
      <c r="AF82" s="10"/>
      <c r="AG82" s="10"/>
      <c r="AH82" s="10"/>
      <c r="AI82" s="10"/>
      <c r="AJ82" s="10"/>
      <c r="AK82" s="13" t="str">
        <f aca="false">IF(OR(AH82="",AH82=0),"",AJ82/AH82)</f>
        <v/>
      </c>
      <c r="AL82" s="10"/>
      <c r="AM82" s="10"/>
      <c r="AN82" s="12" t="str">
        <f aca="false">IF(AL82="","Not assessed",IF(AND(Q82="No",AL82="Gap - recommend tailoring"),"INVALID: floor item is not tailorable",IF(OR(X82="",X82=0),"NO NAMED EXECUTOR",IF(AND(N(AD82)&gt;=3,AH82=""),"Operating claimed with no sample",IF(AND(N(AD82)&gt;=3,X82=1),"Operating rests on one individual",IF(AND(N(AD82)&gt;=3,Z82&lt;&gt;"Yes"),"Operating claimed below designed credential",IF(AND(Q82="No",N(AD82)&lt;3),"FLOOR GATE: below Operating",IF(AND(N(AD82)&gt;=3,AH82&lt;&gt;"",AJ82=""),"Sample size with no conforming count","OK"))))))))</f>
        <v>Not assessed</v>
      </c>
      <c r="AO82" s="10"/>
      <c r="AP82" s="10"/>
      <c r="AQ82" s="10"/>
    </row>
    <row r="83" customFormat="false" ht="22.35" hidden="false" customHeight="false" outlineLevel="0" collapsed="false">
      <c r="A83" s="9" t="s">
        <v>487</v>
      </c>
      <c r="B83" s="9" t="s">
        <v>428</v>
      </c>
      <c r="C83" s="9" t="s">
        <v>102</v>
      </c>
      <c r="D83" s="9" t="s">
        <v>488</v>
      </c>
      <c r="E83" s="9" t="s">
        <v>489</v>
      </c>
      <c r="F83" s="9"/>
      <c r="G83" s="9"/>
      <c r="H83" s="9"/>
      <c r="I83" s="9"/>
      <c r="J83" s="9" t="s">
        <v>355</v>
      </c>
      <c r="K83" s="9" t="s">
        <v>356</v>
      </c>
      <c r="L83" s="9"/>
      <c r="M83" s="9"/>
      <c r="N83" s="9"/>
      <c r="O83" s="9"/>
      <c r="P83" s="9" t="s">
        <v>457</v>
      </c>
      <c r="Q83" s="9" t="s">
        <v>53</v>
      </c>
      <c r="R83" s="9" t="s">
        <v>486</v>
      </c>
      <c r="S83" s="10"/>
      <c r="T83" s="10"/>
      <c r="U83" s="10"/>
      <c r="V83" s="10"/>
      <c r="W83" s="11"/>
      <c r="X83" s="11"/>
      <c r="Y83" s="11"/>
      <c r="Z83" s="11"/>
      <c r="AA83" s="12" t="str">
        <f aca="false">IF(X83="","",IF(X83=0,"Unassigned",IF(X83=1,"Single point",IF(Z83="Yes","Staffed and credentialed","Staffed, credential gap"))))</f>
        <v/>
      </c>
      <c r="AB83" s="12" t="str">
        <f aca="false">IFERROR(INDEX(Lists!$H$3:$H$6,MATCH(AA83,Lists!$G$3:$G$6,0)),"")</f>
        <v/>
      </c>
      <c r="AC83" s="10"/>
      <c r="AD83" s="12" t="str">
        <f aca="false">IFERROR(INDEX(Lists!$B$3:$B$7,MATCH(AC83,Lists!$A$3:$A$7,0)),"")</f>
        <v/>
      </c>
      <c r="AE83" s="10"/>
      <c r="AF83" s="10"/>
      <c r="AG83" s="10"/>
      <c r="AH83" s="10"/>
      <c r="AI83" s="10"/>
      <c r="AJ83" s="10"/>
      <c r="AK83" s="13" t="str">
        <f aca="false">IF(OR(AH83="",AH83=0),"",AJ83/AH83)</f>
        <v/>
      </c>
      <c r="AL83" s="10"/>
      <c r="AM83" s="10"/>
      <c r="AN83" s="12" t="str">
        <f aca="false">IF(AL83="","Not assessed",IF(AND(Q83="No",AL83="Gap - recommend tailoring"),"INVALID: floor item is not tailorable",IF(OR(X83="",X83=0),"NO NAMED EXECUTOR",IF(AND(N(AD83)&gt;=3,AH83=""),"Operating claimed with no sample",IF(AND(N(AD83)&gt;=3,X83=1),"Operating rests on one individual",IF(AND(N(AD83)&gt;=3,Z83&lt;&gt;"Yes"),"Operating claimed below designed credential",IF(AND(Q83="No",N(AD83)&lt;3),"FLOOR GATE: below Operating",IF(AND(N(AD83)&gt;=3,AH83&lt;&gt;"",AJ83=""),"Sample size with no conforming count","OK"))))))))</f>
        <v>Not assessed</v>
      </c>
      <c r="AO83" s="10"/>
      <c r="AP83" s="10"/>
      <c r="AQ83" s="10"/>
    </row>
    <row r="84" customFormat="false" ht="22.35" hidden="false" customHeight="false" outlineLevel="0" collapsed="false">
      <c r="A84" s="9" t="s">
        <v>490</v>
      </c>
      <c r="B84" s="9" t="s">
        <v>428</v>
      </c>
      <c r="C84" s="9" t="s">
        <v>102</v>
      </c>
      <c r="D84" s="9" t="s">
        <v>491</v>
      </c>
      <c r="E84" s="9" t="s">
        <v>492</v>
      </c>
      <c r="F84" s="9"/>
      <c r="G84" s="9"/>
      <c r="H84" s="9"/>
      <c r="I84" s="9"/>
      <c r="J84" s="9" t="s">
        <v>355</v>
      </c>
      <c r="K84" s="9" t="s">
        <v>356</v>
      </c>
      <c r="L84" s="9"/>
      <c r="M84" s="9"/>
      <c r="N84" s="9"/>
      <c r="O84" s="9"/>
      <c r="P84" s="9" t="s">
        <v>457</v>
      </c>
      <c r="Q84" s="9" t="s">
        <v>53</v>
      </c>
      <c r="R84" s="9" t="s">
        <v>486</v>
      </c>
      <c r="S84" s="10"/>
      <c r="T84" s="10"/>
      <c r="U84" s="10"/>
      <c r="V84" s="10"/>
      <c r="W84" s="11"/>
      <c r="X84" s="11"/>
      <c r="Y84" s="11"/>
      <c r="Z84" s="11"/>
      <c r="AA84" s="12" t="str">
        <f aca="false">IF(X84="","",IF(X84=0,"Unassigned",IF(X84=1,"Single point",IF(Z84="Yes","Staffed and credentialed","Staffed, credential gap"))))</f>
        <v/>
      </c>
      <c r="AB84" s="12" t="str">
        <f aca="false">IFERROR(INDEX(Lists!$H$3:$H$6,MATCH(AA84,Lists!$G$3:$G$6,0)),"")</f>
        <v/>
      </c>
      <c r="AC84" s="10"/>
      <c r="AD84" s="12" t="str">
        <f aca="false">IFERROR(INDEX(Lists!$B$3:$B$7,MATCH(AC84,Lists!$A$3:$A$7,0)),"")</f>
        <v/>
      </c>
      <c r="AE84" s="10"/>
      <c r="AF84" s="10"/>
      <c r="AG84" s="10"/>
      <c r="AH84" s="10"/>
      <c r="AI84" s="10"/>
      <c r="AJ84" s="10"/>
      <c r="AK84" s="13" t="str">
        <f aca="false">IF(OR(AH84="",AH84=0),"",AJ84/AH84)</f>
        <v/>
      </c>
      <c r="AL84" s="10"/>
      <c r="AM84" s="10"/>
      <c r="AN84" s="12" t="str">
        <f aca="false">IF(AL84="","Not assessed",IF(AND(Q84="No",AL84="Gap - recommend tailoring"),"INVALID: floor item is not tailorable",IF(OR(X84="",X84=0),"NO NAMED EXECUTOR",IF(AND(N(AD84)&gt;=3,AH84=""),"Operating claimed with no sample",IF(AND(N(AD84)&gt;=3,X84=1),"Operating rests on one individual",IF(AND(N(AD84)&gt;=3,Z84&lt;&gt;"Yes"),"Operating claimed below designed credential",IF(AND(Q84="No",N(AD84)&lt;3),"FLOOR GATE: below Operating",IF(AND(N(AD84)&gt;=3,AH84&lt;&gt;"",AJ84=""),"Sample size with no conforming count","OK"))))))))</f>
        <v>Not assessed</v>
      </c>
      <c r="AO84" s="10"/>
      <c r="AP84" s="10"/>
      <c r="AQ84" s="10"/>
    </row>
    <row r="85" customFormat="false" ht="22.35" hidden="false" customHeight="false" outlineLevel="0" collapsed="false">
      <c r="A85" s="9" t="s">
        <v>493</v>
      </c>
      <c r="B85" s="9" t="s">
        <v>428</v>
      </c>
      <c r="C85" s="9" t="s">
        <v>102</v>
      </c>
      <c r="D85" s="9" t="s">
        <v>494</v>
      </c>
      <c r="E85" s="9" t="s">
        <v>495</v>
      </c>
      <c r="F85" s="9"/>
      <c r="G85" s="9"/>
      <c r="H85" s="9"/>
      <c r="I85" s="9"/>
      <c r="J85" s="9" t="s">
        <v>355</v>
      </c>
      <c r="K85" s="9" t="s">
        <v>356</v>
      </c>
      <c r="L85" s="9"/>
      <c r="M85" s="9"/>
      <c r="N85" s="9"/>
      <c r="O85" s="9"/>
      <c r="P85" s="9" t="s">
        <v>434</v>
      </c>
      <c r="Q85" s="9" t="s">
        <v>53</v>
      </c>
      <c r="R85" s="9" t="s">
        <v>486</v>
      </c>
      <c r="S85" s="10"/>
      <c r="T85" s="10"/>
      <c r="U85" s="10"/>
      <c r="V85" s="10"/>
      <c r="W85" s="11"/>
      <c r="X85" s="11"/>
      <c r="Y85" s="11"/>
      <c r="Z85" s="11"/>
      <c r="AA85" s="12" t="str">
        <f aca="false">IF(X85="","",IF(X85=0,"Unassigned",IF(X85=1,"Single point",IF(Z85="Yes","Staffed and credentialed","Staffed, credential gap"))))</f>
        <v/>
      </c>
      <c r="AB85" s="12" t="str">
        <f aca="false">IFERROR(INDEX(Lists!$H$3:$H$6,MATCH(AA85,Lists!$G$3:$G$6,0)),"")</f>
        <v/>
      </c>
      <c r="AC85" s="10"/>
      <c r="AD85" s="12" t="str">
        <f aca="false">IFERROR(INDEX(Lists!$B$3:$B$7,MATCH(AC85,Lists!$A$3:$A$7,0)),"")</f>
        <v/>
      </c>
      <c r="AE85" s="10"/>
      <c r="AF85" s="10"/>
      <c r="AG85" s="10"/>
      <c r="AH85" s="10"/>
      <c r="AI85" s="10"/>
      <c r="AJ85" s="10"/>
      <c r="AK85" s="13" t="str">
        <f aca="false">IF(OR(AH85="",AH85=0),"",AJ85/AH85)</f>
        <v/>
      </c>
      <c r="AL85" s="10"/>
      <c r="AM85" s="10"/>
      <c r="AN85" s="12" t="str">
        <f aca="false">IF(AL85="","Not assessed",IF(AND(Q85="No",AL85="Gap - recommend tailoring"),"INVALID: floor item is not tailorable",IF(OR(X85="",X85=0),"NO NAMED EXECUTOR",IF(AND(N(AD85)&gt;=3,AH85=""),"Operating claimed with no sample",IF(AND(N(AD85)&gt;=3,X85=1),"Operating rests on one individual",IF(AND(N(AD85)&gt;=3,Z85&lt;&gt;"Yes"),"Operating claimed below designed credential",IF(AND(Q85="No",N(AD85)&lt;3),"FLOOR GATE: below Operating",IF(AND(N(AD85)&gt;=3,AH85&lt;&gt;"",AJ85=""),"Sample size with no conforming count","OK"))))))))</f>
        <v>Not assessed</v>
      </c>
      <c r="AO85" s="10"/>
      <c r="AP85" s="10"/>
      <c r="AQ85" s="10"/>
    </row>
    <row r="86" customFormat="false" ht="32.8" hidden="false" customHeight="false" outlineLevel="0" collapsed="false">
      <c r="A86" s="9" t="s">
        <v>496</v>
      </c>
      <c r="B86" s="9" t="s">
        <v>428</v>
      </c>
      <c r="C86" s="9" t="s">
        <v>102</v>
      </c>
      <c r="D86" s="9" t="s">
        <v>497</v>
      </c>
      <c r="E86" s="9" t="s">
        <v>498</v>
      </c>
      <c r="F86" s="9"/>
      <c r="G86" s="9"/>
      <c r="H86" s="9"/>
      <c r="I86" s="9"/>
      <c r="J86" s="9" t="s">
        <v>355</v>
      </c>
      <c r="K86" s="9" t="s">
        <v>356</v>
      </c>
      <c r="L86" s="9"/>
      <c r="M86" s="9"/>
      <c r="N86" s="9"/>
      <c r="O86" s="9"/>
      <c r="P86" s="9" t="s">
        <v>499</v>
      </c>
      <c r="Q86" s="9" t="s">
        <v>53</v>
      </c>
      <c r="R86" s="9" t="s">
        <v>177</v>
      </c>
      <c r="S86" s="10"/>
      <c r="T86" s="10"/>
      <c r="U86" s="10"/>
      <c r="V86" s="10"/>
      <c r="W86" s="11"/>
      <c r="X86" s="11"/>
      <c r="Y86" s="11"/>
      <c r="Z86" s="11"/>
      <c r="AA86" s="12" t="str">
        <f aca="false">IF(X86="","",IF(X86=0,"Unassigned",IF(X86=1,"Single point",IF(Z86="Yes","Staffed and credentialed","Staffed, credential gap"))))</f>
        <v/>
      </c>
      <c r="AB86" s="12" t="str">
        <f aca="false">IFERROR(INDEX(Lists!$H$3:$H$6,MATCH(AA86,Lists!$G$3:$G$6,0)),"")</f>
        <v/>
      </c>
      <c r="AC86" s="10"/>
      <c r="AD86" s="12" t="str">
        <f aca="false">IFERROR(INDEX(Lists!$B$3:$B$7,MATCH(AC86,Lists!$A$3:$A$7,0)),"")</f>
        <v/>
      </c>
      <c r="AE86" s="10"/>
      <c r="AF86" s="10"/>
      <c r="AG86" s="10"/>
      <c r="AH86" s="10"/>
      <c r="AI86" s="10"/>
      <c r="AJ86" s="10"/>
      <c r="AK86" s="13" t="str">
        <f aca="false">IF(OR(AH86="",AH86=0),"",AJ86/AH86)</f>
        <v/>
      </c>
      <c r="AL86" s="10"/>
      <c r="AM86" s="10"/>
      <c r="AN86" s="12" t="str">
        <f aca="false">IF(AL86="","Not assessed",IF(AND(Q86="No",AL86="Gap - recommend tailoring"),"INVALID: floor item is not tailorable",IF(OR(X86="",X86=0),"NO NAMED EXECUTOR",IF(AND(N(AD86)&gt;=3,AH86=""),"Operating claimed with no sample",IF(AND(N(AD86)&gt;=3,X86=1),"Operating rests on one individual",IF(AND(N(AD86)&gt;=3,Z86&lt;&gt;"Yes"),"Operating claimed below designed credential",IF(AND(Q86="No",N(AD86)&lt;3),"FLOOR GATE: below Operating",IF(AND(N(AD86)&gt;=3,AH86&lt;&gt;"",AJ86=""),"Sample size with no conforming count","OK"))))))))</f>
        <v>Not assessed</v>
      </c>
      <c r="AO86" s="10"/>
      <c r="AP86" s="10"/>
      <c r="AQ86" s="10"/>
    </row>
    <row r="87" customFormat="false" ht="32.8" hidden="false" customHeight="false" outlineLevel="0" collapsed="false">
      <c r="A87" s="9" t="s">
        <v>500</v>
      </c>
      <c r="B87" s="9" t="s">
        <v>428</v>
      </c>
      <c r="C87" s="9" t="s">
        <v>102</v>
      </c>
      <c r="D87" s="9" t="s">
        <v>501</v>
      </c>
      <c r="E87" s="9" t="s">
        <v>502</v>
      </c>
      <c r="F87" s="9"/>
      <c r="G87" s="9"/>
      <c r="H87" s="9"/>
      <c r="I87" s="9"/>
      <c r="J87" s="9" t="s">
        <v>355</v>
      </c>
      <c r="K87" s="9" t="s">
        <v>356</v>
      </c>
      <c r="L87" s="9"/>
      <c r="M87" s="9"/>
      <c r="N87" s="9"/>
      <c r="O87" s="9"/>
      <c r="P87" s="9" t="s">
        <v>503</v>
      </c>
      <c r="Q87" s="9" t="s">
        <v>53</v>
      </c>
      <c r="R87" s="9" t="s">
        <v>177</v>
      </c>
      <c r="S87" s="10"/>
      <c r="T87" s="10"/>
      <c r="U87" s="10"/>
      <c r="V87" s="10"/>
      <c r="W87" s="11"/>
      <c r="X87" s="11"/>
      <c r="Y87" s="11"/>
      <c r="Z87" s="11"/>
      <c r="AA87" s="12" t="str">
        <f aca="false">IF(X87="","",IF(X87=0,"Unassigned",IF(X87=1,"Single point",IF(Z87="Yes","Staffed and credentialed","Staffed, credential gap"))))</f>
        <v/>
      </c>
      <c r="AB87" s="12" t="str">
        <f aca="false">IFERROR(INDEX(Lists!$H$3:$H$6,MATCH(AA87,Lists!$G$3:$G$6,0)),"")</f>
        <v/>
      </c>
      <c r="AC87" s="10"/>
      <c r="AD87" s="12" t="str">
        <f aca="false">IFERROR(INDEX(Lists!$B$3:$B$7,MATCH(AC87,Lists!$A$3:$A$7,0)),"")</f>
        <v/>
      </c>
      <c r="AE87" s="10"/>
      <c r="AF87" s="10"/>
      <c r="AG87" s="10"/>
      <c r="AH87" s="10"/>
      <c r="AI87" s="10"/>
      <c r="AJ87" s="10"/>
      <c r="AK87" s="13" t="str">
        <f aca="false">IF(OR(AH87="",AH87=0),"",AJ87/AH87)</f>
        <v/>
      </c>
      <c r="AL87" s="10"/>
      <c r="AM87" s="10"/>
      <c r="AN87" s="12" t="str">
        <f aca="false">IF(AL87="","Not assessed",IF(AND(Q87="No",AL87="Gap - recommend tailoring"),"INVALID: floor item is not tailorable",IF(OR(X87="",X87=0),"NO NAMED EXECUTOR",IF(AND(N(AD87)&gt;=3,AH87=""),"Operating claimed with no sample",IF(AND(N(AD87)&gt;=3,X87=1),"Operating rests on one individual",IF(AND(N(AD87)&gt;=3,Z87&lt;&gt;"Yes"),"Operating claimed below designed credential",IF(AND(Q87="No",N(AD87)&lt;3),"FLOOR GATE: below Operating",IF(AND(N(AD87)&gt;=3,AH87&lt;&gt;"",AJ87=""),"Sample size with no conforming count","OK"))))))))</f>
        <v>Not assessed</v>
      </c>
      <c r="AO87" s="10"/>
      <c r="AP87" s="10"/>
      <c r="AQ87" s="10"/>
    </row>
    <row r="88" customFormat="false" ht="22.35" hidden="false" customHeight="false" outlineLevel="0" collapsed="false">
      <c r="A88" s="9" t="s">
        <v>504</v>
      </c>
      <c r="B88" s="9" t="s">
        <v>428</v>
      </c>
      <c r="C88" s="9" t="s">
        <v>102</v>
      </c>
      <c r="D88" s="9" t="s">
        <v>505</v>
      </c>
      <c r="E88" s="9" t="s">
        <v>506</v>
      </c>
      <c r="F88" s="9"/>
      <c r="G88" s="9"/>
      <c r="H88" s="9"/>
      <c r="I88" s="9"/>
      <c r="J88" s="9" t="s">
        <v>355</v>
      </c>
      <c r="K88" s="9" t="s">
        <v>356</v>
      </c>
      <c r="L88" s="9"/>
      <c r="M88" s="9"/>
      <c r="N88" s="9"/>
      <c r="O88" s="9"/>
      <c r="P88" s="9" t="s">
        <v>390</v>
      </c>
      <c r="Q88" s="9" t="s">
        <v>53</v>
      </c>
      <c r="R88" s="9" t="s">
        <v>177</v>
      </c>
      <c r="S88" s="10"/>
      <c r="T88" s="10"/>
      <c r="U88" s="10"/>
      <c r="V88" s="10"/>
      <c r="W88" s="11"/>
      <c r="X88" s="11"/>
      <c r="Y88" s="11"/>
      <c r="Z88" s="11"/>
      <c r="AA88" s="12" t="str">
        <f aca="false">IF(X88="","",IF(X88=0,"Unassigned",IF(X88=1,"Single point",IF(Z88="Yes","Staffed and credentialed","Staffed, credential gap"))))</f>
        <v/>
      </c>
      <c r="AB88" s="12" t="str">
        <f aca="false">IFERROR(INDEX(Lists!$H$3:$H$6,MATCH(AA88,Lists!$G$3:$G$6,0)),"")</f>
        <v/>
      </c>
      <c r="AC88" s="10"/>
      <c r="AD88" s="12" t="str">
        <f aca="false">IFERROR(INDEX(Lists!$B$3:$B$7,MATCH(AC88,Lists!$A$3:$A$7,0)),"")</f>
        <v/>
      </c>
      <c r="AE88" s="10"/>
      <c r="AF88" s="10"/>
      <c r="AG88" s="10"/>
      <c r="AH88" s="10"/>
      <c r="AI88" s="10"/>
      <c r="AJ88" s="10"/>
      <c r="AK88" s="13" t="str">
        <f aca="false">IF(OR(AH88="",AH88=0),"",AJ88/AH88)</f>
        <v/>
      </c>
      <c r="AL88" s="10"/>
      <c r="AM88" s="10"/>
      <c r="AN88" s="12" t="str">
        <f aca="false">IF(AL88="","Not assessed",IF(AND(Q88="No",AL88="Gap - recommend tailoring"),"INVALID: floor item is not tailorable",IF(OR(X88="",X88=0),"NO NAMED EXECUTOR",IF(AND(N(AD88)&gt;=3,AH88=""),"Operating claimed with no sample",IF(AND(N(AD88)&gt;=3,X88=1),"Operating rests on one individual",IF(AND(N(AD88)&gt;=3,Z88&lt;&gt;"Yes"),"Operating claimed below designed credential",IF(AND(Q88="No",N(AD88)&lt;3),"FLOOR GATE: below Operating",IF(AND(N(AD88)&gt;=3,AH88&lt;&gt;"",AJ88=""),"Sample size with no conforming count","OK"))))))))</f>
        <v>Not assessed</v>
      </c>
      <c r="AO88" s="10"/>
      <c r="AP88" s="10"/>
      <c r="AQ88" s="10"/>
    </row>
    <row r="89" customFormat="false" ht="22.35" hidden="false" customHeight="false" outlineLevel="0" collapsed="false">
      <c r="A89" s="9" t="s">
        <v>507</v>
      </c>
      <c r="B89" s="9" t="s">
        <v>428</v>
      </c>
      <c r="C89" s="9" t="s">
        <v>102</v>
      </c>
      <c r="D89" s="9" t="s">
        <v>508</v>
      </c>
      <c r="E89" s="9" t="s">
        <v>509</v>
      </c>
      <c r="F89" s="9"/>
      <c r="G89" s="9"/>
      <c r="H89" s="9"/>
      <c r="I89" s="9"/>
      <c r="J89" s="9" t="s">
        <v>355</v>
      </c>
      <c r="K89" s="9" t="s">
        <v>356</v>
      </c>
      <c r="L89" s="9"/>
      <c r="M89" s="9"/>
      <c r="N89" s="9"/>
      <c r="O89" s="9"/>
      <c r="P89" s="9" t="s">
        <v>510</v>
      </c>
      <c r="Q89" s="9" t="s">
        <v>53</v>
      </c>
      <c r="R89" s="9" t="s">
        <v>177</v>
      </c>
      <c r="S89" s="10"/>
      <c r="T89" s="10"/>
      <c r="U89" s="10"/>
      <c r="V89" s="10"/>
      <c r="W89" s="11"/>
      <c r="X89" s="11"/>
      <c r="Y89" s="11"/>
      <c r="Z89" s="11"/>
      <c r="AA89" s="12" t="str">
        <f aca="false">IF(X89="","",IF(X89=0,"Unassigned",IF(X89=1,"Single point",IF(Z89="Yes","Staffed and credentialed","Staffed, credential gap"))))</f>
        <v/>
      </c>
      <c r="AB89" s="12" t="str">
        <f aca="false">IFERROR(INDEX(Lists!$H$3:$H$6,MATCH(AA89,Lists!$G$3:$G$6,0)),"")</f>
        <v/>
      </c>
      <c r="AC89" s="10"/>
      <c r="AD89" s="12" t="str">
        <f aca="false">IFERROR(INDEX(Lists!$B$3:$B$7,MATCH(AC89,Lists!$A$3:$A$7,0)),"")</f>
        <v/>
      </c>
      <c r="AE89" s="10"/>
      <c r="AF89" s="10"/>
      <c r="AG89" s="10"/>
      <c r="AH89" s="10"/>
      <c r="AI89" s="10"/>
      <c r="AJ89" s="10"/>
      <c r="AK89" s="13" t="str">
        <f aca="false">IF(OR(AH89="",AH89=0),"",AJ89/AH89)</f>
        <v/>
      </c>
      <c r="AL89" s="10"/>
      <c r="AM89" s="10"/>
      <c r="AN89" s="12" t="str">
        <f aca="false">IF(AL89="","Not assessed",IF(AND(Q89="No",AL89="Gap - recommend tailoring"),"INVALID: floor item is not tailorable",IF(OR(X89="",X89=0),"NO NAMED EXECUTOR",IF(AND(N(AD89)&gt;=3,AH89=""),"Operating claimed with no sample",IF(AND(N(AD89)&gt;=3,X89=1),"Operating rests on one individual",IF(AND(N(AD89)&gt;=3,Z89&lt;&gt;"Yes"),"Operating claimed below designed credential",IF(AND(Q89="No",N(AD89)&lt;3),"FLOOR GATE: below Operating",IF(AND(N(AD89)&gt;=3,AH89&lt;&gt;"",AJ89=""),"Sample size with no conforming count","OK"))))))))</f>
        <v>Not assessed</v>
      </c>
      <c r="AO89" s="10"/>
      <c r="AP89" s="10"/>
      <c r="AQ89" s="10"/>
    </row>
    <row r="90" customFormat="false" ht="22.35" hidden="false" customHeight="false" outlineLevel="0" collapsed="false">
      <c r="A90" s="9" t="s">
        <v>511</v>
      </c>
      <c r="B90" s="9" t="s">
        <v>428</v>
      </c>
      <c r="C90" s="9" t="s">
        <v>102</v>
      </c>
      <c r="D90" s="9" t="s">
        <v>512</v>
      </c>
      <c r="E90" s="9" t="s">
        <v>513</v>
      </c>
      <c r="F90" s="9"/>
      <c r="G90" s="9"/>
      <c r="H90" s="9"/>
      <c r="I90" s="9"/>
      <c r="J90" s="9" t="s">
        <v>355</v>
      </c>
      <c r="K90" s="9" t="s">
        <v>356</v>
      </c>
      <c r="L90" s="9"/>
      <c r="M90" s="9"/>
      <c r="N90" s="9"/>
      <c r="O90" s="9"/>
      <c r="P90" s="9" t="s">
        <v>514</v>
      </c>
      <c r="Q90" s="9" t="s">
        <v>53</v>
      </c>
      <c r="R90" s="9" t="s">
        <v>515</v>
      </c>
      <c r="S90" s="10"/>
      <c r="T90" s="10"/>
      <c r="U90" s="10"/>
      <c r="V90" s="10"/>
      <c r="W90" s="11"/>
      <c r="X90" s="11"/>
      <c r="Y90" s="11"/>
      <c r="Z90" s="11"/>
      <c r="AA90" s="12" t="str">
        <f aca="false">IF(X90="","",IF(X90=0,"Unassigned",IF(X90=1,"Single point",IF(Z90="Yes","Staffed and credentialed","Staffed, credential gap"))))</f>
        <v/>
      </c>
      <c r="AB90" s="12" t="str">
        <f aca="false">IFERROR(INDEX(Lists!$H$3:$H$6,MATCH(AA90,Lists!$G$3:$G$6,0)),"")</f>
        <v/>
      </c>
      <c r="AC90" s="10"/>
      <c r="AD90" s="12" t="str">
        <f aca="false">IFERROR(INDEX(Lists!$B$3:$B$7,MATCH(AC90,Lists!$A$3:$A$7,0)),"")</f>
        <v/>
      </c>
      <c r="AE90" s="10"/>
      <c r="AF90" s="10"/>
      <c r="AG90" s="10"/>
      <c r="AH90" s="10"/>
      <c r="AI90" s="10"/>
      <c r="AJ90" s="10"/>
      <c r="AK90" s="13" t="str">
        <f aca="false">IF(OR(AH90="",AH90=0),"",AJ90/AH90)</f>
        <v/>
      </c>
      <c r="AL90" s="10"/>
      <c r="AM90" s="10"/>
      <c r="AN90" s="12" t="str">
        <f aca="false">IF(AL90="","Not assessed",IF(AND(Q90="No",AL90="Gap - recommend tailoring"),"INVALID: floor item is not tailorable",IF(OR(X90="",X90=0),"NO NAMED EXECUTOR",IF(AND(N(AD90)&gt;=3,AH90=""),"Operating claimed with no sample",IF(AND(N(AD90)&gt;=3,X90=1),"Operating rests on one individual",IF(AND(N(AD90)&gt;=3,Z90&lt;&gt;"Yes"),"Operating claimed below designed credential",IF(AND(Q90="No",N(AD90)&lt;3),"FLOOR GATE: below Operating",IF(AND(N(AD90)&gt;=3,AH90&lt;&gt;"",AJ90=""),"Sample size with no conforming count","OK"))))))))</f>
        <v>Not assessed</v>
      </c>
      <c r="AO90" s="10"/>
      <c r="AP90" s="10"/>
      <c r="AQ90" s="10"/>
    </row>
    <row r="91" customFormat="false" ht="22.35" hidden="false" customHeight="false" outlineLevel="0" collapsed="false">
      <c r="A91" s="9" t="s">
        <v>516</v>
      </c>
      <c r="B91" s="9" t="s">
        <v>428</v>
      </c>
      <c r="C91" s="9" t="s">
        <v>102</v>
      </c>
      <c r="D91" s="9" t="s">
        <v>517</v>
      </c>
      <c r="E91" s="9" t="s">
        <v>518</v>
      </c>
      <c r="F91" s="9"/>
      <c r="G91" s="9"/>
      <c r="H91" s="9"/>
      <c r="I91" s="9"/>
      <c r="J91" s="9" t="s">
        <v>355</v>
      </c>
      <c r="K91" s="9" t="s">
        <v>356</v>
      </c>
      <c r="L91" s="9"/>
      <c r="M91" s="9"/>
      <c r="N91" s="9"/>
      <c r="O91" s="9"/>
      <c r="P91" s="9" t="s">
        <v>519</v>
      </c>
      <c r="Q91" s="9" t="s">
        <v>53</v>
      </c>
      <c r="R91" s="9"/>
      <c r="S91" s="10"/>
      <c r="T91" s="10"/>
      <c r="U91" s="10"/>
      <c r="V91" s="10"/>
      <c r="W91" s="11"/>
      <c r="X91" s="11"/>
      <c r="Y91" s="11"/>
      <c r="Z91" s="11"/>
      <c r="AA91" s="12" t="str">
        <f aca="false">IF(X91="","",IF(X91=0,"Unassigned",IF(X91=1,"Single point",IF(Z91="Yes","Staffed and credentialed","Staffed, credential gap"))))</f>
        <v/>
      </c>
      <c r="AB91" s="12" t="str">
        <f aca="false">IFERROR(INDEX(Lists!$H$3:$H$6,MATCH(AA91,Lists!$G$3:$G$6,0)),"")</f>
        <v/>
      </c>
      <c r="AC91" s="10"/>
      <c r="AD91" s="12" t="str">
        <f aca="false">IFERROR(INDEX(Lists!$B$3:$B$7,MATCH(AC91,Lists!$A$3:$A$7,0)),"")</f>
        <v/>
      </c>
      <c r="AE91" s="10"/>
      <c r="AF91" s="10"/>
      <c r="AG91" s="10"/>
      <c r="AH91" s="10"/>
      <c r="AI91" s="10"/>
      <c r="AJ91" s="10"/>
      <c r="AK91" s="13" t="str">
        <f aca="false">IF(OR(AH91="",AH91=0),"",AJ91/AH91)</f>
        <v/>
      </c>
      <c r="AL91" s="10"/>
      <c r="AM91" s="10"/>
      <c r="AN91" s="12" t="str">
        <f aca="false">IF(AL91="","Not assessed",IF(AND(Q91="No",AL91="Gap - recommend tailoring"),"INVALID: floor item is not tailorable",IF(OR(X91="",X91=0),"NO NAMED EXECUTOR",IF(AND(N(AD91)&gt;=3,AH91=""),"Operating claimed with no sample",IF(AND(N(AD91)&gt;=3,X91=1),"Operating rests on one individual",IF(AND(N(AD91)&gt;=3,Z91&lt;&gt;"Yes"),"Operating claimed below designed credential",IF(AND(Q91="No",N(AD91)&lt;3),"FLOOR GATE: below Operating",IF(AND(N(AD91)&gt;=3,AH91&lt;&gt;"",AJ91=""),"Sample size with no conforming count","OK"))))))))</f>
        <v>Not assessed</v>
      </c>
      <c r="AO91" s="10"/>
      <c r="AP91" s="10"/>
      <c r="AQ91" s="10"/>
    </row>
    <row r="92" customFormat="false" ht="22.35" hidden="false" customHeight="false" outlineLevel="0" collapsed="false">
      <c r="A92" s="9" t="s">
        <v>520</v>
      </c>
      <c r="B92" s="9" t="s">
        <v>428</v>
      </c>
      <c r="C92" s="9" t="s">
        <v>102</v>
      </c>
      <c r="D92" s="9" t="s">
        <v>521</v>
      </c>
      <c r="E92" s="9" t="s">
        <v>522</v>
      </c>
      <c r="F92" s="9"/>
      <c r="G92" s="9"/>
      <c r="H92" s="9"/>
      <c r="I92" s="9"/>
      <c r="J92" s="9" t="s">
        <v>355</v>
      </c>
      <c r="K92" s="9" t="s">
        <v>356</v>
      </c>
      <c r="L92" s="9"/>
      <c r="M92" s="9"/>
      <c r="N92" s="9"/>
      <c r="O92" s="9"/>
      <c r="P92" s="9" t="s">
        <v>523</v>
      </c>
      <c r="Q92" s="9" t="s">
        <v>53</v>
      </c>
      <c r="R92" s="9"/>
      <c r="S92" s="10"/>
      <c r="T92" s="10"/>
      <c r="U92" s="10"/>
      <c r="V92" s="10"/>
      <c r="W92" s="11"/>
      <c r="X92" s="11"/>
      <c r="Y92" s="11"/>
      <c r="Z92" s="11"/>
      <c r="AA92" s="12" t="str">
        <f aca="false">IF(X92="","",IF(X92=0,"Unassigned",IF(X92=1,"Single point",IF(Z92="Yes","Staffed and credentialed","Staffed, credential gap"))))</f>
        <v/>
      </c>
      <c r="AB92" s="12" t="str">
        <f aca="false">IFERROR(INDEX(Lists!$H$3:$H$6,MATCH(AA92,Lists!$G$3:$G$6,0)),"")</f>
        <v/>
      </c>
      <c r="AC92" s="10"/>
      <c r="AD92" s="12" t="str">
        <f aca="false">IFERROR(INDEX(Lists!$B$3:$B$7,MATCH(AC92,Lists!$A$3:$A$7,0)),"")</f>
        <v/>
      </c>
      <c r="AE92" s="10"/>
      <c r="AF92" s="10"/>
      <c r="AG92" s="10"/>
      <c r="AH92" s="10"/>
      <c r="AI92" s="10"/>
      <c r="AJ92" s="10"/>
      <c r="AK92" s="13" t="str">
        <f aca="false">IF(OR(AH92="",AH92=0),"",AJ92/AH92)</f>
        <v/>
      </c>
      <c r="AL92" s="10"/>
      <c r="AM92" s="10"/>
      <c r="AN92" s="12" t="str">
        <f aca="false">IF(AL92="","Not assessed",IF(AND(Q92="No",AL92="Gap - recommend tailoring"),"INVALID: floor item is not tailorable",IF(OR(X92="",X92=0),"NO NAMED EXECUTOR",IF(AND(N(AD92)&gt;=3,AH92=""),"Operating claimed with no sample",IF(AND(N(AD92)&gt;=3,X92=1),"Operating rests on one individual",IF(AND(N(AD92)&gt;=3,Z92&lt;&gt;"Yes"),"Operating claimed below designed credential",IF(AND(Q92="No",N(AD92)&lt;3),"FLOOR GATE: below Operating",IF(AND(N(AD92)&gt;=3,AH92&lt;&gt;"",AJ92=""),"Sample size with no conforming count","OK"))))))))</f>
        <v>Not assessed</v>
      </c>
      <c r="AO92" s="10"/>
      <c r="AP92" s="10"/>
      <c r="AQ92" s="10"/>
    </row>
    <row r="93" customFormat="false" ht="22.35" hidden="false" customHeight="false" outlineLevel="0" collapsed="false">
      <c r="A93" s="9" t="s">
        <v>524</v>
      </c>
      <c r="B93" s="9" t="s">
        <v>428</v>
      </c>
      <c r="C93" s="9" t="s">
        <v>102</v>
      </c>
      <c r="D93" s="9" t="s">
        <v>525</v>
      </c>
      <c r="E93" s="9" t="s">
        <v>526</v>
      </c>
      <c r="F93" s="9"/>
      <c r="G93" s="9"/>
      <c r="H93" s="9"/>
      <c r="I93" s="9"/>
      <c r="J93" s="9" t="s">
        <v>355</v>
      </c>
      <c r="K93" s="9" t="s">
        <v>356</v>
      </c>
      <c r="L93" s="9"/>
      <c r="M93" s="9"/>
      <c r="N93" s="9"/>
      <c r="O93" s="9"/>
      <c r="P93" s="9" t="s">
        <v>514</v>
      </c>
      <c r="Q93" s="9" t="s">
        <v>53</v>
      </c>
      <c r="R93" s="9"/>
      <c r="S93" s="10"/>
      <c r="T93" s="10"/>
      <c r="U93" s="10"/>
      <c r="V93" s="10"/>
      <c r="W93" s="11"/>
      <c r="X93" s="11"/>
      <c r="Y93" s="11"/>
      <c r="Z93" s="11"/>
      <c r="AA93" s="12" t="str">
        <f aca="false">IF(X93="","",IF(X93=0,"Unassigned",IF(X93=1,"Single point",IF(Z93="Yes","Staffed and credentialed","Staffed, credential gap"))))</f>
        <v/>
      </c>
      <c r="AB93" s="12" t="str">
        <f aca="false">IFERROR(INDEX(Lists!$H$3:$H$6,MATCH(AA93,Lists!$G$3:$G$6,0)),"")</f>
        <v/>
      </c>
      <c r="AC93" s="10"/>
      <c r="AD93" s="12" t="str">
        <f aca="false">IFERROR(INDEX(Lists!$B$3:$B$7,MATCH(AC93,Lists!$A$3:$A$7,0)),"")</f>
        <v/>
      </c>
      <c r="AE93" s="10"/>
      <c r="AF93" s="10"/>
      <c r="AG93" s="10"/>
      <c r="AH93" s="10"/>
      <c r="AI93" s="10"/>
      <c r="AJ93" s="10"/>
      <c r="AK93" s="13" t="str">
        <f aca="false">IF(OR(AH93="",AH93=0),"",AJ93/AH93)</f>
        <v/>
      </c>
      <c r="AL93" s="10"/>
      <c r="AM93" s="10"/>
      <c r="AN93" s="12" t="str">
        <f aca="false">IF(AL93="","Not assessed",IF(AND(Q93="No",AL93="Gap - recommend tailoring"),"INVALID: floor item is not tailorable",IF(OR(X93="",X93=0),"NO NAMED EXECUTOR",IF(AND(N(AD93)&gt;=3,AH93=""),"Operating claimed with no sample",IF(AND(N(AD93)&gt;=3,X93=1),"Operating rests on one individual",IF(AND(N(AD93)&gt;=3,Z93&lt;&gt;"Yes"),"Operating claimed below designed credential",IF(AND(Q93="No",N(AD93)&lt;3),"FLOOR GATE: below Operating",IF(AND(N(AD93)&gt;=3,AH93&lt;&gt;"",AJ93=""),"Sample size with no conforming count","OK"))))))))</f>
        <v>Not assessed</v>
      </c>
      <c r="AO93" s="10"/>
      <c r="AP93" s="10"/>
      <c r="AQ93" s="10"/>
    </row>
    <row r="94" customFormat="false" ht="22.35" hidden="false" customHeight="false" outlineLevel="0" collapsed="false">
      <c r="A94" s="9" t="s">
        <v>527</v>
      </c>
      <c r="B94" s="9" t="s">
        <v>428</v>
      </c>
      <c r="C94" s="9" t="s">
        <v>102</v>
      </c>
      <c r="D94" s="9" t="s">
        <v>528</v>
      </c>
      <c r="E94" s="9" t="s">
        <v>529</v>
      </c>
      <c r="F94" s="9"/>
      <c r="G94" s="9"/>
      <c r="H94" s="9"/>
      <c r="I94" s="9"/>
      <c r="J94" s="9" t="s">
        <v>355</v>
      </c>
      <c r="K94" s="9" t="s">
        <v>356</v>
      </c>
      <c r="L94" s="9"/>
      <c r="M94" s="9"/>
      <c r="N94" s="9"/>
      <c r="O94" s="9"/>
      <c r="P94" s="9" t="s">
        <v>530</v>
      </c>
      <c r="Q94" s="9" t="s">
        <v>53</v>
      </c>
      <c r="R94" s="9"/>
      <c r="S94" s="10"/>
      <c r="T94" s="10"/>
      <c r="U94" s="10"/>
      <c r="V94" s="10"/>
      <c r="W94" s="11"/>
      <c r="X94" s="11"/>
      <c r="Y94" s="11"/>
      <c r="Z94" s="11"/>
      <c r="AA94" s="12" t="str">
        <f aca="false">IF(X94="","",IF(X94=0,"Unassigned",IF(X94=1,"Single point",IF(Z94="Yes","Staffed and credentialed","Staffed, credential gap"))))</f>
        <v/>
      </c>
      <c r="AB94" s="12" t="str">
        <f aca="false">IFERROR(INDEX(Lists!$H$3:$H$6,MATCH(AA94,Lists!$G$3:$G$6,0)),"")</f>
        <v/>
      </c>
      <c r="AC94" s="10"/>
      <c r="AD94" s="12" t="str">
        <f aca="false">IFERROR(INDEX(Lists!$B$3:$B$7,MATCH(AC94,Lists!$A$3:$A$7,0)),"")</f>
        <v/>
      </c>
      <c r="AE94" s="10"/>
      <c r="AF94" s="10"/>
      <c r="AG94" s="10"/>
      <c r="AH94" s="10"/>
      <c r="AI94" s="10"/>
      <c r="AJ94" s="10"/>
      <c r="AK94" s="13" t="str">
        <f aca="false">IF(OR(AH94="",AH94=0),"",AJ94/AH94)</f>
        <v/>
      </c>
      <c r="AL94" s="10"/>
      <c r="AM94" s="10"/>
      <c r="AN94" s="12" t="str">
        <f aca="false">IF(AL94="","Not assessed",IF(AND(Q94="No",AL94="Gap - recommend tailoring"),"INVALID: floor item is not tailorable",IF(OR(X94="",X94=0),"NO NAMED EXECUTOR",IF(AND(N(AD94)&gt;=3,AH94=""),"Operating claimed with no sample",IF(AND(N(AD94)&gt;=3,X94=1),"Operating rests on one individual",IF(AND(N(AD94)&gt;=3,Z94&lt;&gt;"Yes"),"Operating claimed below designed credential",IF(AND(Q94="No",N(AD94)&lt;3),"FLOOR GATE: below Operating",IF(AND(N(AD94)&gt;=3,AH94&lt;&gt;"",AJ94=""),"Sample size with no conforming count","OK"))))))))</f>
        <v>Not assessed</v>
      </c>
      <c r="AO94" s="10"/>
      <c r="AP94" s="10"/>
      <c r="AQ94" s="10"/>
    </row>
    <row r="95" customFormat="false" ht="22.35" hidden="false" customHeight="false" outlineLevel="0" collapsed="false">
      <c r="A95" s="9" t="s">
        <v>531</v>
      </c>
      <c r="B95" s="9" t="s">
        <v>428</v>
      </c>
      <c r="C95" s="9" t="s">
        <v>102</v>
      </c>
      <c r="D95" s="9" t="s">
        <v>532</v>
      </c>
      <c r="E95" s="9" t="s">
        <v>533</v>
      </c>
      <c r="F95" s="9"/>
      <c r="G95" s="9"/>
      <c r="H95" s="9"/>
      <c r="I95" s="9"/>
      <c r="J95" s="9" t="s">
        <v>355</v>
      </c>
      <c r="K95" s="9" t="s">
        <v>356</v>
      </c>
      <c r="L95" s="9"/>
      <c r="M95" s="9"/>
      <c r="N95" s="9"/>
      <c r="O95" s="9"/>
      <c r="P95" s="9" t="s">
        <v>457</v>
      </c>
      <c r="Q95" s="9" t="s">
        <v>53</v>
      </c>
      <c r="R95" s="9"/>
      <c r="S95" s="10"/>
      <c r="T95" s="10"/>
      <c r="U95" s="10"/>
      <c r="V95" s="10"/>
      <c r="W95" s="11"/>
      <c r="X95" s="11"/>
      <c r="Y95" s="11"/>
      <c r="Z95" s="11"/>
      <c r="AA95" s="12" t="str">
        <f aca="false">IF(X95="","",IF(X95=0,"Unassigned",IF(X95=1,"Single point",IF(Z95="Yes","Staffed and credentialed","Staffed, credential gap"))))</f>
        <v/>
      </c>
      <c r="AB95" s="12" t="str">
        <f aca="false">IFERROR(INDEX(Lists!$H$3:$H$6,MATCH(AA95,Lists!$G$3:$G$6,0)),"")</f>
        <v/>
      </c>
      <c r="AC95" s="10"/>
      <c r="AD95" s="12" t="str">
        <f aca="false">IFERROR(INDEX(Lists!$B$3:$B$7,MATCH(AC95,Lists!$A$3:$A$7,0)),"")</f>
        <v/>
      </c>
      <c r="AE95" s="10"/>
      <c r="AF95" s="10"/>
      <c r="AG95" s="10"/>
      <c r="AH95" s="10"/>
      <c r="AI95" s="10"/>
      <c r="AJ95" s="10"/>
      <c r="AK95" s="13" t="str">
        <f aca="false">IF(OR(AH95="",AH95=0),"",AJ95/AH95)</f>
        <v/>
      </c>
      <c r="AL95" s="10"/>
      <c r="AM95" s="10"/>
      <c r="AN95" s="12" t="str">
        <f aca="false">IF(AL95="","Not assessed",IF(AND(Q95="No",AL95="Gap - recommend tailoring"),"INVALID: floor item is not tailorable",IF(OR(X95="",X95=0),"NO NAMED EXECUTOR",IF(AND(N(AD95)&gt;=3,AH95=""),"Operating claimed with no sample",IF(AND(N(AD95)&gt;=3,X95=1),"Operating rests on one individual",IF(AND(N(AD95)&gt;=3,Z95&lt;&gt;"Yes"),"Operating claimed below designed credential",IF(AND(Q95="No",N(AD95)&lt;3),"FLOOR GATE: below Operating",IF(AND(N(AD95)&gt;=3,AH95&lt;&gt;"",AJ95=""),"Sample size with no conforming count","OK"))))))))</f>
        <v>Not assessed</v>
      </c>
      <c r="AO95" s="10"/>
      <c r="AP95" s="10"/>
      <c r="AQ95" s="10"/>
    </row>
    <row r="96" customFormat="false" ht="22.35" hidden="false" customHeight="false" outlineLevel="0" collapsed="false">
      <c r="A96" s="9" t="s">
        <v>534</v>
      </c>
      <c r="B96" s="9" t="s">
        <v>428</v>
      </c>
      <c r="C96" s="9" t="s">
        <v>102</v>
      </c>
      <c r="D96" s="9" t="s">
        <v>535</v>
      </c>
      <c r="E96" s="9" t="s">
        <v>536</v>
      </c>
      <c r="F96" s="9"/>
      <c r="G96" s="9"/>
      <c r="H96" s="9"/>
      <c r="I96" s="9"/>
      <c r="J96" s="9" t="s">
        <v>355</v>
      </c>
      <c r="K96" s="9" t="s">
        <v>356</v>
      </c>
      <c r="L96" s="9"/>
      <c r="M96" s="9"/>
      <c r="N96" s="9"/>
      <c r="O96" s="9"/>
      <c r="P96" s="9" t="s">
        <v>449</v>
      </c>
      <c r="Q96" s="9" t="s">
        <v>53</v>
      </c>
      <c r="R96" s="9"/>
      <c r="S96" s="10"/>
      <c r="T96" s="10"/>
      <c r="U96" s="10"/>
      <c r="V96" s="10"/>
      <c r="W96" s="11"/>
      <c r="X96" s="11"/>
      <c r="Y96" s="11"/>
      <c r="Z96" s="11"/>
      <c r="AA96" s="12" t="str">
        <f aca="false">IF(X96="","",IF(X96=0,"Unassigned",IF(X96=1,"Single point",IF(Z96="Yes","Staffed and credentialed","Staffed, credential gap"))))</f>
        <v/>
      </c>
      <c r="AB96" s="12" t="str">
        <f aca="false">IFERROR(INDEX(Lists!$H$3:$H$6,MATCH(AA96,Lists!$G$3:$G$6,0)),"")</f>
        <v/>
      </c>
      <c r="AC96" s="10"/>
      <c r="AD96" s="12" t="str">
        <f aca="false">IFERROR(INDEX(Lists!$B$3:$B$7,MATCH(AC96,Lists!$A$3:$A$7,0)),"")</f>
        <v/>
      </c>
      <c r="AE96" s="10"/>
      <c r="AF96" s="10"/>
      <c r="AG96" s="10"/>
      <c r="AH96" s="10"/>
      <c r="AI96" s="10"/>
      <c r="AJ96" s="10"/>
      <c r="AK96" s="13" t="str">
        <f aca="false">IF(OR(AH96="",AH96=0),"",AJ96/AH96)</f>
        <v/>
      </c>
      <c r="AL96" s="10"/>
      <c r="AM96" s="10"/>
      <c r="AN96" s="12" t="str">
        <f aca="false">IF(AL96="","Not assessed",IF(AND(Q96="No",AL96="Gap - recommend tailoring"),"INVALID: floor item is not tailorable",IF(OR(X96="",X96=0),"NO NAMED EXECUTOR",IF(AND(N(AD96)&gt;=3,AH96=""),"Operating claimed with no sample",IF(AND(N(AD96)&gt;=3,X96=1),"Operating rests on one individual",IF(AND(N(AD96)&gt;=3,Z96&lt;&gt;"Yes"),"Operating claimed below designed credential",IF(AND(Q96="No",N(AD96)&lt;3),"FLOOR GATE: below Operating",IF(AND(N(AD96)&gt;=3,AH96&lt;&gt;"",AJ96=""),"Sample size with no conforming count","OK"))))))))</f>
        <v>Not assessed</v>
      </c>
      <c r="AO96" s="10"/>
      <c r="AP96" s="10"/>
      <c r="AQ96" s="10"/>
    </row>
    <row r="97" customFormat="false" ht="22.35" hidden="false" customHeight="false" outlineLevel="0" collapsed="false">
      <c r="A97" s="9" t="s">
        <v>537</v>
      </c>
      <c r="B97" s="9" t="s">
        <v>428</v>
      </c>
      <c r="C97" s="9" t="s">
        <v>102</v>
      </c>
      <c r="D97" s="9" t="s">
        <v>538</v>
      </c>
      <c r="E97" s="9" t="s">
        <v>539</v>
      </c>
      <c r="F97" s="9"/>
      <c r="G97" s="9"/>
      <c r="H97" s="9"/>
      <c r="I97" s="9"/>
      <c r="J97" s="9" t="s">
        <v>355</v>
      </c>
      <c r="K97" s="9" t="s">
        <v>356</v>
      </c>
      <c r="L97" s="9"/>
      <c r="M97" s="9"/>
      <c r="N97" s="9"/>
      <c r="O97" s="9"/>
      <c r="P97" s="9" t="s">
        <v>540</v>
      </c>
      <c r="Q97" s="9" t="s">
        <v>53</v>
      </c>
      <c r="R97" s="9"/>
      <c r="S97" s="10"/>
      <c r="T97" s="10"/>
      <c r="U97" s="10"/>
      <c r="V97" s="10"/>
      <c r="W97" s="11"/>
      <c r="X97" s="11"/>
      <c r="Y97" s="11"/>
      <c r="Z97" s="11"/>
      <c r="AA97" s="12" t="str">
        <f aca="false">IF(X97="","",IF(X97=0,"Unassigned",IF(X97=1,"Single point",IF(Z97="Yes","Staffed and credentialed","Staffed, credential gap"))))</f>
        <v/>
      </c>
      <c r="AB97" s="12" t="str">
        <f aca="false">IFERROR(INDEX(Lists!$H$3:$H$6,MATCH(AA97,Lists!$G$3:$G$6,0)),"")</f>
        <v/>
      </c>
      <c r="AC97" s="10"/>
      <c r="AD97" s="12" t="str">
        <f aca="false">IFERROR(INDEX(Lists!$B$3:$B$7,MATCH(AC97,Lists!$A$3:$A$7,0)),"")</f>
        <v/>
      </c>
      <c r="AE97" s="10"/>
      <c r="AF97" s="10"/>
      <c r="AG97" s="10"/>
      <c r="AH97" s="10"/>
      <c r="AI97" s="10"/>
      <c r="AJ97" s="10"/>
      <c r="AK97" s="13" t="str">
        <f aca="false">IF(OR(AH97="",AH97=0),"",AJ97/AH97)</f>
        <v/>
      </c>
      <c r="AL97" s="10"/>
      <c r="AM97" s="10"/>
      <c r="AN97" s="12" t="str">
        <f aca="false">IF(AL97="","Not assessed",IF(AND(Q97="No",AL97="Gap - recommend tailoring"),"INVALID: floor item is not tailorable",IF(OR(X97="",X97=0),"NO NAMED EXECUTOR",IF(AND(N(AD97)&gt;=3,AH97=""),"Operating claimed with no sample",IF(AND(N(AD97)&gt;=3,X97=1),"Operating rests on one individual",IF(AND(N(AD97)&gt;=3,Z97&lt;&gt;"Yes"),"Operating claimed below designed credential",IF(AND(Q97="No",N(AD97)&lt;3),"FLOOR GATE: below Operating",IF(AND(N(AD97)&gt;=3,AH97&lt;&gt;"",AJ97=""),"Sample size with no conforming count","OK"))))))))</f>
        <v>Not assessed</v>
      </c>
      <c r="AO97" s="10"/>
      <c r="AP97" s="10"/>
      <c r="AQ97" s="10"/>
    </row>
    <row r="98" customFormat="false" ht="22.35" hidden="false" customHeight="false" outlineLevel="0" collapsed="false">
      <c r="A98" s="9" t="s">
        <v>541</v>
      </c>
      <c r="B98" s="9" t="s">
        <v>428</v>
      </c>
      <c r="C98" s="9" t="s">
        <v>102</v>
      </c>
      <c r="D98" s="9" t="s">
        <v>542</v>
      </c>
      <c r="E98" s="9" t="s">
        <v>543</v>
      </c>
      <c r="F98" s="9"/>
      <c r="G98" s="9"/>
      <c r="H98" s="9"/>
      <c r="I98" s="9"/>
      <c r="J98" s="9" t="s">
        <v>355</v>
      </c>
      <c r="K98" s="9" t="s">
        <v>356</v>
      </c>
      <c r="L98" s="9"/>
      <c r="M98" s="9"/>
      <c r="N98" s="9"/>
      <c r="O98" s="9"/>
      <c r="P98" s="9" t="s">
        <v>449</v>
      </c>
      <c r="Q98" s="9" t="s">
        <v>53</v>
      </c>
      <c r="R98" s="9"/>
      <c r="S98" s="10"/>
      <c r="T98" s="10"/>
      <c r="U98" s="10"/>
      <c r="V98" s="10"/>
      <c r="W98" s="11"/>
      <c r="X98" s="11"/>
      <c r="Y98" s="11"/>
      <c r="Z98" s="11"/>
      <c r="AA98" s="12" t="str">
        <f aca="false">IF(X98="","",IF(X98=0,"Unassigned",IF(X98=1,"Single point",IF(Z98="Yes","Staffed and credentialed","Staffed, credential gap"))))</f>
        <v/>
      </c>
      <c r="AB98" s="12" t="str">
        <f aca="false">IFERROR(INDEX(Lists!$H$3:$H$6,MATCH(AA98,Lists!$G$3:$G$6,0)),"")</f>
        <v/>
      </c>
      <c r="AC98" s="10"/>
      <c r="AD98" s="12" t="str">
        <f aca="false">IFERROR(INDEX(Lists!$B$3:$B$7,MATCH(AC98,Lists!$A$3:$A$7,0)),"")</f>
        <v/>
      </c>
      <c r="AE98" s="10"/>
      <c r="AF98" s="10"/>
      <c r="AG98" s="10"/>
      <c r="AH98" s="10"/>
      <c r="AI98" s="10"/>
      <c r="AJ98" s="10"/>
      <c r="AK98" s="13" t="str">
        <f aca="false">IF(OR(AH98="",AH98=0),"",AJ98/AH98)</f>
        <v/>
      </c>
      <c r="AL98" s="10"/>
      <c r="AM98" s="10"/>
      <c r="AN98" s="12" t="str">
        <f aca="false">IF(AL98="","Not assessed",IF(AND(Q98="No",AL98="Gap - recommend tailoring"),"INVALID: floor item is not tailorable",IF(OR(X98="",X98=0),"NO NAMED EXECUTOR",IF(AND(N(AD98)&gt;=3,AH98=""),"Operating claimed with no sample",IF(AND(N(AD98)&gt;=3,X98=1),"Operating rests on one individual",IF(AND(N(AD98)&gt;=3,Z98&lt;&gt;"Yes"),"Operating claimed below designed credential",IF(AND(Q98="No",N(AD98)&lt;3),"FLOOR GATE: below Operating",IF(AND(N(AD98)&gt;=3,AH98&lt;&gt;"",AJ98=""),"Sample size with no conforming count","OK"))))))))</f>
        <v>Not assessed</v>
      </c>
      <c r="AO98" s="10"/>
      <c r="AP98" s="10"/>
      <c r="AQ98" s="10"/>
    </row>
    <row r="99" customFormat="false" ht="22.35" hidden="false" customHeight="false" outlineLevel="0" collapsed="false">
      <c r="A99" s="9" t="s">
        <v>544</v>
      </c>
      <c r="B99" s="9" t="s">
        <v>428</v>
      </c>
      <c r="C99" s="9" t="s">
        <v>102</v>
      </c>
      <c r="D99" s="9" t="s">
        <v>545</v>
      </c>
      <c r="E99" s="9" t="s">
        <v>546</v>
      </c>
      <c r="F99" s="9"/>
      <c r="G99" s="9"/>
      <c r="H99" s="9"/>
      <c r="I99" s="9"/>
      <c r="J99" s="9" t="s">
        <v>355</v>
      </c>
      <c r="K99" s="9" t="s">
        <v>356</v>
      </c>
      <c r="L99" s="9"/>
      <c r="M99" s="9"/>
      <c r="N99" s="9"/>
      <c r="O99" s="9"/>
      <c r="P99" s="9" t="s">
        <v>470</v>
      </c>
      <c r="Q99" s="9" t="s">
        <v>53</v>
      </c>
      <c r="R99" s="9"/>
      <c r="S99" s="10"/>
      <c r="T99" s="10"/>
      <c r="U99" s="10"/>
      <c r="V99" s="10"/>
      <c r="W99" s="11"/>
      <c r="X99" s="11"/>
      <c r="Y99" s="11"/>
      <c r="Z99" s="11"/>
      <c r="AA99" s="12" t="str">
        <f aca="false">IF(X99="","",IF(X99=0,"Unassigned",IF(X99=1,"Single point",IF(Z99="Yes","Staffed and credentialed","Staffed, credential gap"))))</f>
        <v/>
      </c>
      <c r="AB99" s="12" t="str">
        <f aca="false">IFERROR(INDEX(Lists!$H$3:$H$6,MATCH(AA99,Lists!$G$3:$G$6,0)),"")</f>
        <v/>
      </c>
      <c r="AC99" s="10"/>
      <c r="AD99" s="12" t="str">
        <f aca="false">IFERROR(INDEX(Lists!$B$3:$B$7,MATCH(AC99,Lists!$A$3:$A$7,0)),"")</f>
        <v/>
      </c>
      <c r="AE99" s="10"/>
      <c r="AF99" s="10"/>
      <c r="AG99" s="10"/>
      <c r="AH99" s="10"/>
      <c r="AI99" s="10"/>
      <c r="AJ99" s="10"/>
      <c r="AK99" s="13" t="str">
        <f aca="false">IF(OR(AH99="",AH99=0),"",AJ99/AH99)</f>
        <v/>
      </c>
      <c r="AL99" s="10"/>
      <c r="AM99" s="10"/>
      <c r="AN99" s="12" t="str">
        <f aca="false">IF(AL99="","Not assessed",IF(AND(Q99="No",AL99="Gap - recommend tailoring"),"INVALID: floor item is not tailorable",IF(OR(X99="",X99=0),"NO NAMED EXECUTOR",IF(AND(N(AD99)&gt;=3,AH99=""),"Operating claimed with no sample",IF(AND(N(AD99)&gt;=3,X99=1),"Operating rests on one individual",IF(AND(N(AD99)&gt;=3,Z99&lt;&gt;"Yes"),"Operating claimed below designed credential",IF(AND(Q99="No",N(AD99)&lt;3),"FLOOR GATE: below Operating",IF(AND(N(AD99)&gt;=3,AH99&lt;&gt;"",AJ99=""),"Sample size with no conforming count","OK"))))))))</f>
        <v>Not assessed</v>
      </c>
      <c r="AO99" s="10"/>
      <c r="AP99" s="10"/>
      <c r="AQ99" s="10"/>
    </row>
    <row r="100" customFormat="false" ht="22.35" hidden="false" customHeight="false" outlineLevel="0" collapsed="false">
      <c r="A100" s="9" t="s">
        <v>547</v>
      </c>
      <c r="B100" s="9" t="s">
        <v>428</v>
      </c>
      <c r="C100" s="9" t="s">
        <v>102</v>
      </c>
      <c r="D100" s="9" t="s">
        <v>548</v>
      </c>
      <c r="E100" s="9" t="s">
        <v>549</v>
      </c>
      <c r="F100" s="9"/>
      <c r="G100" s="9"/>
      <c r="H100" s="9"/>
      <c r="I100" s="9"/>
      <c r="J100" s="9" t="s">
        <v>355</v>
      </c>
      <c r="K100" s="9" t="s">
        <v>356</v>
      </c>
      <c r="L100" s="9"/>
      <c r="M100" s="9"/>
      <c r="N100" s="9"/>
      <c r="O100" s="9"/>
      <c r="P100" s="9" t="s">
        <v>550</v>
      </c>
      <c r="Q100" s="9" t="s">
        <v>53</v>
      </c>
      <c r="R100" s="9" t="s">
        <v>303</v>
      </c>
      <c r="S100" s="10"/>
      <c r="T100" s="10"/>
      <c r="U100" s="10"/>
      <c r="V100" s="10"/>
      <c r="W100" s="11"/>
      <c r="X100" s="11"/>
      <c r="Y100" s="11"/>
      <c r="Z100" s="11"/>
      <c r="AA100" s="12" t="str">
        <f aca="false">IF(X100="","",IF(X100=0,"Unassigned",IF(X100=1,"Single point",IF(Z100="Yes","Staffed and credentialed","Staffed, credential gap"))))</f>
        <v/>
      </c>
      <c r="AB100" s="12" t="str">
        <f aca="false">IFERROR(INDEX(Lists!$H$3:$H$6,MATCH(AA100,Lists!$G$3:$G$6,0)),"")</f>
        <v/>
      </c>
      <c r="AC100" s="10"/>
      <c r="AD100" s="12" t="str">
        <f aca="false">IFERROR(INDEX(Lists!$B$3:$B$7,MATCH(AC100,Lists!$A$3:$A$7,0)),"")</f>
        <v/>
      </c>
      <c r="AE100" s="10"/>
      <c r="AF100" s="10"/>
      <c r="AG100" s="10"/>
      <c r="AH100" s="10"/>
      <c r="AI100" s="10"/>
      <c r="AJ100" s="10"/>
      <c r="AK100" s="13" t="str">
        <f aca="false">IF(OR(AH100="",AH100=0),"",AJ100/AH100)</f>
        <v/>
      </c>
      <c r="AL100" s="10"/>
      <c r="AM100" s="10"/>
      <c r="AN100" s="12" t="str">
        <f aca="false">IF(AL100="","Not assessed",IF(AND(Q100="No",AL100="Gap - recommend tailoring"),"INVALID: floor item is not tailorable",IF(OR(X100="",X100=0),"NO NAMED EXECUTOR",IF(AND(N(AD100)&gt;=3,AH100=""),"Operating claimed with no sample",IF(AND(N(AD100)&gt;=3,X100=1),"Operating rests on one individual",IF(AND(N(AD100)&gt;=3,Z100&lt;&gt;"Yes"),"Operating claimed below designed credential",IF(AND(Q100="No",N(AD100)&lt;3),"FLOOR GATE: below Operating",IF(AND(N(AD100)&gt;=3,AH100&lt;&gt;"",AJ100=""),"Sample size with no conforming count","OK"))))))))</f>
        <v>Not assessed</v>
      </c>
      <c r="AO100" s="10"/>
      <c r="AP100" s="10"/>
      <c r="AQ100" s="10"/>
    </row>
    <row r="101" customFormat="false" ht="32.8" hidden="false" customHeight="false" outlineLevel="0" collapsed="false">
      <c r="A101" s="9" t="s">
        <v>551</v>
      </c>
      <c r="B101" s="9" t="s">
        <v>428</v>
      </c>
      <c r="C101" s="9" t="s">
        <v>102</v>
      </c>
      <c r="D101" s="9" t="s">
        <v>552</v>
      </c>
      <c r="E101" s="9" t="s">
        <v>553</v>
      </c>
      <c r="F101" s="9"/>
      <c r="G101" s="9"/>
      <c r="H101" s="9"/>
      <c r="I101" s="9"/>
      <c r="J101" s="9" t="s">
        <v>355</v>
      </c>
      <c r="K101" s="9" t="s">
        <v>356</v>
      </c>
      <c r="L101" s="9"/>
      <c r="M101" s="9"/>
      <c r="N101" s="9"/>
      <c r="O101" s="9"/>
      <c r="P101" s="9" t="s">
        <v>554</v>
      </c>
      <c r="Q101" s="9" t="s">
        <v>53</v>
      </c>
      <c r="R101" s="9" t="s">
        <v>555</v>
      </c>
      <c r="S101" s="10"/>
      <c r="T101" s="10"/>
      <c r="U101" s="10"/>
      <c r="V101" s="10"/>
      <c r="W101" s="11"/>
      <c r="X101" s="11"/>
      <c r="Y101" s="11"/>
      <c r="Z101" s="11"/>
      <c r="AA101" s="12" t="str">
        <f aca="false">IF(X101="","",IF(X101=0,"Unassigned",IF(X101=1,"Single point",IF(Z101="Yes","Staffed and credentialed","Staffed, credential gap"))))</f>
        <v/>
      </c>
      <c r="AB101" s="12" t="str">
        <f aca="false">IFERROR(INDEX(Lists!$H$3:$H$6,MATCH(AA101,Lists!$G$3:$G$6,0)),"")</f>
        <v/>
      </c>
      <c r="AC101" s="10"/>
      <c r="AD101" s="12" t="str">
        <f aca="false">IFERROR(INDEX(Lists!$B$3:$B$7,MATCH(AC101,Lists!$A$3:$A$7,0)),"")</f>
        <v/>
      </c>
      <c r="AE101" s="10"/>
      <c r="AF101" s="10"/>
      <c r="AG101" s="10"/>
      <c r="AH101" s="10"/>
      <c r="AI101" s="10"/>
      <c r="AJ101" s="10"/>
      <c r="AK101" s="13" t="str">
        <f aca="false">IF(OR(AH101="",AH101=0),"",AJ101/AH101)</f>
        <v/>
      </c>
      <c r="AL101" s="10"/>
      <c r="AM101" s="10"/>
      <c r="AN101" s="12" t="str">
        <f aca="false">IF(AL101="","Not assessed",IF(AND(Q101="No",AL101="Gap - recommend tailoring"),"INVALID: floor item is not tailorable",IF(OR(X101="",X101=0),"NO NAMED EXECUTOR",IF(AND(N(AD101)&gt;=3,AH101=""),"Operating claimed with no sample",IF(AND(N(AD101)&gt;=3,X101=1),"Operating rests on one individual",IF(AND(N(AD101)&gt;=3,Z101&lt;&gt;"Yes"),"Operating claimed below designed credential",IF(AND(Q101="No",N(AD101)&lt;3),"FLOOR GATE: below Operating",IF(AND(N(AD101)&gt;=3,AH101&lt;&gt;"",AJ101=""),"Sample size with no conforming count","OK"))))))))</f>
        <v>Not assessed</v>
      </c>
      <c r="AO101" s="10"/>
      <c r="AP101" s="10"/>
      <c r="AQ101" s="10"/>
    </row>
    <row r="102" customFormat="false" ht="22.35" hidden="false" customHeight="false" outlineLevel="0" collapsed="false">
      <c r="A102" s="9" t="s">
        <v>556</v>
      </c>
      <c r="B102" s="9" t="s">
        <v>428</v>
      </c>
      <c r="C102" s="9" t="s">
        <v>102</v>
      </c>
      <c r="D102" s="9" t="s">
        <v>557</v>
      </c>
      <c r="E102" s="9" t="s">
        <v>558</v>
      </c>
      <c r="F102" s="9"/>
      <c r="G102" s="9"/>
      <c r="H102" s="9"/>
      <c r="I102" s="9"/>
      <c r="J102" s="9" t="s">
        <v>355</v>
      </c>
      <c r="K102" s="9" t="s">
        <v>356</v>
      </c>
      <c r="L102" s="9"/>
      <c r="M102" s="9"/>
      <c r="N102" s="9"/>
      <c r="O102" s="9"/>
      <c r="P102" s="9" t="s">
        <v>559</v>
      </c>
      <c r="Q102" s="9" t="s">
        <v>53</v>
      </c>
      <c r="R102" s="9" t="s">
        <v>560</v>
      </c>
      <c r="S102" s="10"/>
      <c r="T102" s="10"/>
      <c r="U102" s="10"/>
      <c r="V102" s="10"/>
      <c r="W102" s="11"/>
      <c r="X102" s="11"/>
      <c r="Y102" s="11"/>
      <c r="Z102" s="11"/>
      <c r="AA102" s="12" t="str">
        <f aca="false">IF(X102="","",IF(X102=0,"Unassigned",IF(X102=1,"Single point",IF(Z102="Yes","Staffed and credentialed","Staffed, credential gap"))))</f>
        <v/>
      </c>
      <c r="AB102" s="12" t="str">
        <f aca="false">IFERROR(INDEX(Lists!$H$3:$H$6,MATCH(AA102,Lists!$G$3:$G$6,0)),"")</f>
        <v/>
      </c>
      <c r="AC102" s="10"/>
      <c r="AD102" s="12" t="str">
        <f aca="false">IFERROR(INDEX(Lists!$B$3:$B$7,MATCH(AC102,Lists!$A$3:$A$7,0)),"")</f>
        <v/>
      </c>
      <c r="AE102" s="10"/>
      <c r="AF102" s="10"/>
      <c r="AG102" s="10"/>
      <c r="AH102" s="10"/>
      <c r="AI102" s="10"/>
      <c r="AJ102" s="10"/>
      <c r="AK102" s="13" t="str">
        <f aca="false">IF(OR(AH102="",AH102=0),"",AJ102/AH102)</f>
        <v/>
      </c>
      <c r="AL102" s="10"/>
      <c r="AM102" s="10"/>
      <c r="AN102" s="12" t="str">
        <f aca="false">IF(AL102="","Not assessed",IF(AND(Q102="No",AL102="Gap - recommend tailoring"),"INVALID: floor item is not tailorable",IF(OR(X102="",X102=0),"NO NAMED EXECUTOR",IF(AND(N(AD102)&gt;=3,AH102=""),"Operating claimed with no sample",IF(AND(N(AD102)&gt;=3,X102=1),"Operating rests on one individual",IF(AND(N(AD102)&gt;=3,Z102&lt;&gt;"Yes"),"Operating claimed below designed credential",IF(AND(Q102="No",N(AD102)&lt;3),"FLOOR GATE: below Operating",IF(AND(N(AD102)&gt;=3,AH102&lt;&gt;"",AJ102=""),"Sample size with no conforming count","OK"))))))))</f>
        <v>Not assessed</v>
      </c>
      <c r="AO102" s="10"/>
      <c r="AP102" s="10"/>
      <c r="AQ102" s="10"/>
    </row>
    <row r="103" customFormat="false" ht="32.8" hidden="false" customHeight="false" outlineLevel="0" collapsed="false">
      <c r="A103" s="9" t="s">
        <v>561</v>
      </c>
      <c r="B103" s="9" t="s">
        <v>428</v>
      </c>
      <c r="C103" s="9" t="s">
        <v>102</v>
      </c>
      <c r="D103" s="9" t="s">
        <v>562</v>
      </c>
      <c r="E103" s="9" t="s">
        <v>563</v>
      </c>
      <c r="F103" s="9"/>
      <c r="G103" s="9"/>
      <c r="H103" s="9"/>
      <c r="I103" s="9"/>
      <c r="J103" s="9" t="s">
        <v>355</v>
      </c>
      <c r="K103" s="9" t="s">
        <v>356</v>
      </c>
      <c r="L103" s="9"/>
      <c r="M103" s="9"/>
      <c r="N103" s="9"/>
      <c r="O103" s="9"/>
      <c r="P103" s="9" t="s">
        <v>453</v>
      </c>
      <c r="Q103" s="9" t="s">
        <v>53</v>
      </c>
      <c r="R103" s="9" t="s">
        <v>564</v>
      </c>
      <c r="S103" s="10"/>
      <c r="T103" s="10"/>
      <c r="U103" s="10"/>
      <c r="V103" s="10"/>
      <c r="W103" s="11"/>
      <c r="X103" s="11"/>
      <c r="Y103" s="11"/>
      <c r="Z103" s="11"/>
      <c r="AA103" s="12" t="str">
        <f aca="false">IF(X103="","",IF(X103=0,"Unassigned",IF(X103=1,"Single point",IF(Z103="Yes","Staffed and credentialed","Staffed, credential gap"))))</f>
        <v/>
      </c>
      <c r="AB103" s="12" t="str">
        <f aca="false">IFERROR(INDEX(Lists!$H$3:$H$6,MATCH(AA103,Lists!$G$3:$G$6,0)),"")</f>
        <v/>
      </c>
      <c r="AC103" s="10"/>
      <c r="AD103" s="12" t="str">
        <f aca="false">IFERROR(INDEX(Lists!$B$3:$B$7,MATCH(AC103,Lists!$A$3:$A$7,0)),"")</f>
        <v/>
      </c>
      <c r="AE103" s="10"/>
      <c r="AF103" s="10"/>
      <c r="AG103" s="10"/>
      <c r="AH103" s="10"/>
      <c r="AI103" s="10"/>
      <c r="AJ103" s="10"/>
      <c r="AK103" s="13" t="str">
        <f aca="false">IF(OR(AH103="",AH103=0),"",AJ103/AH103)</f>
        <v/>
      </c>
      <c r="AL103" s="10"/>
      <c r="AM103" s="10"/>
      <c r="AN103" s="12" t="str">
        <f aca="false">IF(AL103="","Not assessed",IF(AND(Q103="No",AL103="Gap - recommend tailoring"),"INVALID: floor item is not tailorable",IF(OR(X103="",X103=0),"NO NAMED EXECUTOR",IF(AND(N(AD103)&gt;=3,AH103=""),"Operating claimed with no sample",IF(AND(N(AD103)&gt;=3,X103=1),"Operating rests on one individual",IF(AND(N(AD103)&gt;=3,Z103&lt;&gt;"Yes"),"Operating claimed below designed credential",IF(AND(Q103="No",N(AD103)&lt;3),"FLOOR GATE: below Operating",IF(AND(N(AD103)&gt;=3,AH103&lt;&gt;"",AJ103=""),"Sample size with no conforming count","OK"))))))))</f>
        <v>Not assessed</v>
      </c>
      <c r="AO103" s="10"/>
      <c r="AP103" s="10"/>
      <c r="AQ103" s="10"/>
    </row>
    <row r="104" customFormat="false" ht="32.8" hidden="false" customHeight="false" outlineLevel="0" collapsed="false">
      <c r="A104" s="9" t="s">
        <v>565</v>
      </c>
      <c r="B104" s="9" t="s">
        <v>428</v>
      </c>
      <c r="C104" s="9" t="s">
        <v>102</v>
      </c>
      <c r="D104" s="9" t="s">
        <v>566</v>
      </c>
      <c r="E104" s="9" t="s">
        <v>567</v>
      </c>
      <c r="F104" s="9"/>
      <c r="G104" s="9"/>
      <c r="H104" s="9"/>
      <c r="I104" s="9"/>
      <c r="J104" s="9" t="s">
        <v>355</v>
      </c>
      <c r="K104" s="9" t="s">
        <v>356</v>
      </c>
      <c r="L104" s="9"/>
      <c r="M104" s="9"/>
      <c r="N104" s="9"/>
      <c r="O104" s="9"/>
      <c r="P104" s="9" t="s">
        <v>568</v>
      </c>
      <c r="Q104" s="9" t="s">
        <v>53</v>
      </c>
      <c r="R104" s="9" t="s">
        <v>560</v>
      </c>
      <c r="S104" s="10"/>
      <c r="T104" s="10"/>
      <c r="U104" s="10"/>
      <c r="V104" s="10"/>
      <c r="W104" s="11"/>
      <c r="X104" s="11"/>
      <c r="Y104" s="11"/>
      <c r="Z104" s="11"/>
      <c r="AA104" s="12" t="str">
        <f aca="false">IF(X104="","",IF(X104=0,"Unassigned",IF(X104=1,"Single point",IF(Z104="Yes","Staffed and credentialed","Staffed, credential gap"))))</f>
        <v/>
      </c>
      <c r="AB104" s="12" t="str">
        <f aca="false">IFERROR(INDEX(Lists!$H$3:$H$6,MATCH(AA104,Lists!$G$3:$G$6,0)),"")</f>
        <v/>
      </c>
      <c r="AC104" s="10"/>
      <c r="AD104" s="12" t="str">
        <f aca="false">IFERROR(INDEX(Lists!$B$3:$B$7,MATCH(AC104,Lists!$A$3:$A$7,0)),"")</f>
        <v/>
      </c>
      <c r="AE104" s="10"/>
      <c r="AF104" s="10"/>
      <c r="AG104" s="10"/>
      <c r="AH104" s="10"/>
      <c r="AI104" s="10"/>
      <c r="AJ104" s="10"/>
      <c r="AK104" s="13" t="str">
        <f aca="false">IF(OR(AH104="",AH104=0),"",AJ104/AH104)</f>
        <v/>
      </c>
      <c r="AL104" s="10"/>
      <c r="AM104" s="10"/>
      <c r="AN104" s="12" t="str">
        <f aca="false">IF(AL104="","Not assessed",IF(AND(Q104="No",AL104="Gap - recommend tailoring"),"INVALID: floor item is not tailorable",IF(OR(X104="",X104=0),"NO NAMED EXECUTOR",IF(AND(N(AD104)&gt;=3,AH104=""),"Operating claimed with no sample",IF(AND(N(AD104)&gt;=3,X104=1),"Operating rests on one individual",IF(AND(N(AD104)&gt;=3,Z104&lt;&gt;"Yes"),"Operating claimed below designed credential",IF(AND(Q104="No",N(AD104)&lt;3),"FLOOR GATE: below Operating",IF(AND(N(AD104)&gt;=3,AH104&lt;&gt;"",AJ104=""),"Sample size with no conforming count","OK"))))))))</f>
        <v>Not assessed</v>
      </c>
      <c r="AO104" s="10"/>
      <c r="AP104" s="10"/>
      <c r="AQ104" s="10"/>
    </row>
    <row r="105" customFormat="false" ht="43.25" hidden="false" customHeight="false" outlineLevel="0" collapsed="false">
      <c r="A105" s="9" t="s">
        <v>569</v>
      </c>
      <c r="B105" s="9" t="s">
        <v>428</v>
      </c>
      <c r="C105" s="9" t="s">
        <v>102</v>
      </c>
      <c r="D105" s="9" t="s">
        <v>570</v>
      </c>
      <c r="E105" s="9" t="s">
        <v>571</v>
      </c>
      <c r="F105" s="9"/>
      <c r="G105" s="9"/>
      <c r="H105" s="9"/>
      <c r="I105" s="9"/>
      <c r="J105" s="9" t="s">
        <v>355</v>
      </c>
      <c r="K105" s="9" t="s">
        <v>356</v>
      </c>
      <c r="L105" s="9"/>
      <c r="M105" s="9"/>
      <c r="N105" s="9"/>
      <c r="O105" s="9"/>
      <c r="P105" s="9" t="s">
        <v>572</v>
      </c>
      <c r="Q105" s="9" t="s">
        <v>53</v>
      </c>
      <c r="R105" s="9"/>
      <c r="S105" s="10"/>
      <c r="T105" s="10"/>
      <c r="U105" s="10"/>
      <c r="V105" s="10"/>
      <c r="W105" s="11"/>
      <c r="X105" s="11"/>
      <c r="Y105" s="11"/>
      <c r="Z105" s="11"/>
      <c r="AA105" s="12" t="str">
        <f aca="false">IF(X105="","",IF(X105=0,"Unassigned",IF(X105=1,"Single point",IF(Z105="Yes","Staffed and credentialed","Staffed, credential gap"))))</f>
        <v/>
      </c>
      <c r="AB105" s="12" t="str">
        <f aca="false">IFERROR(INDEX(Lists!$H$3:$H$6,MATCH(AA105,Lists!$G$3:$G$6,0)),"")</f>
        <v/>
      </c>
      <c r="AC105" s="10"/>
      <c r="AD105" s="12" t="str">
        <f aca="false">IFERROR(INDEX(Lists!$B$3:$B$7,MATCH(AC105,Lists!$A$3:$A$7,0)),"")</f>
        <v/>
      </c>
      <c r="AE105" s="10"/>
      <c r="AF105" s="10"/>
      <c r="AG105" s="10"/>
      <c r="AH105" s="10"/>
      <c r="AI105" s="10"/>
      <c r="AJ105" s="10"/>
      <c r="AK105" s="13" t="str">
        <f aca="false">IF(OR(AH105="",AH105=0),"",AJ105/AH105)</f>
        <v/>
      </c>
      <c r="AL105" s="10"/>
      <c r="AM105" s="10"/>
      <c r="AN105" s="12" t="str">
        <f aca="false">IF(AL105="","Not assessed",IF(AND(Q105="No",AL105="Gap - recommend tailoring"),"INVALID: floor item is not tailorable",IF(OR(X105="",X105=0),"NO NAMED EXECUTOR",IF(AND(N(AD105)&gt;=3,AH105=""),"Operating claimed with no sample",IF(AND(N(AD105)&gt;=3,X105=1),"Operating rests on one individual",IF(AND(N(AD105)&gt;=3,Z105&lt;&gt;"Yes"),"Operating claimed below designed credential",IF(AND(Q105="No",N(AD105)&lt;3),"FLOOR GATE: below Operating",IF(AND(N(AD105)&gt;=3,AH105&lt;&gt;"",AJ105=""),"Sample size with no conforming count","OK"))))))))</f>
        <v>Not assessed</v>
      </c>
      <c r="AO105" s="10"/>
      <c r="AP105" s="10"/>
      <c r="AQ105" s="10"/>
    </row>
    <row r="106" customFormat="false" ht="22.35" hidden="false" customHeight="false" outlineLevel="0" collapsed="false">
      <c r="A106" s="9" t="s">
        <v>573</v>
      </c>
      <c r="B106" s="9" t="s">
        <v>574</v>
      </c>
      <c r="C106" s="9" t="s">
        <v>236</v>
      </c>
      <c r="D106" s="9" t="s">
        <v>575</v>
      </c>
      <c r="E106" s="9" t="s">
        <v>576</v>
      </c>
      <c r="F106" s="9"/>
      <c r="G106" s="9"/>
      <c r="H106" s="9"/>
      <c r="I106" s="9"/>
      <c r="J106" s="9" t="s">
        <v>355</v>
      </c>
      <c r="K106" s="9" t="s">
        <v>356</v>
      </c>
      <c r="L106" s="9"/>
      <c r="M106" s="9"/>
      <c r="N106" s="9"/>
      <c r="O106" s="9"/>
      <c r="P106" s="9" t="s">
        <v>577</v>
      </c>
      <c r="Q106" s="9" t="s">
        <v>53</v>
      </c>
      <c r="R106" s="9"/>
      <c r="S106" s="10"/>
      <c r="T106" s="10"/>
      <c r="U106" s="10"/>
      <c r="V106" s="10"/>
      <c r="W106" s="11"/>
      <c r="X106" s="11"/>
      <c r="Y106" s="11"/>
      <c r="Z106" s="11"/>
      <c r="AA106" s="12" t="str">
        <f aca="false">IF(X106="","",IF(X106=0,"Unassigned",IF(X106=1,"Single point",IF(Z106="Yes","Staffed and credentialed","Staffed, credential gap"))))</f>
        <v/>
      </c>
      <c r="AB106" s="12" t="str">
        <f aca="false">IFERROR(INDEX(Lists!$H$3:$H$6,MATCH(AA106,Lists!$G$3:$G$6,0)),"")</f>
        <v/>
      </c>
      <c r="AC106" s="10"/>
      <c r="AD106" s="12" t="str">
        <f aca="false">IFERROR(INDEX(Lists!$B$3:$B$7,MATCH(AC106,Lists!$A$3:$A$7,0)),"")</f>
        <v/>
      </c>
      <c r="AE106" s="10"/>
      <c r="AF106" s="10"/>
      <c r="AG106" s="10"/>
      <c r="AH106" s="10"/>
      <c r="AI106" s="10"/>
      <c r="AJ106" s="10"/>
      <c r="AK106" s="13" t="str">
        <f aca="false">IF(OR(AH106="",AH106=0),"",AJ106/AH106)</f>
        <v/>
      </c>
      <c r="AL106" s="10"/>
      <c r="AM106" s="10"/>
      <c r="AN106" s="12" t="str">
        <f aca="false">IF(AL106="","Not assessed",IF(AND(Q106="No",AL106="Gap - recommend tailoring"),"INVALID: floor item is not tailorable",IF(OR(X106="",X106=0),"NO NAMED EXECUTOR",IF(AND(N(AD106)&gt;=3,AH106=""),"Operating claimed with no sample",IF(AND(N(AD106)&gt;=3,X106=1),"Operating rests on one individual",IF(AND(N(AD106)&gt;=3,Z106&lt;&gt;"Yes"),"Operating claimed below designed credential",IF(AND(Q106="No",N(AD106)&lt;3),"FLOOR GATE: below Operating",IF(AND(N(AD106)&gt;=3,AH106&lt;&gt;"",AJ106=""),"Sample size with no conforming count","OK"))))))))</f>
        <v>Not assessed</v>
      </c>
      <c r="AO106" s="10"/>
      <c r="AP106" s="10"/>
      <c r="AQ106" s="10"/>
    </row>
    <row r="107" customFormat="false" ht="22.35" hidden="false" customHeight="false" outlineLevel="0" collapsed="false">
      <c r="A107" s="9" t="s">
        <v>578</v>
      </c>
      <c r="B107" s="9" t="s">
        <v>574</v>
      </c>
      <c r="C107" s="9" t="s">
        <v>236</v>
      </c>
      <c r="D107" s="9" t="s">
        <v>579</v>
      </c>
      <c r="E107" s="9" t="s">
        <v>580</v>
      </c>
      <c r="F107" s="9"/>
      <c r="G107" s="9"/>
      <c r="H107" s="9"/>
      <c r="I107" s="9"/>
      <c r="J107" s="9" t="s">
        <v>355</v>
      </c>
      <c r="K107" s="9" t="s">
        <v>356</v>
      </c>
      <c r="L107" s="9"/>
      <c r="M107" s="9"/>
      <c r="N107" s="9"/>
      <c r="O107" s="9"/>
      <c r="P107" s="9" t="s">
        <v>581</v>
      </c>
      <c r="Q107" s="9" t="s">
        <v>53</v>
      </c>
      <c r="R107" s="9"/>
      <c r="S107" s="10"/>
      <c r="T107" s="10"/>
      <c r="U107" s="10"/>
      <c r="V107" s="10"/>
      <c r="W107" s="11"/>
      <c r="X107" s="11"/>
      <c r="Y107" s="11"/>
      <c r="Z107" s="11"/>
      <c r="AA107" s="12" t="str">
        <f aca="false">IF(X107="","",IF(X107=0,"Unassigned",IF(X107=1,"Single point",IF(Z107="Yes","Staffed and credentialed","Staffed, credential gap"))))</f>
        <v/>
      </c>
      <c r="AB107" s="12" t="str">
        <f aca="false">IFERROR(INDEX(Lists!$H$3:$H$6,MATCH(AA107,Lists!$G$3:$G$6,0)),"")</f>
        <v/>
      </c>
      <c r="AC107" s="10"/>
      <c r="AD107" s="12" t="str">
        <f aca="false">IFERROR(INDEX(Lists!$B$3:$B$7,MATCH(AC107,Lists!$A$3:$A$7,0)),"")</f>
        <v/>
      </c>
      <c r="AE107" s="10"/>
      <c r="AF107" s="10"/>
      <c r="AG107" s="10"/>
      <c r="AH107" s="10"/>
      <c r="AI107" s="10"/>
      <c r="AJ107" s="10"/>
      <c r="AK107" s="13" t="str">
        <f aca="false">IF(OR(AH107="",AH107=0),"",AJ107/AH107)</f>
        <v/>
      </c>
      <c r="AL107" s="10"/>
      <c r="AM107" s="10"/>
      <c r="AN107" s="12" t="str">
        <f aca="false">IF(AL107="","Not assessed",IF(AND(Q107="No",AL107="Gap - recommend tailoring"),"INVALID: floor item is not tailorable",IF(OR(X107="",X107=0),"NO NAMED EXECUTOR",IF(AND(N(AD107)&gt;=3,AH107=""),"Operating claimed with no sample",IF(AND(N(AD107)&gt;=3,X107=1),"Operating rests on one individual",IF(AND(N(AD107)&gt;=3,Z107&lt;&gt;"Yes"),"Operating claimed below designed credential",IF(AND(Q107="No",N(AD107)&lt;3),"FLOOR GATE: below Operating",IF(AND(N(AD107)&gt;=3,AH107&lt;&gt;"",AJ107=""),"Sample size with no conforming count","OK"))))))))</f>
        <v>Not assessed</v>
      </c>
      <c r="AO107" s="10"/>
      <c r="AP107" s="10"/>
      <c r="AQ107" s="10"/>
    </row>
    <row r="108" customFormat="false" ht="22.35" hidden="false" customHeight="false" outlineLevel="0" collapsed="false">
      <c r="A108" s="9" t="s">
        <v>582</v>
      </c>
      <c r="B108" s="9" t="s">
        <v>574</v>
      </c>
      <c r="C108" s="9" t="s">
        <v>236</v>
      </c>
      <c r="D108" s="9" t="s">
        <v>583</v>
      </c>
      <c r="E108" s="9" t="s">
        <v>584</v>
      </c>
      <c r="F108" s="9"/>
      <c r="G108" s="9"/>
      <c r="H108" s="9"/>
      <c r="I108" s="9"/>
      <c r="J108" s="9" t="s">
        <v>355</v>
      </c>
      <c r="K108" s="9" t="s">
        <v>356</v>
      </c>
      <c r="L108" s="9"/>
      <c r="M108" s="9"/>
      <c r="N108" s="9"/>
      <c r="O108" s="9"/>
      <c r="P108" s="9" t="s">
        <v>585</v>
      </c>
      <c r="Q108" s="9" t="s">
        <v>53</v>
      </c>
      <c r="R108" s="9" t="s">
        <v>185</v>
      </c>
      <c r="S108" s="10"/>
      <c r="T108" s="10"/>
      <c r="U108" s="10"/>
      <c r="V108" s="10"/>
      <c r="W108" s="11"/>
      <c r="X108" s="11"/>
      <c r="Y108" s="11"/>
      <c r="Z108" s="11"/>
      <c r="AA108" s="12" t="str">
        <f aca="false">IF(X108="","",IF(X108=0,"Unassigned",IF(X108=1,"Single point",IF(Z108="Yes","Staffed and credentialed","Staffed, credential gap"))))</f>
        <v/>
      </c>
      <c r="AB108" s="12" t="str">
        <f aca="false">IFERROR(INDEX(Lists!$H$3:$H$6,MATCH(AA108,Lists!$G$3:$G$6,0)),"")</f>
        <v/>
      </c>
      <c r="AC108" s="10"/>
      <c r="AD108" s="12" t="str">
        <f aca="false">IFERROR(INDEX(Lists!$B$3:$B$7,MATCH(AC108,Lists!$A$3:$A$7,0)),"")</f>
        <v/>
      </c>
      <c r="AE108" s="10"/>
      <c r="AF108" s="10"/>
      <c r="AG108" s="10"/>
      <c r="AH108" s="10"/>
      <c r="AI108" s="10"/>
      <c r="AJ108" s="10"/>
      <c r="AK108" s="13" t="str">
        <f aca="false">IF(OR(AH108="",AH108=0),"",AJ108/AH108)</f>
        <v/>
      </c>
      <c r="AL108" s="10"/>
      <c r="AM108" s="10"/>
      <c r="AN108" s="12" t="str">
        <f aca="false">IF(AL108="","Not assessed",IF(AND(Q108="No",AL108="Gap - recommend tailoring"),"INVALID: floor item is not tailorable",IF(OR(X108="",X108=0),"NO NAMED EXECUTOR",IF(AND(N(AD108)&gt;=3,AH108=""),"Operating claimed with no sample",IF(AND(N(AD108)&gt;=3,X108=1),"Operating rests on one individual",IF(AND(N(AD108)&gt;=3,Z108&lt;&gt;"Yes"),"Operating claimed below designed credential",IF(AND(Q108="No",N(AD108)&lt;3),"FLOOR GATE: below Operating",IF(AND(N(AD108)&gt;=3,AH108&lt;&gt;"",AJ108=""),"Sample size with no conforming count","OK"))))))))</f>
        <v>Not assessed</v>
      </c>
      <c r="AO108" s="10"/>
      <c r="AP108" s="10"/>
      <c r="AQ108" s="10"/>
    </row>
    <row r="109" customFormat="false" ht="22.35" hidden="false" customHeight="false" outlineLevel="0" collapsed="false">
      <c r="A109" s="9" t="s">
        <v>586</v>
      </c>
      <c r="B109" s="9" t="s">
        <v>574</v>
      </c>
      <c r="C109" s="9" t="s">
        <v>236</v>
      </c>
      <c r="D109" s="9" t="s">
        <v>587</v>
      </c>
      <c r="E109" s="9" t="s">
        <v>588</v>
      </c>
      <c r="F109" s="9"/>
      <c r="G109" s="9"/>
      <c r="H109" s="9"/>
      <c r="I109" s="9"/>
      <c r="J109" s="9" t="s">
        <v>355</v>
      </c>
      <c r="K109" s="9" t="s">
        <v>356</v>
      </c>
      <c r="L109" s="9"/>
      <c r="M109" s="9"/>
      <c r="N109" s="9"/>
      <c r="O109" s="9"/>
      <c r="P109" s="9" t="s">
        <v>589</v>
      </c>
      <c r="Q109" s="9" t="s">
        <v>53</v>
      </c>
      <c r="R109" s="9" t="s">
        <v>185</v>
      </c>
      <c r="S109" s="10"/>
      <c r="T109" s="10"/>
      <c r="U109" s="10"/>
      <c r="V109" s="10"/>
      <c r="W109" s="11"/>
      <c r="X109" s="11"/>
      <c r="Y109" s="11"/>
      <c r="Z109" s="11"/>
      <c r="AA109" s="12" t="str">
        <f aca="false">IF(X109="","",IF(X109=0,"Unassigned",IF(X109=1,"Single point",IF(Z109="Yes","Staffed and credentialed","Staffed, credential gap"))))</f>
        <v/>
      </c>
      <c r="AB109" s="12" t="str">
        <f aca="false">IFERROR(INDEX(Lists!$H$3:$H$6,MATCH(AA109,Lists!$G$3:$G$6,0)),"")</f>
        <v/>
      </c>
      <c r="AC109" s="10"/>
      <c r="AD109" s="12" t="str">
        <f aca="false">IFERROR(INDEX(Lists!$B$3:$B$7,MATCH(AC109,Lists!$A$3:$A$7,0)),"")</f>
        <v/>
      </c>
      <c r="AE109" s="10"/>
      <c r="AF109" s="10"/>
      <c r="AG109" s="10"/>
      <c r="AH109" s="10"/>
      <c r="AI109" s="10"/>
      <c r="AJ109" s="10"/>
      <c r="AK109" s="13" t="str">
        <f aca="false">IF(OR(AH109="",AH109=0),"",AJ109/AH109)</f>
        <v/>
      </c>
      <c r="AL109" s="10"/>
      <c r="AM109" s="10"/>
      <c r="AN109" s="12" t="str">
        <f aca="false">IF(AL109="","Not assessed",IF(AND(Q109="No",AL109="Gap - recommend tailoring"),"INVALID: floor item is not tailorable",IF(OR(X109="",X109=0),"NO NAMED EXECUTOR",IF(AND(N(AD109)&gt;=3,AH109=""),"Operating claimed with no sample",IF(AND(N(AD109)&gt;=3,X109=1),"Operating rests on one individual",IF(AND(N(AD109)&gt;=3,Z109&lt;&gt;"Yes"),"Operating claimed below designed credential",IF(AND(Q109="No",N(AD109)&lt;3),"FLOOR GATE: below Operating",IF(AND(N(AD109)&gt;=3,AH109&lt;&gt;"",AJ109=""),"Sample size with no conforming count","OK"))))))))</f>
        <v>Not assessed</v>
      </c>
      <c r="AO109" s="10"/>
      <c r="AP109" s="10"/>
      <c r="AQ109" s="10"/>
    </row>
    <row r="110" customFormat="false" ht="32.8" hidden="false" customHeight="false" outlineLevel="0" collapsed="false">
      <c r="A110" s="9" t="s">
        <v>590</v>
      </c>
      <c r="B110" s="9" t="s">
        <v>574</v>
      </c>
      <c r="C110" s="9" t="s">
        <v>236</v>
      </c>
      <c r="D110" s="9" t="s">
        <v>591</v>
      </c>
      <c r="E110" s="9" t="s">
        <v>592</v>
      </c>
      <c r="F110" s="9"/>
      <c r="G110" s="9"/>
      <c r="H110" s="9"/>
      <c r="I110" s="9"/>
      <c r="J110" s="9" t="s">
        <v>355</v>
      </c>
      <c r="K110" s="9" t="s">
        <v>356</v>
      </c>
      <c r="L110" s="9"/>
      <c r="M110" s="9"/>
      <c r="N110" s="9"/>
      <c r="O110" s="9"/>
      <c r="P110" s="9" t="s">
        <v>593</v>
      </c>
      <c r="Q110" s="9" t="s">
        <v>53</v>
      </c>
      <c r="R110" s="9" t="s">
        <v>185</v>
      </c>
      <c r="S110" s="10"/>
      <c r="T110" s="10"/>
      <c r="U110" s="10"/>
      <c r="V110" s="10"/>
      <c r="W110" s="11"/>
      <c r="X110" s="11"/>
      <c r="Y110" s="11"/>
      <c r="Z110" s="11"/>
      <c r="AA110" s="12" t="str">
        <f aca="false">IF(X110="","",IF(X110=0,"Unassigned",IF(X110=1,"Single point",IF(Z110="Yes","Staffed and credentialed","Staffed, credential gap"))))</f>
        <v/>
      </c>
      <c r="AB110" s="12" t="str">
        <f aca="false">IFERROR(INDEX(Lists!$H$3:$H$6,MATCH(AA110,Lists!$G$3:$G$6,0)),"")</f>
        <v/>
      </c>
      <c r="AC110" s="10"/>
      <c r="AD110" s="12" t="str">
        <f aca="false">IFERROR(INDEX(Lists!$B$3:$B$7,MATCH(AC110,Lists!$A$3:$A$7,0)),"")</f>
        <v/>
      </c>
      <c r="AE110" s="10"/>
      <c r="AF110" s="10"/>
      <c r="AG110" s="10"/>
      <c r="AH110" s="10"/>
      <c r="AI110" s="10"/>
      <c r="AJ110" s="10"/>
      <c r="AK110" s="13" t="str">
        <f aca="false">IF(OR(AH110="",AH110=0),"",AJ110/AH110)</f>
        <v/>
      </c>
      <c r="AL110" s="10"/>
      <c r="AM110" s="10"/>
      <c r="AN110" s="12" t="str">
        <f aca="false">IF(AL110="","Not assessed",IF(AND(Q110="No",AL110="Gap - recommend tailoring"),"INVALID: floor item is not tailorable",IF(OR(X110="",X110=0),"NO NAMED EXECUTOR",IF(AND(N(AD110)&gt;=3,AH110=""),"Operating claimed with no sample",IF(AND(N(AD110)&gt;=3,X110=1),"Operating rests on one individual",IF(AND(N(AD110)&gt;=3,Z110&lt;&gt;"Yes"),"Operating claimed below designed credential",IF(AND(Q110="No",N(AD110)&lt;3),"FLOOR GATE: below Operating",IF(AND(N(AD110)&gt;=3,AH110&lt;&gt;"",AJ110=""),"Sample size with no conforming count","OK"))))))))</f>
        <v>Not assessed</v>
      </c>
      <c r="AO110" s="10"/>
      <c r="AP110" s="10"/>
      <c r="AQ110" s="10"/>
    </row>
    <row r="111" customFormat="false" ht="32.8" hidden="false" customHeight="false" outlineLevel="0" collapsed="false">
      <c r="A111" s="9" t="s">
        <v>594</v>
      </c>
      <c r="B111" s="9" t="s">
        <v>574</v>
      </c>
      <c r="C111" s="9" t="s">
        <v>236</v>
      </c>
      <c r="D111" s="9" t="s">
        <v>595</v>
      </c>
      <c r="E111" s="9" t="s">
        <v>596</v>
      </c>
      <c r="F111" s="9"/>
      <c r="G111" s="9"/>
      <c r="H111" s="9"/>
      <c r="I111" s="9"/>
      <c r="J111" s="9" t="s">
        <v>355</v>
      </c>
      <c r="K111" s="9" t="s">
        <v>356</v>
      </c>
      <c r="L111" s="9"/>
      <c r="M111" s="9"/>
      <c r="N111" s="9"/>
      <c r="O111" s="9"/>
      <c r="P111" s="9" t="s">
        <v>597</v>
      </c>
      <c r="Q111" s="9" t="s">
        <v>53</v>
      </c>
      <c r="R111" s="9" t="s">
        <v>185</v>
      </c>
      <c r="S111" s="10"/>
      <c r="T111" s="10"/>
      <c r="U111" s="10"/>
      <c r="V111" s="10"/>
      <c r="W111" s="11"/>
      <c r="X111" s="11"/>
      <c r="Y111" s="11"/>
      <c r="Z111" s="11"/>
      <c r="AA111" s="12" t="str">
        <f aca="false">IF(X111="","",IF(X111=0,"Unassigned",IF(X111=1,"Single point",IF(Z111="Yes","Staffed and credentialed","Staffed, credential gap"))))</f>
        <v/>
      </c>
      <c r="AB111" s="12" t="str">
        <f aca="false">IFERROR(INDEX(Lists!$H$3:$H$6,MATCH(AA111,Lists!$G$3:$G$6,0)),"")</f>
        <v/>
      </c>
      <c r="AC111" s="10"/>
      <c r="AD111" s="12" t="str">
        <f aca="false">IFERROR(INDEX(Lists!$B$3:$B$7,MATCH(AC111,Lists!$A$3:$A$7,0)),"")</f>
        <v/>
      </c>
      <c r="AE111" s="10"/>
      <c r="AF111" s="10"/>
      <c r="AG111" s="10"/>
      <c r="AH111" s="10"/>
      <c r="AI111" s="10"/>
      <c r="AJ111" s="10"/>
      <c r="AK111" s="13" t="str">
        <f aca="false">IF(OR(AH111="",AH111=0),"",AJ111/AH111)</f>
        <v/>
      </c>
      <c r="AL111" s="10"/>
      <c r="AM111" s="10"/>
      <c r="AN111" s="12" t="str">
        <f aca="false">IF(AL111="","Not assessed",IF(AND(Q111="No",AL111="Gap - recommend tailoring"),"INVALID: floor item is not tailorable",IF(OR(X111="",X111=0),"NO NAMED EXECUTOR",IF(AND(N(AD111)&gt;=3,AH111=""),"Operating claimed with no sample",IF(AND(N(AD111)&gt;=3,X111=1),"Operating rests on one individual",IF(AND(N(AD111)&gt;=3,Z111&lt;&gt;"Yes"),"Operating claimed below designed credential",IF(AND(Q111="No",N(AD111)&lt;3),"FLOOR GATE: below Operating",IF(AND(N(AD111)&gt;=3,AH111&lt;&gt;"",AJ111=""),"Sample size with no conforming count","OK"))))))))</f>
        <v>Not assessed</v>
      </c>
      <c r="AO111" s="10"/>
      <c r="AP111" s="10"/>
      <c r="AQ111" s="10"/>
    </row>
    <row r="112" customFormat="false" ht="32.8" hidden="false" customHeight="false" outlineLevel="0" collapsed="false">
      <c r="A112" s="9" t="s">
        <v>598</v>
      </c>
      <c r="B112" s="9" t="s">
        <v>574</v>
      </c>
      <c r="C112" s="9" t="s">
        <v>236</v>
      </c>
      <c r="D112" s="9" t="s">
        <v>599</v>
      </c>
      <c r="E112" s="9" t="s">
        <v>600</v>
      </c>
      <c r="F112" s="9"/>
      <c r="G112" s="9"/>
      <c r="H112" s="9"/>
      <c r="I112" s="9"/>
      <c r="J112" s="9" t="s">
        <v>355</v>
      </c>
      <c r="K112" s="9" t="s">
        <v>356</v>
      </c>
      <c r="L112" s="9"/>
      <c r="M112" s="9"/>
      <c r="N112" s="9"/>
      <c r="O112" s="9"/>
      <c r="P112" s="9" t="s">
        <v>601</v>
      </c>
      <c r="Q112" s="9" t="s">
        <v>53</v>
      </c>
      <c r="R112" s="9" t="s">
        <v>602</v>
      </c>
      <c r="S112" s="10"/>
      <c r="T112" s="10"/>
      <c r="U112" s="10"/>
      <c r="V112" s="10"/>
      <c r="W112" s="11"/>
      <c r="X112" s="11"/>
      <c r="Y112" s="11"/>
      <c r="Z112" s="11"/>
      <c r="AA112" s="12" t="str">
        <f aca="false">IF(X112="","",IF(X112=0,"Unassigned",IF(X112=1,"Single point",IF(Z112="Yes","Staffed and credentialed","Staffed, credential gap"))))</f>
        <v/>
      </c>
      <c r="AB112" s="12" t="str">
        <f aca="false">IFERROR(INDEX(Lists!$H$3:$H$6,MATCH(AA112,Lists!$G$3:$G$6,0)),"")</f>
        <v/>
      </c>
      <c r="AC112" s="10"/>
      <c r="AD112" s="12" t="str">
        <f aca="false">IFERROR(INDEX(Lists!$B$3:$B$7,MATCH(AC112,Lists!$A$3:$A$7,0)),"")</f>
        <v/>
      </c>
      <c r="AE112" s="10"/>
      <c r="AF112" s="10"/>
      <c r="AG112" s="10"/>
      <c r="AH112" s="10"/>
      <c r="AI112" s="10"/>
      <c r="AJ112" s="10"/>
      <c r="AK112" s="13" t="str">
        <f aca="false">IF(OR(AH112="",AH112=0),"",AJ112/AH112)</f>
        <v/>
      </c>
      <c r="AL112" s="10"/>
      <c r="AM112" s="10"/>
      <c r="AN112" s="12" t="str">
        <f aca="false">IF(AL112="","Not assessed",IF(AND(Q112="No",AL112="Gap - recommend tailoring"),"INVALID: floor item is not tailorable",IF(OR(X112="",X112=0),"NO NAMED EXECUTOR",IF(AND(N(AD112)&gt;=3,AH112=""),"Operating claimed with no sample",IF(AND(N(AD112)&gt;=3,X112=1),"Operating rests on one individual",IF(AND(N(AD112)&gt;=3,Z112&lt;&gt;"Yes"),"Operating claimed below designed credential",IF(AND(Q112="No",N(AD112)&lt;3),"FLOOR GATE: below Operating",IF(AND(N(AD112)&gt;=3,AH112&lt;&gt;"",AJ112=""),"Sample size with no conforming count","OK"))))))))</f>
        <v>Not assessed</v>
      </c>
      <c r="AO112" s="10"/>
      <c r="AP112" s="10"/>
      <c r="AQ112" s="10"/>
    </row>
    <row r="113" customFormat="false" ht="22.35" hidden="false" customHeight="false" outlineLevel="0" collapsed="false">
      <c r="A113" s="9" t="s">
        <v>603</v>
      </c>
      <c r="B113" s="9" t="s">
        <v>574</v>
      </c>
      <c r="C113" s="9" t="s">
        <v>236</v>
      </c>
      <c r="D113" s="9" t="s">
        <v>604</v>
      </c>
      <c r="E113" s="9" t="s">
        <v>605</v>
      </c>
      <c r="F113" s="9"/>
      <c r="G113" s="9"/>
      <c r="H113" s="9"/>
      <c r="I113" s="9"/>
      <c r="J113" s="9" t="s">
        <v>355</v>
      </c>
      <c r="K113" s="9" t="s">
        <v>356</v>
      </c>
      <c r="L113" s="9"/>
      <c r="M113" s="9"/>
      <c r="N113" s="9"/>
      <c r="O113" s="9"/>
      <c r="P113" s="9" t="s">
        <v>606</v>
      </c>
      <c r="Q113" s="9" t="s">
        <v>53</v>
      </c>
      <c r="R113" s="9" t="s">
        <v>185</v>
      </c>
      <c r="S113" s="10"/>
      <c r="T113" s="10"/>
      <c r="U113" s="10"/>
      <c r="V113" s="10"/>
      <c r="W113" s="11"/>
      <c r="X113" s="11"/>
      <c r="Y113" s="11"/>
      <c r="Z113" s="11"/>
      <c r="AA113" s="12" t="str">
        <f aca="false">IF(X113="","",IF(X113=0,"Unassigned",IF(X113=1,"Single point",IF(Z113="Yes","Staffed and credentialed","Staffed, credential gap"))))</f>
        <v/>
      </c>
      <c r="AB113" s="12" t="str">
        <f aca="false">IFERROR(INDEX(Lists!$H$3:$H$6,MATCH(AA113,Lists!$G$3:$G$6,0)),"")</f>
        <v/>
      </c>
      <c r="AC113" s="10"/>
      <c r="AD113" s="12" t="str">
        <f aca="false">IFERROR(INDEX(Lists!$B$3:$B$7,MATCH(AC113,Lists!$A$3:$A$7,0)),"")</f>
        <v/>
      </c>
      <c r="AE113" s="10"/>
      <c r="AF113" s="10"/>
      <c r="AG113" s="10"/>
      <c r="AH113" s="10"/>
      <c r="AI113" s="10"/>
      <c r="AJ113" s="10"/>
      <c r="AK113" s="13" t="str">
        <f aca="false">IF(OR(AH113="",AH113=0),"",AJ113/AH113)</f>
        <v/>
      </c>
      <c r="AL113" s="10"/>
      <c r="AM113" s="10"/>
      <c r="AN113" s="12" t="str">
        <f aca="false">IF(AL113="","Not assessed",IF(AND(Q113="No",AL113="Gap - recommend tailoring"),"INVALID: floor item is not tailorable",IF(OR(X113="",X113=0),"NO NAMED EXECUTOR",IF(AND(N(AD113)&gt;=3,AH113=""),"Operating claimed with no sample",IF(AND(N(AD113)&gt;=3,X113=1),"Operating rests on one individual",IF(AND(N(AD113)&gt;=3,Z113&lt;&gt;"Yes"),"Operating claimed below designed credential",IF(AND(Q113="No",N(AD113)&lt;3),"FLOOR GATE: below Operating",IF(AND(N(AD113)&gt;=3,AH113&lt;&gt;"",AJ113=""),"Sample size with no conforming count","OK"))))))))</f>
        <v>Not assessed</v>
      </c>
      <c r="AO113" s="10"/>
      <c r="AP113" s="10"/>
      <c r="AQ113" s="10"/>
    </row>
    <row r="114" customFormat="false" ht="32.8" hidden="false" customHeight="false" outlineLevel="0" collapsed="false">
      <c r="A114" s="9" t="s">
        <v>607</v>
      </c>
      <c r="B114" s="9" t="s">
        <v>574</v>
      </c>
      <c r="C114" s="9" t="s">
        <v>236</v>
      </c>
      <c r="D114" s="9" t="s">
        <v>608</v>
      </c>
      <c r="E114" s="9" t="s">
        <v>609</v>
      </c>
      <c r="F114" s="9"/>
      <c r="G114" s="9"/>
      <c r="H114" s="9"/>
      <c r="I114" s="9"/>
      <c r="J114" s="9" t="s">
        <v>355</v>
      </c>
      <c r="K114" s="9" t="s">
        <v>356</v>
      </c>
      <c r="L114" s="9"/>
      <c r="M114" s="9"/>
      <c r="N114" s="9"/>
      <c r="O114" s="9"/>
      <c r="P114" s="9" t="s">
        <v>610</v>
      </c>
      <c r="Q114" s="9" t="s">
        <v>53</v>
      </c>
      <c r="R114" s="9" t="s">
        <v>185</v>
      </c>
      <c r="S114" s="10"/>
      <c r="T114" s="10"/>
      <c r="U114" s="10"/>
      <c r="V114" s="10"/>
      <c r="W114" s="11"/>
      <c r="X114" s="11"/>
      <c r="Y114" s="11"/>
      <c r="Z114" s="11"/>
      <c r="AA114" s="12" t="str">
        <f aca="false">IF(X114="","",IF(X114=0,"Unassigned",IF(X114=1,"Single point",IF(Z114="Yes","Staffed and credentialed","Staffed, credential gap"))))</f>
        <v/>
      </c>
      <c r="AB114" s="12" t="str">
        <f aca="false">IFERROR(INDEX(Lists!$H$3:$H$6,MATCH(AA114,Lists!$G$3:$G$6,0)),"")</f>
        <v/>
      </c>
      <c r="AC114" s="10"/>
      <c r="AD114" s="12" t="str">
        <f aca="false">IFERROR(INDEX(Lists!$B$3:$B$7,MATCH(AC114,Lists!$A$3:$A$7,0)),"")</f>
        <v/>
      </c>
      <c r="AE114" s="10"/>
      <c r="AF114" s="10"/>
      <c r="AG114" s="10"/>
      <c r="AH114" s="10"/>
      <c r="AI114" s="10"/>
      <c r="AJ114" s="10"/>
      <c r="AK114" s="13" t="str">
        <f aca="false">IF(OR(AH114="",AH114=0),"",AJ114/AH114)</f>
        <v/>
      </c>
      <c r="AL114" s="10"/>
      <c r="AM114" s="10"/>
      <c r="AN114" s="12" t="str">
        <f aca="false">IF(AL114="","Not assessed",IF(AND(Q114="No",AL114="Gap - recommend tailoring"),"INVALID: floor item is not tailorable",IF(OR(X114="",X114=0),"NO NAMED EXECUTOR",IF(AND(N(AD114)&gt;=3,AH114=""),"Operating claimed with no sample",IF(AND(N(AD114)&gt;=3,X114=1),"Operating rests on one individual",IF(AND(N(AD114)&gt;=3,Z114&lt;&gt;"Yes"),"Operating claimed below designed credential",IF(AND(Q114="No",N(AD114)&lt;3),"FLOOR GATE: below Operating",IF(AND(N(AD114)&gt;=3,AH114&lt;&gt;"",AJ114=""),"Sample size with no conforming count","OK"))))))))</f>
        <v>Not assessed</v>
      </c>
      <c r="AO114" s="10"/>
      <c r="AP114" s="10"/>
      <c r="AQ114" s="10"/>
    </row>
    <row r="115" customFormat="false" ht="32.8" hidden="false" customHeight="false" outlineLevel="0" collapsed="false">
      <c r="A115" s="9" t="s">
        <v>611</v>
      </c>
      <c r="B115" s="9" t="s">
        <v>574</v>
      </c>
      <c r="C115" s="9" t="s">
        <v>236</v>
      </c>
      <c r="D115" s="9" t="s">
        <v>612</v>
      </c>
      <c r="E115" s="9" t="s">
        <v>613</v>
      </c>
      <c r="F115" s="9"/>
      <c r="G115" s="9"/>
      <c r="H115" s="9"/>
      <c r="I115" s="9"/>
      <c r="J115" s="9" t="s">
        <v>355</v>
      </c>
      <c r="K115" s="9" t="s">
        <v>356</v>
      </c>
      <c r="L115" s="9"/>
      <c r="M115" s="9"/>
      <c r="N115" s="9"/>
      <c r="O115" s="9"/>
      <c r="P115" s="9" t="s">
        <v>614</v>
      </c>
      <c r="Q115" s="9" t="s">
        <v>53</v>
      </c>
      <c r="R115" s="9" t="s">
        <v>185</v>
      </c>
      <c r="S115" s="10"/>
      <c r="T115" s="10"/>
      <c r="U115" s="10"/>
      <c r="V115" s="10"/>
      <c r="W115" s="11"/>
      <c r="X115" s="11"/>
      <c r="Y115" s="11"/>
      <c r="Z115" s="11"/>
      <c r="AA115" s="12" t="str">
        <f aca="false">IF(X115="","",IF(X115=0,"Unassigned",IF(X115=1,"Single point",IF(Z115="Yes","Staffed and credentialed","Staffed, credential gap"))))</f>
        <v/>
      </c>
      <c r="AB115" s="12" t="str">
        <f aca="false">IFERROR(INDEX(Lists!$H$3:$H$6,MATCH(AA115,Lists!$G$3:$G$6,0)),"")</f>
        <v/>
      </c>
      <c r="AC115" s="10"/>
      <c r="AD115" s="12" t="str">
        <f aca="false">IFERROR(INDEX(Lists!$B$3:$B$7,MATCH(AC115,Lists!$A$3:$A$7,0)),"")</f>
        <v/>
      </c>
      <c r="AE115" s="10"/>
      <c r="AF115" s="10"/>
      <c r="AG115" s="10"/>
      <c r="AH115" s="10"/>
      <c r="AI115" s="10"/>
      <c r="AJ115" s="10"/>
      <c r="AK115" s="13" t="str">
        <f aca="false">IF(OR(AH115="",AH115=0),"",AJ115/AH115)</f>
        <v/>
      </c>
      <c r="AL115" s="10"/>
      <c r="AM115" s="10"/>
      <c r="AN115" s="12" t="str">
        <f aca="false">IF(AL115="","Not assessed",IF(AND(Q115="No",AL115="Gap - recommend tailoring"),"INVALID: floor item is not tailorable",IF(OR(X115="",X115=0),"NO NAMED EXECUTOR",IF(AND(N(AD115)&gt;=3,AH115=""),"Operating claimed with no sample",IF(AND(N(AD115)&gt;=3,X115=1),"Operating rests on one individual",IF(AND(N(AD115)&gt;=3,Z115&lt;&gt;"Yes"),"Operating claimed below designed credential",IF(AND(Q115="No",N(AD115)&lt;3),"FLOOR GATE: below Operating",IF(AND(N(AD115)&gt;=3,AH115&lt;&gt;"",AJ115=""),"Sample size with no conforming count","OK"))))))))</f>
        <v>Not assessed</v>
      </c>
      <c r="AO115" s="10"/>
      <c r="AP115" s="10"/>
      <c r="AQ115" s="10"/>
    </row>
    <row r="116" customFormat="false" ht="32.8" hidden="false" customHeight="false" outlineLevel="0" collapsed="false">
      <c r="A116" s="9" t="s">
        <v>615</v>
      </c>
      <c r="B116" s="9" t="s">
        <v>574</v>
      </c>
      <c r="C116" s="9" t="s">
        <v>236</v>
      </c>
      <c r="D116" s="9" t="s">
        <v>616</v>
      </c>
      <c r="E116" s="9" t="s">
        <v>617</v>
      </c>
      <c r="F116" s="9"/>
      <c r="G116" s="9"/>
      <c r="H116" s="9"/>
      <c r="I116" s="9"/>
      <c r="J116" s="9" t="s">
        <v>355</v>
      </c>
      <c r="K116" s="9" t="s">
        <v>356</v>
      </c>
      <c r="L116" s="9"/>
      <c r="M116" s="9"/>
      <c r="N116" s="9"/>
      <c r="O116" s="9"/>
      <c r="P116" s="9" t="s">
        <v>618</v>
      </c>
      <c r="Q116" s="9" t="s">
        <v>53</v>
      </c>
      <c r="R116" s="9"/>
      <c r="S116" s="10"/>
      <c r="T116" s="10"/>
      <c r="U116" s="10"/>
      <c r="V116" s="10"/>
      <c r="W116" s="11"/>
      <c r="X116" s="11"/>
      <c r="Y116" s="11"/>
      <c r="Z116" s="11"/>
      <c r="AA116" s="12" t="str">
        <f aca="false">IF(X116="","",IF(X116=0,"Unassigned",IF(X116=1,"Single point",IF(Z116="Yes","Staffed and credentialed","Staffed, credential gap"))))</f>
        <v/>
      </c>
      <c r="AB116" s="12" t="str">
        <f aca="false">IFERROR(INDEX(Lists!$H$3:$H$6,MATCH(AA116,Lists!$G$3:$G$6,0)),"")</f>
        <v/>
      </c>
      <c r="AC116" s="10"/>
      <c r="AD116" s="12" t="str">
        <f aca="false">IFERROR(INDEX(Lists!$B$3:$B$7,MATCH(AC116,Lists!$A$3:$A$7,0)),"")</f>
        <v/>
      </c>
      <c r="AE116" s="10"/>
      <c r="AF116" s="10"/>
      <c r="AG116" s="10"/>
      <c r="AH116" s="10"/>
      <c r="AI116" s="10"/>
      <c r="AJ116" s="10"/>
      <c r="AK116" s="13" t="str">
        <f aca="false">IF(OR(AH116="",AH116=0),"",AJ116/AH116)</f>
        <v/>
      </c>
      <c r="AL116" s="10"/>
      <c r="AM116" s="10"/>
      <c r="AN116" s="12" t="str">
        <f aca="false">IF(AL116="","Not assessed",IF(AND(Q116="No",AL116="Gap - recommend tailoring"),"INVALID: floor item is not tailorable",IF(OR(X116="",X116=0),"NO NAMED EXECUTOR",IF(AND(N(AD116)&gt;=3,AH116=""),"Operating claimed with no sample",IF(AND(N(AD116)&gt;=3,X116=1),"Operating rests on one individual",IF(AND(N(AD116)&gt;=3,Z116&lt;&gt;"Yes"),"Operating claimed below designed credential",IF(AND(Q116="No",N(AD116)&lt;3),"FLOOR GATE: below Operating",IF(AND(N(AD116)&gt;=3,AH116&lt;&gt;"",AJ116=""),"Sample size with no conforming count","OK"))))))))</f>
        <v>Not assessed</v>
      </c>
      <c r="AO116" s="10"/>
      <c r="AP116" s="10"/>
      <c r="AQ116" s="10"/>
    </row>
    <row r="117" customFormat="false" ht="32.8" hidden="false" customHeight="false" outlineLevel="0" collapsed="false">
      <c r="A117" s="9" t="s">
        <v>619</v>
      </c>
      <c r="B117" s="9" t="s">
        <v>620</v>
      </c>
      <c r="C117" s="9" t="s">
        <v>119</v>
      </c>
      <c r="D117" s="9" t="s">
        <v>621</v>
      </c>
      <c r="E117" s="9" t="s">
        <v>622</v>
      </c>
      <c r="F117" s="9"/>
      <c r="G117" s="9"/>
      <c r="H117" s="9"/>
      <c r="I117" s="9"/>
      <c r="J117" s="9" t="s">
        <v>355</v>
      </c>
      <c r="K117" s="9" t="s">
        <v>356</v>
      </c>
      <c r="L117" s="9"/>
      <c r="M117" s="9"/>
      <c r="N117" s="9"/>
      <c r="O117" s="9"/>
      <c r="P117" s="9" t="s">
        <v>623</v>
      </c>
      <c r="Q117" s="9" t="s">
        <v>53</v>
      </c>
      <c r="R117" s="9" t="s">
        <v>166</v>
      </c>
      <c r="S117" s="10"/>
      <c r="T117" s="10"/>
      <c r="U117" s="10"/>
      <c r="V117" s="10"/>
      <c r="W117" s="11"/>
      <c r="X117" s="11"/>
      <c r="Y117" s="11"/>
      <c r="Z117" s="11"/>
      <c r="AA117" s="12" t="str">
        <f aca="false">IF(X117="","",IF(X117=0,"Unassigned",IF(X117=1,"Single point",IF(Z117="Yes","Staffed and credentialed","Staffed, credential gap"))))</f>
        <v/>
      </c>
      <c r="AB117" s="12" t="str">
        <f aca="false">IFERROR(INDEX(Lists!$H$3:$H$6,MATCH(AA117,Lists!$G$3:$G$6,0)),"")</f>
        <v/>
      </c>
      <c r="AC117" s="10"/>
      <c r="AD117" s="12" t="str">
        <f aca="false">IFERROR(INDEX(Lists!$B$3:$B$7,MATCH(AC117,Lists!$A$3:$A$7,0)),"")</f>
        <v/>
      </c>
      <c r="AE117" s="10"/>
      <c r="AF117" s="10"/>
      <c r="AG117" s="10"/>
      <c r="AH117" s="10"/>
      <c r="AI117" s="10"/>
      <c r="AJ117" s="10"/>
      <c r="AK117" s="13" t="str">
        <f aca="false">IF(OR(AH117="",AH117=0),"",AJ117/AH117)</f>
        <v/>
      </c>
      <c r="AL117" s="10"/>
      <c r="AM117" s="10"/>
      <c r="AN117" s="12" t="str">
        <f aca="false">IF(AL117="","Not assessed",IF(AND(Q117="No",AL117="Gap - recommend tailoring"),"INVALID: floor item is not tailorable",IF(OR(X117="",X117=0),"NO NAMED EXECUTOR",IF(AND(N(AD117)&gt;=3,AH117=""),"Operating claimed with no sample",IF(AND(N(AD117)&gt;=3,X117=1),"Operating rests on one individual",IF(AND(N(AD117)&gt;=3,Z117&lt;&gt;"Yes"),"Operating claimed below designed credential",IF(AND(Q117="No",N(AD117)&lt;3),"FLOOR GATE: below Operating",IF(AND(N(AD117)&gt;=3,AH117&lt;&gt;"",AJ117=""),"Sample size with no conforming count","OK"))))))))</f>
        <v>Not assessed</v>
      </c>
      <c r="AO117" s="10"/>
      <c r="AP117" s="10"/>
      <c r="AQ117" s="10"/>
    </row>
    <row r="118" customFormat="false" ht="32.8" hidden="false" customHeight="false" outlineLevel="0" collapsed="false">
      <c r="A118" s="9" t="s">
        <v>624</v>
      </c>
      <c r="B118" s="9" t="s">
        <v>620</v>
      </c>
      <c r="C118" s="9" t="s">
        <v>119</v>
      </c>
      <c r="D118" s="9" t="s">
        <v>625</v>
      </c>
      <c r="E118" s="9" t="s">
        <v>626</v>
      </c>
      <c r="F118" s="9"/>
      <c r="G118" s="9"/>
      <c r="H118" s="9"/>
      <c r="I118" s="9"/>
      <c r="J118" s="9" t="s">
        <v>355</v>
      </c>
      <c r="K118" s="9" t="s">
        <v>356</v>
      </c>
      <c r="L118" s="9"/>
      <c r="M118" s="9"/>
      <c r="N118" s="9"/>
      <c r="O118" s="9"/>
      <c r="P118" s="9" t="s">
        <v>627</v>
      </c>
      <c r="Q118" s="9" t="s">
        <v>53</v>
      </c>
      <c r="R118" s="9" t="s">
        <v>166</v>
      </c>
      <c r="S118" s="10"/>
      <c r="T118" s="10"/>
      <c r="U118" s="10"/>
      <c r="V118" s="10"/>
      <c r="W118" s="11"/>
      <c r="X118" s="11"/>
      <c r="Y118" s="11"/>
      <c r="Z118" s="11"/>
      <c r="AA118" s="12" t="str">
        <f aca="false">IF(X118="","",IF(X118=0,"Unassigned",IF(X118=1,"Single point",IF(Z118="Yes","Staffed and credentialed","Staffed, credential gap"))))</f>
        <v/>
      </c>
      <c r="AB118" s="12" t="str">
        <f aca="false">IFERROR(INDEX(Lists!$H$3:$H$6,MATCH(AA118,Lists!$G$3:$G$6,0)),"")</f>
        <v/>
      </c>
      <c r="AC118" s="10"/>
      <c r="AD118" s="12" t="str">
        <f aca="false">IFERROR(INDEX(Lists!$B$3:$B$7,MATCH(AC118,Lists!$A$3:$A$7,0)),"")</f>
        <v/>
      </c>
      <c r="AE118" s="10"/>
      <c r="AF118" s="10"/>
      <c r="AG118" s="10"/>
      <c r="AH118" s="10"/>
      <c r="AI118" s="10"/>
      <c r="AJ118" s="10"/>
      <c r="AK118" s="13" t="str">
        <f aca="false">IF(OR(AH118="",AH118=0),"",AJ118/AH118)</f>
        <v/>
      </c>
      <c r="AL118" s="10"/>
      <c r="AM118" s="10"/>
      <c r="AN118" s="12" t="str">
        <f aca="false">IF(AL118="","Not assessed",IF(AND(Q118="No",AL118="Gap - recommend tailoring"),"INVALID: floor item is not tailorable",IF(OR(X118="",X118=0),"NO NAMED EXECUTOR",IF(AND(N(AD118)&gt;=3,AH118=""),"Operating claimed with no sample",IF(AND(N(AD118)&gt;=3,X118=1),"Operating rests on one individual",IF(AND(N(AD118)&gt;=3,Z118&lt;&gt;"Yes"),"Operating claimed below designed credential",IF(AND(Q118="No",N(AD118)&lt;3),"FLOOR GATE: below Operating",IF(AND(N(AD118)&gt;=3,AH118&lt;&gt;"",AJ118=""),"Sample size with no conforming count","OK"))))))))</f>
        <v>Not assessed</v>
      </c>
      <c r="AO118" s="10"/>
      <c r="AP118" s="10"/>
      <c r="AQ118" s="10"/>
    </row>
    <row r="119" customFormat="false" ht="32.8" hidden="false" customHeight="false" outlineLevel="0" collapsed="false">
      <c r="A119" s="9" t="s">
        <v>628</v>
      </c>
      <c r="B119" s="9" t="s">
        <v>620</v>
      </c>
      <c r="C119" s="9" t="s">
        <v>119</v>
      </c>
      <c r="D119" s="9" t="s">
        <v>629</v>
      </c>
      <c r="E119" s="9" t="s">
        <v>630</v>
      </c>
      <c r="F119" s="9"/>
      <c r="G119" s="9"/>
      <c r="H119" s="9"/>
      <c r="I119" s="9"/>
      <c r="J119" s="9" t="s">
        <v>355</v>
      </c>
      <c r="K119" s="9" t="s">
        <v>356</v>
      </c>
      <c r="L119" s="9"/>
      <c r="M119" s="9"/>
      <c r="N119" s="9"/>
      <c r="O119" s="9"/>
      <c r="P119" s="9" t="s">
        <v>631</v>
      </c>
      <c r="Q119" s="9" t="s">
        <v>53</v>
      </c>
      <c r="R119" s="9" t="s">
        <v>166</v>
      </c>
      <c r="S119" s="10"/>
      <c r="T119" s="10"/>
      <c r="U119" s="10"/>
      <c r="V119" s="10"/>
      <c r="W119" s="11"/>
      <c r="X119" s="11"/>
      <c r="Y119" s="11"/>
      <c r="Z119" s="11"/>
      <c r="AA119" s="12" t="str">
        <f aca="false">IF(X119="","",IF(X119=0,"Unassigned",IF(X119=1,"Single point",IF(Z119="Yes","Staffed and credentialed","Staffed, credential gap"))))</f>
        <v/>
      </c>
      <c r="AB119" s="12" t="str">
        <f aca="false">IFERROR(INDEX(Lists!$H$3:$H$6,MATCH(AA119,Lists!$G$3:$G$6,0)),"")</f>
        <v/>
      </c>
      <c r="AC119" s="10"/>
      <c r="AD119" s="12" t="str">
        <f aca="false">IFERROR(INDEX(Lists!$B$3:$B$7,MATCH(AC119,Lists!$A$3:$A$7,0)),"")</f>
        <v/>
      </c>
      <c r="AE119" s="10"/>
      <c r="AF119" s="10"/>
      <c r="AG119" s="10"/>
      <c r="AH119" s="10"/>
      <c r="AI119" s="10"/>
      <c r="AJ119" s="10"/>
      <c r="AK119" s="13" t="str">
        <f aca="false">IF(OR(AH119="",AH119=0),"",AJ119/AH119)</f>
        <v/>
      </c>
      <c r="AL119" s="10"/>
      <c r="AM119" s="10"/>
      <c r="AN119" s="12" t="str">
        <f aca="false">IF(AL119="","Not assessed",IF(AND(Q119="No",AL119="Gap - recommend tailoring"),"INVALID: floor item is not tailorable",IF(OR(X119="",X119=0),"NO NAMED EXECUTOR",IF(AND(N(AD119)&gt;=3,AH119=""),"Operating claimed with no sample",IF(AND(N(AD119)&gt;=3,X119=1),"Operating rests on one individual",IF(AND(N(AD119)&gt;=3,Z119&lt;&gt;"Yes"),"Operating claimed below designed credential",IF(AND(Q119="No",N(AD119)&lt;3),"FLOOR GATE: below Operating",IF(AND(N(AD119)&gt;=3,AH119&lt;&gt;"",AJ119=""),"Sample size with no conforming count","OK"))))))))</f>
        <v>Not assessed</v>
      </c>
      <c r="AO119" s="10"/>
      <c r="AP119" s="10"/>
      <c r="AQ119" s="10"/>
    </row>
    <row r="120" customFormat="false" ht="32.8" hidden="false" customHeight="false" outlineLevel="0" collapsed="false">
      <c r="A120" s="9" t="s">
        <v>632</v>
      </c>
      <c r="B120" s="9" t="s">
        <v>620</v>
      </c>
      <c r="C120" s="9" t="s">
        <v>119</v>
      </c>
      <c r="D120" s="9" t="s">
        <v>633</v>
      </c>
      <c r="E120" s="9" t="s">
        <v>634</v>
      </c>
      <c r="F120" s="9"/>
      <c r="G120" s="9"/>
      <c r="H120" s="9"/>
      <c r="I120" s="9"/>
      <c r="J120" s="9" t="s">
        <v>355</v>
      </c>
      <c r="K120" s="9" t="s">
        <v>356</v>
      </c>
      <c r="L120" s="9"/>
      <c r="M120" s="9"/>
      <c r="N120" s="9"/>
      <c r="O120" s="9"/>
      <c r="P120" s="9" t="s">
        <v>635</v>
      </c>
      <c r="Q120" s="9" t="s">
        <v>53</v>
      </c>
      <c r="R120" s="9" t="s">
        <v>166</v>
      </c>
      <c r="S120" s="10"/>
      <c r="T120" s="10"/>
      <c r="U120" s="10"/>
      <c r="V120" s="10"/>
      <c r="W120" s="11"/>
      <c r="X120" s="11"/>
      <c r="Y120" s="11"/>
      <c r="Z120" s="11"/>
      <c r="AA120" s="12" t="str">
        <f aca="false">IF(X120="","",IF(X120=0,"Unassigned",IF(X120=1,"Single point",IF(Z120="Yes","Staffed and credentialed","Staffed, credential gap"))))</f>
        <v/>
      </c>
      <c r="AB120" s="12" t="str">
        <f aca="false">IFERROR(INDEX(Lists!$H$3:$H$6,MATCH(AA120,Lists!$G$3:$G$6,0)),"")</f>
        <v/>
      </c>
      <c r="AC120" s="10"/>
      <c r="AD120" s="12" t="str">
        <f aca="false">IFERROR(INDEX(Lists!$B$3:$B$7,MATCH(AC120,Lists!$A$3:$A$7,0)),"")</f>
        <v/>
      </c>
      <c r="AE120" s="10"/>
      <c r="AF120" s="10"/>
      <c r="AG120" s="10"/>
      <c r="AH120" s="10"/>
      <c r="AI120" s="10"/>
      <c r="AJ120" s="10"/>
      <c r="AK120" s="13" t="str">
        <f aca="false">IF(OR(AH120="",AH120=0),"",AJ120/AH120)</f>
        <v/>
      </c>
      <c r="AL120" s="10"/>
      <c r="AM120" s="10"/>
      <c r="AN120" s="12" t="str">
        <f aca="false">IF(AL120="","Not assessed",IF(AND(Q120="No",AL120="Gap - recommend tailoring"),"INVALID: floor item is not tailorable",IF(OR(X120="",X120=0),"NO NAMED EXECUTOR",IF(AND(N(AD120)&gt;=3,AH120=""),"Operating claimed with no sample",IF(AND(N(AD120)&gt;=3,X120=1),"Operating rests on one individual",IF(AND(N(AD120)&gt;=3,Z120&lt;&gt;"Yes"),"Operating claimed below designed credential",IF(AND(Q120="No",N(AD120)&lt;3),"FLOOR GATE: below Operating",IF(AND(N(AD120)&gt;=3,AH120&lt;&gt;"",AJ120=""),"Sample size with no conforming count","OK"))))))))</f>
        <v>Not assessed</v>
      </c>
      <c r="AO120" s="10"/>
      <c r="AP120" s="10"/>
      <c r="AQ120" s="10"/>
    </row>
    <row r="121" customFormat="false" ht="32.8" hidden="false" customHeight="false" outlineLevel="0" collapsed="false">
      <c r="A121" s="9" t="s">
        <v>636</v>
      </c>
      <c r="B121" s="9" t="s">
        <v>620</v>
      </c>
      <c r="C121" s="9" t="s">
        <v>119</v>
      </c>
      <c r="D121" s="9" t="s">
        <v>637</v>
      </c>
      <c r="E121" s="9" t="s">
        <v>638</v>
      </c>
      <c r="F121" s="9"/>
      <c r="G121" s="9"/>
      <c r="H121" s="9"/>
      <c r="I121" s="9"/>
      <c r="J121" s="9" t="s">
        <v>355</v>
      </c>
      <c r="K121" s="9" t="s">
        <v>356</v>
      </c>
      <c r="L121" s="9"/>
      <c r="M121" s="9"/>
      <c r="N121" s="9"/>
      <c r="O121" s="9"/>
      <c r="P121" s="9" t="s">
        <v>639</v>
      </c>
      <c r="Q121" s="9" t="s">
        <v>53</v>
      </c>
      <c r="R121" s="9" t="s">
        <v>166</v>
      </c>
      <c r="S121" s="10"/>
      <c r="T121" s="10"/>
      <c r="U121" s="10"/>
      <c r="V121" s="10"/>
      <c r="W121" s="11"/>
      <c r="X121" s="11"/>
      <c r="Y121" s="11"/>
      <c r="Z121" s="11"/>
      <c r="AA121" s="12" t="str">
        <f aca="false">IF(X121="","",IF(X121=0,"Unassigned",IF(X121=1,"Single point",IF(Z121="Yes","Staffed and credentialed","Staffed, credential gap"))))</f>
        <v/>
      </c>
      <c r="AB121" s="12" t="str">
        <f aca="false">IFERROR(INDEX(Lists!$H$3:$H$6,MATCH(AA121,Lists!$G$3:$G$6,0)),"")</f>
        <v/>
      </c>
      <c r="AC121" s="10"/>
      <c r="AD121" s="12" t="str">
        <f aca="false">IFERROR(INDEX(Lists!$B$3:$B$7,MATCH(AC121,Lists!$A$3:$A$7,0)),"")</f>
        <v/>
      </c>
      <c r="AE121" s="10"/>
      <c r="AF121" s="10"/>
      <c r="AG121" s="10"/>
      <c r="AH121" s="10"/>
      <c r="AI121" s="10"/>
      <c r="AJ121" s="10"/>
      <c r="AK121" s="13" t="str">
        <f aca="false">IF(OR(AH121="",AH121=0),"",AJ121/AH121)</f>
        <v/>
      </c>
      <c r="AL121" s="10"/>
      <c r="AM121" s="10"/>
      <c r="AN121" s="12" t="str">
        <f aca="false">IF(AL121="","Not assessed",IF(AND(Q121="No",AL121="Gap - recommend tailoring"),"INVALID: floor item is not tailorable",IF(OR(X121="",X121=0),"NO NAMED EXECUTOR",IF(AND(N(AD121)&gt;=3,AH121=""),"Operating claimed with no sample",IF(AND(N(AD121)&gt;=3,X121=1),"Operating rests on one individual",IF(AND(N(AD121)&gt;=3,Z121&lt;&gt;"Yes"),"Operating claimed below designed credential",IF(AND(Q121="No",N(AD121)&lt;3),"FLOOR GATE: below Operating",IF(AND(N(AD121)&gt;=3,AH121&lt;&gt;"",AJ121=""),"Sample size with no conforming count","OK"))))))))</f>
        <v>Not assessed</v>
      </c>
      <c r="AO121" s="10"/>
      <c r="AP121" s="10"/>
      <c r="AQ121" s="10"/>
    </row>
    <row r="122" customFormat="false" ht="32.8" hidden="false" customHeight="false" outlineLevel="0" collapsed="false">
      <c r="A122" s="9" t="s">
        <v>640</v>
      </c>
      <c r="B122" s="9" t="s">
        <v>620</v>
      </c>
      <c r="C122" s="9" t="s">
        <v>119</v>
      </c>
      <c r="D122" s="9" t="s">
        <v>641</v>
      </c>
      <c r="E122" s="9" t="s">
        <v>642</v>
      </c>
      <c r="F122" s="9"/>
      <c r="G122" s="9"/>
      <c r="H122" s="9"/>
      <c r="I122" s="9"/>
      <c r="J122" s="9" t="s">
        <v>355</v>
      </c>
      <c r="K122" s="9" t="s">
        <v>356</v>
      </c>
      <c r="L122" s="9"/>
      <c r="M122" s="9"/>
      <c r="N122" s="9"/>
      <c r="O122" s="9"/>
      <c r="P122" s="9" t="s">
        <v>643</v>
      </c>
      <c r="Q122" s="9" t="s">
        <v>53</v>
      </c>
      <c r="R122" s="9" t="s">
        <v>166</v>
      </c>
      <c r="S122" s="10"/>
      <c r="T122" s="10"/>
      <c r="U122" s="10"/>
      <c r="V122" s="10"/>
      <c r="W122" s="11"/>
      <c r="X122" s="11"/>
      <c r="Y122" s="11"/>
      <c r="Z122" s="11"/>
      <c r="AA122" s="12" t="str">
        <f aca="false">IF(X122="","",IF(X122=0,"Unassigned",IF(X122=1,"Single point",IF(Z122="Yes","Staffed and credentialed","Staffed, credential gap"))))</f>
        <v/>
      </c>
      <c r="AB122" s="12" t="str">
        <f aca="false">IFERROR(INDEX(Lists!$H$3:$H$6,MATCH(AA122,Lists!$G$3:$G$6,0)),"")</f>
        <v/>
      </c>
      <c r="AC122" s="10"/>
      <c r="AD122" s="12" t="str">
        <f aca="false">IFERROR(INDEX(Lists!$B$3:$B$7,MATCH(AC122,Lists!$A$3:$A$7,0)),"")</f>
        <v/>
      </c>
      <c r="AE122" s="10"/>
      <c r="AF122" s="10"/>
      <c r="AG122" s="10"/>
      <c r="AH122" s="10"/>
      <c r="AI122" s="10"/>
      <c r="AJ122" s="10"/>
      <c r="AK122" s="13" t="str">
        <f aca="false">IF(OR(AH122="",AH122=0),"",AJ122/AH122)</f>
        <v/>
      </c>
      <c r="AL122" s="10"/>
      <c r="AM122" s="10"/>
      <c r="AN122" s="12" t="str">
        <f aca="false">IF(AL122="","Not assessed",IF(AND(Q122="No",AL122="Gap - recommend tailoring"),"INVALID: floor item is not tailorable",IF(OR(X122="",X122=0),"NO NAMED EXECUTOR",IF(AND(N(AD122)&gt;=3,AH122=""),"Operating claimed with no sample",IF(AND(N(AD122)&gt;=3,X122=1),"Operating rests on one individual",IF(AND(N(AD122)&gt;=3,Z122&lt;&gt;"Yes"),"Operating claimed below designed credential",IF(AND(Q122="No",N(AD122)&lt;3),"FLOOR GATE: below Operating",IF(AND(N(AD122)&gt;=3,AH122&lt;&gt;"",AJ122=""),"Sample size with no conforming count","OK"))))))))</f>
        <v>Not assessed</v>
      </c>
      <c r="AO122" s="10"/>
      <c r="AP122" s="10"/>
      <c r="AQ122" s="10"/>
    </row>
    <row r="123" customFormat="false" ht="53.7" hidden="false" customHeight="false" outlineLevel="0" collapsed="false">
      <c r="A123" s="9" t="s">
        <v>644</v>
      </c>
      <c r="B123" s="9" t="s">
        <v>620</v>
      </c>
      <c r="C123" s="9" t="s">
        <v>119</v>
      </c>
      <c r="D123" s="9" t="s">
        <v>645</v>
      </c>
      <c r="E123" s="9" t="s">
        <v>646</v>
      </c>
      <c r="F123" s="9"/>
      <c r="G123" s="9"/>
      <c r="H123" s="9"/>
      <c r="I123" s="9"/>
      <c r="J123" s="9" t="s">
        <v>355</v>
      </c>
      <c r="K123" s="9" t="s">
        <v>356</v>
      </c>
      <c r="L123" s="9"/>
      <c r="M123" s="9"/>
      <c r="N123" s="9"/>
      <c r="O123" s="9"/>
      <c r="P123" s="9" t="s">
        <v>647</v>
      </c>
      <c r="Q123" s="9" t="s">
        <v>53</v>
      </c>
      <c r="R123" s="9" t="s">
        <v>648</v>
      </c>
      <c r="S123" s="10"/>
      <c r="T123" s="10"/>
      <c r="U123" s="10"/>
      <c r="V123" s="10"/>
      <c r="W123" s="11"/>
      <c r="X123" s="11"/>
      <c r="Y123" s="11"/>
      <c r="Z123" s="11"/>
      <c r="AA123" s="12" t="str">
        <f aca="false">IF(X123="","",IF(X123=0,"Unassigned",IF(X123=1,"Single point",IF(Z123="Yes","Staffed and credentialed","Staffed, credential gap"))))</f>
        <v/>
      </c>
      <c r="AB123" s="12" t="str">
        <f aca="false">IFERROR(INDEX(Lists!$H$3:$H$6,MATCH(AA123,Lists!$G$3:$G$6,0)),"")</f>
        <v/>
      </c>
      <c r="AC123" s="10"/>
      <c r="AD123" s="12" t="str">
        <f aca="false">IFERROR(INDEX(Lists!$B$3:$B$7,MATCH(AC123,Lists!$A$3:$A$7,0)),"")</f>
        <v/>
      </c>
      <c r="AE123" s="10"/>
      <c r="AF123" s="10"/>
      <c r="AG123" s="10"/>
      <c r="AH123" s="10"/>
      <c r="AI123" s="10"/>
      <c r="AJ123" s="10"/>
      <c r="AK123" s="13" t="str">
        <f aca="false">IF(OR(AH123="",AH123=0),"",AJ123/AH123)</f>
        <v/>
      </c>
      <c r="AL123" s="10"/>
      <c r="AM123" s="10"/>
      <c r="AN123" s="12" t="str">
        <f aca="false">IF(AL123="","Not assessed",IF(AND(Q123="No",AL123="Gap - recommend tailoring"),"INVALID: floor item is not tailorable",IF(OR(X123="",X123=0),"NO NAMED EXECUTOR",IF(AND(N(AD123)&gt;=3,AH123=""),"Operating claimed with no sample",IF(AND(N(AD123)&gt;=3,X123=1),"Operating rests on one individual",IF(AND(N(AD123)&gt;=3,Z123&lt;&gt;"Yes"),"Operating claimed below designed credential",IF(AND(Q123="No",N(AD123)&lt;3),"FLOOR GATE: below Operating",IF(AND(N(AD123)&gt;=3,AH123&lt;&gt;"",AJ123=""),"Sample size with no conforming count","OK"))))))))</f>
        <v>Not assessed</v>
      </c>
      <c r="AO123" s="10"/>
      <c r="AP123" s="10"/>
      <c r="AQ123" s="10"/>
    </row>
    <row r="124" customFormat="false" ht="32.8" hidden="false" customHeight="false" outlineLevel="0" collapsed="false">
      <c r="A124" s="9" t="s">
        <v>649</v>
      </c>
      <c r="B124" s="9" t="s">
        <v>620</v>
      </c>
      <c r="C124" s="9" t="s">
        <v>119</v>
      </c>
      <c r="D124" s="9" t="s">
        <v>650</v>
      </c>
      <c r="E124" s="9" t="s">
        <v>651</v>
      </c>
      <c r="F124" s="9"/>
      <c r="G124" s="9"/>
      <c r="H124" s="9"/>
      <c r="I124" s="9"/>
      <c r="J124" s="9" t="s">
        <v>355</v>
      </c>
      <c r="K124" s="9" t="s">
        <v>356</v>
      </c>
      <c r="L124" s="9"/>
      <c r="M124" s="9"/>
      <c r="N124" s="9"/>
      <c r="O124" s="9"/>
      <c r="P124" s="9" t="s">
        <v>652</v>
      </c>
      <c r="Q124" s="9" t="s">
        <v>53</v>
      </c>
      <c r="R124" s="9" t="s">
        <v>166</v>
      </c>
      <c r="S124" s="10"/>
      <c r="T124" s="10"/>
      <c r="U124" s="10"/>
      <c r="V124" s="10"/>
      <c r="W124" s="11"/>
      <c r="X124" s="11"/>
      <c r="Y124" s="11"/>
      <c r="Z124" s="11"/>
      <c r="AA124" s="12" t="str">
        <f aca="false">IF(X124="","",IF(X124=0,"Unassigned",IF(X124=1,"Single point",IF(Z124="Yes","Staffed and credentialed","Staffed, credential gap"))))</f>
        <v/>
      </c>
      <c r="AB124" s="12" t="str">
        <f aca="false">IFERROR(INDEX(Lists!$H$3:$H$6,MATCH(AA124,Lists!$G$3:$G$6,0)),"")</f>
        <v/>
      </c>
      <c r="AC124" s="10"/>
      <c r="AD124" s="12" t="str">
        <f aca="false">IFERROR(INDEX(Lists!$B$3:$B$7,MATCH(AC124,Lists!$A$3:$A$7,0)),"")</f>
        <v/>
      </c>
      <c r="AE124" s="10"/>
      <c r="AF124" s="10"/>
      <c r="AG124" s="10"/>
      <c r="AH124" s="10"/>
      <c r="AI124" s="10"/>
      <c r="AJ124" s="10"/>
      <c r="AK124" s="13" t="str">
        <f aca="false">IF(OR(AH124="",AH124=0),"",AJ124/AH124)</f>
        <v/>
      </c>
      <c r="AL124" s="10"/>
      <c r="AM124" s="10"/>
      <c r="AN124" s="12" t="str">
        <f aca="false">IF(AL124="","Not assessed",IF(AND(Q124="No",AL124="Gap - recommend tailoring"),"INVALID: floor item is not tailorable",IF(OR(X124="",X124=0),"NO NAMED EXECUTOR",IF(AND(N(AD124)&gt;=3,AH124=""),"Operating claimed with no sample",IF(AND(N(AD124)&gt;=3,X124=1),"Operating rests on one individual",IF(AND(N(AD124)&gt;=3,Z124&lt;&gt;"Yes"),"Operating claimed below designed credential",IF(AND(Q124="No",N(AD124)&lt;3),"FLOOR GATE: below Operating",IF(AND(N(AD124)&gt;=3,AH124&lt;&gt;"",AJ124=""),"Sample size with no conforming count","OK"))))))))</f>
        <v>Not assessed</v>
      </c>
      <c r="AO124" s="10"/>
      <c r="AP124" s="10"/>
      <c r="AQ124" s="10"/>
    </row>
    <row r="125" customFormat="false" ht="32.8" hidden="false" customHeight="false" outlineLevel="0" collapsed="false">
      <c r="A125" s="9" t="s">
        <v>653</v>
      </c>
      <c r="B125" s="9" t="s">
        <v>620</v>
      </c>
      <c r="C125" s="9" t="s">
        <v>119</v>
      </c>
      <c r="D125" s="9" t="s">
        <v>654</v>
      </c>
      <c r="E125" s="9" t="s">
        <v>655</v>
      </c>
      <c r="F125" s="9"/>
      <c r="G125" s="9"/>
      <c r="H125" s="9"/>
      <c r="I125" s="9"/>
      <c r="J125" s="9" t="s">
        <v>355</v>
      </c>
      <c r="K125" s="9" t="s">
        <v>356</v>
      </c>
      <c r="L125" s="9"/>
      <c r="M125" s="9"/>
      <c r="N125" s="9"/>
      <c r="O125" s="9"/>
      <c r="P125" s="9" t="s">
        <v>656</v>
      </c>
      <c r="Q125" s="9" t="s">
        <v>53</v>
      </c>
      <c r="R125" s="9" t="s">
        <v>166</v>
      </c>
      <c r="S125" s="10"/>
      <c r="T125" s="10"/>
      <c r="U125" s="10"/>
      <c r="V125" s="10"/>
      <c r="W125" s="11"/>
      <c r="X125" s="11"/>
      <c r="Y125" s="11"/>
      <c r="Z125" s="11"/>
      <c r="AA125" s="12" t="str">
        <f aca="false">IF(X125="","",IF(X125=0,"Unassigned",IF(X125=1,"Single point",IF(Z125="Yes","Staffed and credentialed","Staffed, credential gap"))))</f>
        <v/>
      </c>
      <c r="AB125" s="12" t="str">
        <f aca="false">IFERROR(INDEX(Lists!$H$3:$H$6,MATCH(AA125,Lists!$G$3:$G$6,0)),"")</f>
        <v/>
      </c>
      <c r="AC125" s="10"/>
      <c r="AD125" s="12" t="str">
        <f aca="false">IFERROR(INDEX(Lists!$B$3:$B$7,MATCH(AC125,Lists!$A$3:$A$7,0)),"")</f>
        <v/>
      </c>
      <c r="AE125" s="10"/>
      <c r="AF125" s="10"/>
      <c r="AG125" s="10"/>
      <c r="AH125" s="10"/>
      <c r="AI125" s="10"/>
      <c r="AJ125" s="10"/>
      <c r="AK125" s="13" t="str">
        <f aca="false">IF(OR(AH125="",AH125=0),"",AJ125/AH125)</f>
        <v/>
      </c>
      <c r="AL125" s="10"/>
      <c r="AM125" s="10"/>
      <c r="AN125" s="12" t="str">
        <f aca="false">IF(AL125="","Not assessed",IF(AND(Q125="No",AL125="Gap - recommend tailoring"),"INVALID: floor item is not tailorable",IF(OR(X125="",X125=0),"NO NAMED EXECUTOR",IF(AND(N(AD125)&gt;=3,AH125=""),"Operating claimed with no sample",IF(AND(N(AD125)&gt;=3,X125=1),"Operating rests on one individual",IF(AND(N(AD125)&gt;=3,Z125&lt;&gt;"Yes"),"Operating claimed below designed credential",IF(AND(Q125="No",N(AD125)&lt;3),"FLOOR GATE: below Operating",IF(AND(N(AD125)&gt;=3,AH125&lt;&gt;"",AJ125=""),"Sample size with no conforming count","OK"))))))))</f>
        <v>Not assessed</v>
      </c>
      <c r="AO125" s="10"/>
      <c r="AP125" s="10"/>
      <c r="AQ125" s="10"/>
    </row>
    <row r="126" customFormat="false" ht="32.8" hidden="false" customHeight="false" outlineLevel="0" collapsed="false">
      <c r="A126" s="9" t="s">
        <v>657</v>
      </c>
      <c r="B126" s="9" t="s">
        <v>620</v>
      </c>
      <c r="C126" s="9" t="s">
        <v>119</v>
      </c>
      <c r="D126" s="9" t="s">
        <v>658</v>
      </c>
      <c r="E126" s="9" t="s">
        <v>659</v>
      </c>
      <c r="F126" s="9"/>
      <c r="G126" s="9"/>
      <c r="H126" s="9"/>
      <c r="I126" s="9"/>
      <c r="J126" s="9" t="s">
        <v>355</v>
      </c>
      <c r="K126" s="9" t="s">
        <v>356</v>
      </c>
      <c r="L126" s="9"/>
      <c r="M126" s="9"/>
      <c r="N126" s="9"/>
      <c r="O126" s="9"/>
      <c r="P126" s="9" t="s">
        <v>656</v>
      </c>
      <c r="Q126" s="9" t="s">
        <v>53</v>
      </c>
      <c r="R126" s="9" t="s">
        <v>166</v>
      </c>
      <c r="S126" s="10"/>
      <c r="T126" s="10"/>
      <c r="U126" s="10"/>
      <c r="V126" s="10"/>
      <c r="W126" s="11"/>
      <c r="X126" s="11"/>
      <c r="Y126" s="11"/>
      <c r="Z126" s="11"/>
      <c r="AA126" s="12" t="str">
        <f aca="false">IF(X126="","",IF(X126=0,"Unassigned",IF(X126=1,"Single point",IF(Z126="Yes","Staffed and credentialed","Staffed, credential gap"))))</f>
        <v/>
      </c>
      <c r="AB126" s="12" t="str">
        <f aca="false">IFERROR(INDEX(Lists!$H$3:$H$6,MATCH(AA126,Lists!$G$3:$G$6,0)),"")</f>
        <v/>
      </c>
      <c r="AC126" s="10"/>
      <c r="AD126" s="12" t="str">
        <f aca="false">IFERROR(INDEX(Lists!$B$3:$B$7,MATCH(AC126,Lists!$A$3:$A$7,0)),"")</f>
        <v/>
      </c>
      <c r="AE126" s="10"/>
      <c r="AF126" s="10"/>
      <c r="AG126" s="10"/>
      <c r="AH126" s="10"/>
      <c r="AI126" s="10"/>
      <c r="AJ126" s="10"/>
      <c r="AK126" s="13" t="str">
        <f aca="false">IF(OR(AH126="",AH126=0),"",AJ126/AH126)</f>
        <v/>
      </c>
      <c r="AL126" s="10"/>
      <c r="AM126" s="10"/>
      <c r="AN126" s="12" t="str">
        <f aca="false">IF(AL126="","Not assessed",IF(AND(Q126="No",AL126="Gap - recommend tailoring"),"INVALID: floor item is not tailorable",IF(OR(X126="",X126=0),"NO NAMED EXECUTOR",IF(AND(N(AD126)&gt;=3,AH126=""),"Operating claimed with no sample",IF(AND(N(AD126)&gt;=3,X126=1),"Operating rests on one individual",IF(AND(N(AD126)&gt;=3,Z126&lt;&gt;"Yes"),"Operating claimed below designed credential",IF(AND(Q126="No",N(AD126)&lt;3),"FLOOR GATE: below Operating",IF(AND(N(AD126)&gt;=3,AH126&lt;&gt;"",AJ126=""),"Sample size with no conforming count","OK"))))))))</f>
        <v>Not assessed</v>
      </c>
      <c r="AO126" s="10"/>
      <c r="AP126" s="10"/>
      <c r="AQ126" s="10"/>
    </row>
    <row r="127" customFormat="false" ht="43.25" hidden="false" customHeight="false" outlineLevel="0" collapsed="false">
      <c r="A127" s="9" t="s">
        <v>660</v>
      </c>
      <c r="B127" s="9" t="s">
        <v>620</v>
      </c>
      <c r="C127" s="9" t="s">
        <v>119</v>
      </c>
      <c r="D127" s="9" t="s">
        <v>661</v>
      </c>
      <c r="E127" s="9" t="s">
        <v>662</v>
      </c>
      <c r="F127" s="9"/>
      <c r="G127" s="9"/>
      <c r="H127" s="9"/>
      <c r="I127" s="9"/>
      <c r="J127" s="9" t="s">
        <v>355</v>
      </c>
      <c r="K127" s="9" t="s">
        <v>356</v>
      </c>
      <c r="L127" s="9"/>
      <c r="M127" s="9"/>
      <c r="N127" s="9"/>
      <c r="O127" s="9"/>
      <c r="P127" s="9" t="s">
        <v>663</v>
      </c>
      <c r="Q127" s="9" t="s">
        <v>53</v>
      </c>
      <c r="R127" s="9" t="s">
        <v>664</v>
      </c>
      <c r="S127" s="10"/>
      <c r="T127" s="10"/>
      <c r="U127" s="10"/>
      <c r="V127" s="10"/>
      <c r="W127" s="11"/>
      <c r="X127" s="11"/>
      <c r="Y127" s="11"/>
      <c r="Z127" s="11"/>
      <c r="AA127" s="12" t="str">
        <f aca="false">IF(X127="","",IF(X127=0,"Unassigned",IF(X127=1,"Single point",IF(Z127="Yes","Staffed and credentialed","Staffed, credential gap"))))</f>
        <v/>
      </c>
      <c r="AB127" s="12" t="str">
        <f aca="false">IFERROR(INDEX(Lists!$H$3:$H$6,MATCH(AA127,Lists!$G$3:$G$6,0)),"")</f>
        <v/>
      </c>
      <c r="AC127" s="10"/>
      <c r="AD127" s="12" t="str">
        <f aca="false">IFERROR(INDEX(Lists!$B$3:$B$7,MATCH(AC127,Lists!$A$3:$A$7,0)),"")</f>
        <v/>
      </c>
      <c r="AE127" s="10"/>
      <c r="AF127" s="10"/>
      <c r="AG127" s="10"/>
      <c r="AH127" s="10"/>
      <c r="AI127" s="10"/>
      <c r="AJ127" s="10"/>
      <c r="AK127" s="13" t="str">
        <f aca="false">IF(OR(AH127="",AH127=0),"",AJ127/AH127)</f>
        <v/>
      </c>
      <c r="AL127" s="10"/>
      <c r="AM127" s="10"/>
      <c r="AN127" s="12" t="str">
        <f aca="false">IF(AL127="","Not assessed",IF(AND(Q127="No",AL127="Gap - recommend tailoring"),"INVALID: floor item is not tailorable",IF(OR(X127="",X127=0),"NO NAMED EXECUTOR",IF(AND(N(AD127)&gt;=3,AH127=""),"Operating claimed with no sample",IF(AND(N(AD127)&gt;=3,X127=1),"Operating rests on one individual",IF(AND(N(AD127)&gt;=3,Z127&lt;&gt;"Yes"),"Operating claimed below designed credential",IF(AND(Q127="No",N(AD127)&lt;3),"FLOOR GATE: below Operating",IF(AND(N(AD127)&gt;=3,AH127&lt;&gt;"",AJ127=""),"Sample size with no conforming count","OK"))))))))</f>
        <v>Not assessed</v>
      </c>
      <c r="AO127" s="10"/>
      <c r="AP127" s="10"/>
      <c r="AQ127" s="10"/>
    </row>
    <row r="128" customFormat="false" ht="32.8" hidden="false" customHeight="false" outlineLevel="0" collapsed="false">
      <c r="A128" s="9" t="s">
        <v>665</v>
      </c>
      <c r="B128" s="9" t="s">
        <v>620</v>
      </c>
      <c r="C128" s="9" t="s">
        <v>119</v>
      </c>
      <c r="D128" s="9" t="s">
        <v>666</v>
      </c>
      <c r="E128" s="9" t="s">
        <v>667</v>
      </c>
      <c r="F128" s="9"/>
      <c r="G128" s="9"/>
      <c r="H128" s="9"/>
      <c r="I128" s="9"/>
      <c r="J128" s="9" t="s">
        <v>355</v>
      </c>
      <c r="K128" s="9" t="s">
        <v>356</v>
      </c>
      <c r="L128" s="9"/>
      <c r="M128" s="9"/>
      <c r="N128" s="9"/>
      <c r="O128" s="9"/>
      <c r="P128" s="9" t="s">
        <v>668</v>
      </c>
      <c r="Q128" s="9" t="s">
        <v>53</v>
      </c>
      <c r="R128" s="9" t="s">
        <v>664</v>
      </c>
      <c r="S128" s="10"/>
      <c r="T128" s="10"/>
      <c r="U128" s="10"/>
      <c r="V128" s="10"/>
      <c r="W128" s="11"/>
      <c r="X128" s="11"/>
      <c r="Y128" s="11"/>
      <c r="Z128" s="11"/>
      <c r="AA128" s="12" t="str">
        <f aca="false">IF(X128="","",IF(X128=0,"Unassigned",IF(X128=1,"Single point",IF(Z128="Yes","Staffed and credentialed","Staffed, credential gap"))))</f>
        <v/>
      </c>
      <c r="AB128" s="12" t="str">
        <f aca="false">IFERROR(INDEX(Lists!$H$3:$H$6,MATCH(AA128,Lists!$G$3:$G$6,0)),"")</f>
        <v/>
      </c>
      <c r="AC128" s="10"/>
      <c r="AD128" s="12" t="str">
        <f aca="false">IFERROR(INDEX(Lists!$B$3:$B$7,MATCH(AC128,Lists!$A$3:$A$7,0)),"")</f>
        <v/>
      </c>
      <c r="AE128" s="10"/>
      <c r="AF128" s="10"/>
      <c r="AG128" s="10"/>
      <c r="AH128" s="10"/>
      <c r="AI128" s="10"/>
      <c r="AJ128" s="10"/>
      <c r="AK128" s="13" t="str">
        <f aca="false">IF(OR(AH128="",AH128=0),"",AJ128/AH128)</f>
        <v/>
      </c>
      <c r="AL128" s="10"/>
      <c r="AM128" s="10"/>
      <c r="AN128" s="12" t="str">
        <f aca="false">IF(AL128="","Not assessed",IF(AND(Q128="No",AL128="Gap - recommend tailoring"),"INVALID: floor item is not tailorable",IF(OR(X128="",X128=0),"NO NAMED EXECUTOR",IF(AND(N(AD128)&gt;=3,AH128=""),"Operating claimed with no sample",IF(AND(N(AD128)&gt;=3,X128=1),"Operating rests on one individual",IF(AND(N(AD128)&gt;=3,Z128&lt;&gt;"Yes"),"Operating claimed below designed credential",IF(AND(Q128="No",N(AD128)&lt;3),"FLOOR GATE: below Operating",IF(AND(N(AD128)&gt;=3,AH128&lt;&gt;"",AJ128=""),"Sample size with no conforming count","OK"))))))))</f>
        <v>Not assessed</v>
      </c>
      <c r="AO128" s="10"/>
      <c r="AP128" s="10"/>
      <c r="AQ128" s="10"/>
    </row>
    <row r="129" customFormat="false" ht="43.25" hidden="false" customHeight="false" outlineLevel="0" collapsed="false">
      <c r="A129" s="9" t="s">
        <v>669</v>
      </c>
      <c r="B129" s="9" t="s">
        <v>620</v>
      </c>
      <c r="C129" s="9" t="s">
        <v>119</v>
      </c>
      <c r="D129" s="9" t="s">
        <v>670</v>
      </c>
      <c r="E129" s="9" t="s">
        <v>671</v>
      </c>
      <c r="F129" s="9"/>
      <c r="G129" s="9"/>
      <c r="H129" s="9"/>
      <c r="I129" s="9"/>
      <c r="J129" s="9" t="s">
        <v>355</v>
      </c>
      <c r="K129" s="9" t="s">
        <v>356</v>
      </c>
      <c r="L129" s="9"/>
      <c r="M129" s="9"/>
      <c r="N129" s="9"/>
      <c r="O129" s="9"/>
      <c r="P129" s="9" t="s">
        <v>668</v>
      </c>
      <c r="Q129" s="9" t="s">
        <v>53</v>
      </c>
      <c r="R129" s="9" t="s">
        <v>664</v>
      </c>
      <c r="S129" s="10"/>
      <c r="T129" s="10"/>
      <c r="U129" s="10"/>
      <c r="V129" s="10"/>
      <c r="W129" s="11"/>
      <c r="X129" s="11"/>
      <c r="Y129" s="11"/>
      <c r="Z129" s="11"/>
      <c r="AA129" s="12" t="str">
        <f aca="false">IF(X129="","",IF(X129=0,"Unassigned",IF(X129=1,"Single point",IF(Z129="Yes","Staffed and credentialed","Staffed, credential gap"))))</f>
        <v/>
      </c>
      <c r="AB129" s="12" t="str">
        <f aca="false">IFERROR(INDEX(Lists!$H$3:$H$6,MATCH(AA129,Lists!$G$3:$G$6,0)),"")</f>
        <v/>
      </c>
      <c r="AC129" s="10"/>
      <c r="AD129" s="12" t="str">
        <f aca="false">IFERROR(INDEX(Lists!$B$3:$B$7,MATCH(AC129,Lists!$A$3:$A$7,0)),"")</f>
        <v/>
      </c>
      <c r="AE129" s="10"/>
      <c r="AF129" s="10"/>
      <c r="AG129" s="10"/>
      <c r="AH129" s="10"/>
      <c r="AI129" s="10"/>
      <c r="AJ129" s="10"/>
      <c r="AK129" s="13" t="str">
        <f aca="false">IF(OR(AH129="",AH129=0),"",AJ129/AH129)</f>
        <v/>
      </c>
      <c r="AL129" s="10"/>
      <c r="AM129" s="10"/>
      <c r="AN129" s="12" t="str">
        <f aca="false">IF(AL129="","Not assessed",IF(AND(Q129="No",AL129="Gap - recommend tailoring"),"INVALID: floor item is not tailorable",IF(OR(X129="",X129=0),"NO NAMED EXECUTOR",IF(AND(N(AD129)&gt;=3,AH129=""),"Operating claimed with no sample",IF(AND(N(AD129)&gt;=3,X129=1),"Operating rests on one individual",IF(AND(N(AD129)&gt;=3,Z129&lt;&gt;"Yes"),"Operating claimed below designed credential",IF(AND(Q129="No",N(AD129)&lt;3),"FLOOR GATE: below Operating",IF(AND(N(AD129)&gt;=3,AH129&lt;&gt;"",AJ129=""),"Sample size with no conforming count","OK"))))))))</f>
        <v>Not assessed</v>
      </c>
      <c r="AO129" s="10"/>
      <c r="AP129" s="10"/>
      <c r="AQ129" s="10"/>
    </row>
    <row r="130" customFormat="false" ht="43.25" hidden="false" customHeight="false" outlineLevel="0" collapsed="false">
      <c r="A130" s="9" t="s">
        <v>672</v>
      </c>
      <c r="B130" s="9" t="s">
        <v>620</v>
      </c>
      <c r="C130" s="9" t="s">
        <v>119</v>
      </c>
      <c r="D130" s="9" t="s">
        <v>673</v>
      </c>
      <c r="E130" s="9" t="s">
        <v>674</v>
      </c>
      <c r="F130" s="9"/>
      <c r="G130" s="9"/>
      <c r="H130" s="9"/>
      <c r="I130" s="9"/>
      <c r="J130" s="9" t="s">
        <v>355</v>
      </c>
      <c r="K130" s="9" t="s">
        <v>356</v>
      </c>
      <c r="L130" s="9"/>
      <c r="M130" s="9"/>
      <c r="N130" s="9"/>
      <c r="O130" s="9"/>
      <c r="P130" s="9" t="s">
        <v>675</v>
      </c>
      <c r="Q130" s="9" t="s">
        <v>53</v>
      </c>
      <c r="R130" s="9" t="s">
        <v>664</v>
      </c>
      <c r="S130" s="10"/>
      <c r="T130" s="10"/>
      <c r="U130" s="10"/>
      <c r="V130" s="10"/>
      <c r="W130" s="11"/>
      <c r="X130" s="11"/>
      <c r="Y130" s="11"/>
      <c r="Z130" s="11"/>
      <c r="AA130" s="12" t="str">
        <f aca="false">IF(X130="","",IF(X130=0,"Unassigned",IF(X130=1,"Single point",IF(Z130="Yes","Staffed and credentialed","Staffed, credential gap"))))</f>
        <v/>
      </c>
      <c r="AB130" s="12" t="str">
        <f aca="false">IFERROR(INDEX(Lists!$H$3:$H$6,MATCH(AA130,Lists!$G$3:$G$6,0)),"")</f>
        <v/>
      </c>
      <c r="AC130" s="10"/>
      <c r="AD130" s="12" t="str">
        <f aca="false">IFERROR(INDEX(Lists!$B$3:$B$7,MATCH(AC130,Lists!$A$3:$A$7,0)),"")</f>
        <v/>
      </c>
      <c r="AE130" s="10"/>
      <c r="AF130" s="10"/>
      <c r="AG130" s="10"/>
      <c r="AH130" s="10"/>
      <c r="AI130" s="10"/>
      <c r="AJ130" s="10"/>
      <c r="AK130" s="13" t="str">
        <f aca="false">IF(OR(AH130="",AH130=0),"",AJ130/AH130)</f>
        <v/>
      </c>
      <c r="AL130" s="10"/>
      <c r="AM130" s="10"/>
      <c r="AN130" s="12" t="str">
        <f aca="false">IF(AL130="","Not assessed",IF(AND(Q130="No",AL130="Gap - recommend tailoring"),"INVALID: floor item is not tailorable",IF(OR(X130="",X130=0),"NO NAMED EXECUTOR",IF(AND(N(AD130)&gt;=3,AH130=""),"Operating claimed with no sample",IF(AND(N(AD130)&gt;=3,X130=1),"Operating rests on one individual",IF(AND(N(AD130)&gt;=3,Z130&lt;&gt;"Yes"),"Operating claimed below designed credential",IF(AND(Q130="No",N(AD130)&lt;3),"FLOOR GATE: below Operating",IF(AND(N(AD130)&gt;=3,AH130&lt;&gt;"",AJ130=""),"Sample size with no conforming count","OK"))))))))</f>
        <v>Not assessed</v>
      </c>
      <c r="AO130" s="10"/>
      <c r="AP130" s="10"/>
      <c r="AQ130" s="10"/>
    </row>
    <row r="131" customFormat="false" ht="64.15" hidden="false" customHeight="false" outlineLevel="0" collapsed="false">
      <c r="A131" s="9" t="s">
        <v>676</v>
      </c>
      <c r="B131" s="9" t="s">
        <v>620</v>
      </c>
      <c r="C131" s="9" t="s">
        <v>119</v>
      </c>
      <c r="D131" s="9" t="s">
        <v>677</v>
      </c>
      <c r="E131" s="9" t="s">
        <v>678</v>
      </c>
      <c r="F131" s="9"/>
      <c r="G131" s="9"/>
      <c r="H131" s="9"/>
      <c r="I131" s="9"/>
      <c r="J131" s="9" t="s">
        <v>355</v>
      </c>
      <c r="K131" s="9" t="s">
        <v>356</v>
      </c>
      <c r="L131" s="9"/>
      <c r="M131" s="9"/>
      <c r="N131" s="9"/>
      <c r="O131" s="9"/>
      <c r="P131" s="9" t="s">
        <v>679</v>
      </c>
      <c r="Q131" s="9" t="s">
        <v>53</v>
      </c>
      <c r="R131" s="9" t="s">
        <v>664</v>
      </c>
      <c r="S131" s="10"/>
      <c r="T131" s="10"/>
      <c r="U131" s="10"/>
      <c r="V131" s="10"/>
      <c r="W131" s="11"/>
      <c r="X131" s="11"/>
      <c r="Y131" s="11"/>
      <c r="Z131" s="11"/>
      <c r="AA131" s="12" t="str">
        <f aca="false">IF(X131="","",IF(X131=0,"Unassigned",IF(X131=1,"Single point",IF(Z131="Yes","Staffed and credentialed","Staffed, credential gap"))))</f>
        <v/>
      </c>
      <c r="AB131" s="12" t="str">
        <f aca="false">IFERROR(INDEX(Lists!$H$3:$H$6,MATCH(AA131,Lists!$G$3:$G$6,0)),"")</f>
        <v/>
      </c>
      <c r="AC131" s="10"/>
      <c r="AD131" s="12" t="str">
        <f aca="false">IFERROR(INDEX(Lists!$B$3:$B$7,MATCH(AC131,Lists!$A$3:$A$7,0)),"")</f>
        <v/>
      </c>
      <c r="AE131" s="10"/>
      <c r="AF131" s="10"/>
      <c r="AG131" s="10"/>
      <c r="AH131" s="10"/>
      <c r="AI131" s="10"/>
      <c r="AJ131" s="10"/>
      <c r="AK131" s="13" t="str">
        <f aca="false">IF(OR(AH131="",AH131=0),"",AJ131/AH131)</f>
        <v/>
      </c>
      <c r="AL131" s="10"/>
      <c r="AM131" s="10"/>
      <c r="AN131" s="12" t="str">
        <f aca="false">IF(AL131="","Not assessed",IF(AND(Q131="No",AL131="Gap - recommend tailoring"),"INVALID: floor item is not tailorable",IF(OR(X131="",X131=0),"NO NAMED EXECUTOR",IF(AND(N(AD131)&gt;=3,AH131=""),"Operating claimed with no sample",IF(AND(N(AD131)&gt;=3,X131=1),"Operating rests on one individual",IF(AND(N(AD131)&gt;=3,Z131&lt;&gt;"Yes"),"Operating claimed below designed credential",IF(AND(Q131="No",N(AD131)&lt;3),"FLOOR GATE: below Operating",IF(AND(N(AD131)&gt;=3,AH131&lt;&gt;"",AJ131=""),"Sample size with no conforming count","OK"))))))))</f>
        <v>Not assessed</v>
      </c>
      <c r="AO131" s="10"/>
      <c r="AP131" s="10"/>
      <c r="AQ131" s="10"/>
    </row>
    <row r="132" customFormat="false" ht="43.25" hidden="false" customHeight="false" outlineLevel="0" collapsed="false">
      <c r="A132" s="9" t="s">
        <v>680</v>
      </c>
      <c r="B132" s="9" t="s">
        <v>620</v>
      </c>
      <c r="C132" s="9" t="s">
        <v>119</v>
      </c>
      <c r="D132" s="9" t="s">
        <v>681</v>
      </c>
      <c r="E132" s="9" t="s">
        <v>682</v>
      </c>
      <c r="F132" s="9"/>
      <c r="G132" s="9"/>
      <c r="H132" s="9"/>
      <c r="I132" s="9"/>
      <c r="J132" s="9" t="s">
        <v>355</v>
      </c>
      <c r="K132" s="9" t="s">
        <v>356</v>
      </c>
      <c r="L132" s="9"/>
      <c r="M132" s="9"/>
      <c r="N132" s="9"/>
      <c r="O132" s="9"/>
      <c r="P132" s="9" t="s">
        <v>683</v>
      </c>
      <c r="Q132" s="9" t="s">
        <v>53</v>
      </c>
      <c r="R132" s="9" t="s">
        <v>664</v>
      </c>
      <c r="S132" s="10"/>
      <c r="T132" s="10"/>
      <c r="U132" s="10"/>
      <c r="V132" s="10"/>
      <c r="W132" s="11"/>
      <c r="X132" s="11"/>
      <c r="Y132" s="11"/>
      <c r="Z132" s="11"/>
      <c r="AA132" s="12" t="str">
        <f aca="false">IF(X132="","",IF(X132=0,"Unassigned",IF(X132=1,"Single point",IF(Z132="Yes","Staffed and credentialed","Staffed, credential gap"))))</f>
        <v/>
      </c>
      <c r="AB132" s="12" t="str">
        <f aca="false">IFERROR(INDEX(Lists!$H$3:$H$6,MATCH(AA132,Lists!$G$3:$G$6,0)),"")</f>
        <v/>
      </c>
      <c r="AC132" s="10"/>
      <c r="AD132" s="12" t="str">
        <f aca="false">IFERROR(INDEX(Lists!$B$3:$B$7,MATCH(AC132,Lists!$A$3:$A$7,0)),"")</f>
        <v/>
      </c>
      <c r="AE132" s="10"/>
      <c r="AF132" s="10"/>
      <c r="AG132" s="10"/>
      <c r="AH132" s="10"/>
      <c r="AI132" s="10"/>
      <c r="AJ132" s="10"/>
      <c r="AK132" s="13" t="str">
        <f aca="false">IF(OR(AH132="",AH132=0),"",AJ132/AH132)</f>
        <v/>
      </c>
      <c r="AL132" s="10"/>
      <c r="AM132" s="10"/>
      <c r="AN132" s="12" t="str">
        <f aca="false">IF(AL132="","Not assessed",IF(AND(Q132="No",AL132="Gap - recommend tailoring"),"INVALID: floor item is not tailorable",IF(OR(X132="",X132=0),"NO NAMED EXECUTOR",IF(AND(N(AD132)&gt;=3,AH132=""),"Operating claimed with no sample",IF(AND(N(AD132)&gt;=3,X132=1),"Operating rests on one individual",IF(AND(N(AD132)&gt;=3,Z132&lt;&gt;"Yes"),"Operating claimed below designed credential",IF(AND(Q132="No",N(AD132)&lt;3),"FLOOR GATE: below Operating",IF(AND(N(AD132)&gt;=3,AH132&lt;&gt;"",AJ132=""),"Sample size with no conforming count","OK"))))))))</f>
        <v>Not assessed</v>
      </c>
      <c r="AO132" s="10"/>
      <c r="AP132" s="10"/>
      <c r="AQ132" s="10"/>
    </row>
    <row r="133" customFormat="false" ht="32.8" hidden="false" customHeight="false" outlineLevel="0" collapsed="false">
      <c r="A133" s="9" t="s">
        <v>684</v>
      </c>
      <c r="B133" s="9" t="s">
        <v>620</v>
      </c>
      <c r="C133" s="9" t="s">
        <v>119</v>
      </c>
      <c r="D133" s="9" t="s">
        <v>685</v>
      </c>
      <c r="E133" s="9" t="s">
        <v>686</v>
      </c>
      <c r="F133" s="9"/>
      <c r="G133" s="9"/>
      <c r="H133" s="9"/>
      <c r="I133" s="9"/>
      <c r="J133" s="9" t="s">
        <v>355</v>
      </c>
      <c r="K133" s="9" t="s">
        <v>356</v>
      </c>
      <c r="L133" s="9"/>
      <c r="M133" s="9"/>
      <c r="N133" s="9"/>
      <c r="O133" s="9"/>
      <c r="P133" s="9" t="s">
        <v>687</v>
      </c>
      <c r="Q133" s="9" t="s">
        <v>53</v>
      </c>
      <c r="R133" s="9"/>
      <c r="S133" s="10"/>
      <c r="T133" s="10"/>
      <c r="U133" s="10"/>
      <c r="V133" s="10"/>
      <c r="W133" s="11"/>
      <c r="X133" s="11"/>
      <c r="Y133" s="11"/>
      <c r="Z133" s="11"/>
      <c r="AA133" s="12" t="str">
        <f aca="false">IF(X133="","",IF(X133=0,"Unassigned",IF(X133=1,"Single point",IF(Z133="Yes","Staffed and credentialed","Staffed, credential gap"))))</f>
        <v/>
      </c>
      <c r="AB133" s="12" t="str">
        <f aca="false">IFERROR(INDEX(Lists!$H$3:$H$6,MATCH(AA133,Lists!$G$3:$G$6,0)),"")</f>
        <v/>
      </c>
      <c r="AC133" s="10"/>
      <c r="AD133" s="12" t="str">
        <f aca="false">IFERROR(INDEX(Lists!$B$3:$B$7,MATCH(AC133,Lists!$A$3:$A$7,0)),"")</f>
        <v/>
      </c>
      <c r="AE133" s="10"/>
      <c r="AF133" s="10"/>
      <c r="AG133" s="10"/>
      <c r="AH133" s="10"/>
      <c r="AI133" s="10"/>
      <c r="AJ133" s="10"/>
      <c r="AK133" s="13" t="str">
        <f aca="false">IF(OR(AH133="",AH133=0),"",AJ133/AH133)</f>
        <v/>
      </c>
      <c r="AL133" s="10"/>
      <c r="AM133" s="10"/>
      <c r="AN133" s="12" t="str">
        <f aca="false">IF(AL133="","Not assessed",IF(AND(Q133="No",AL133="Gap - recommend tailoring"),"INVALID: floor item is not tailorable",IF(OR(X133="",X133=0),"NO NAMED EXECUTOR",IF(AND(N(AD133)&gt;=3,AH133=""),"Operating claimed with no sample",IF(AND(N(AD133)&gt;=3,X133=1),"Operating rests on one individual",IF(AND(N(AD133)&gt;=3,Z133&lt;&gt;"Yes"),"Operating claimed below designed credential",IF(AND(Q133="No",N(AD133)&lt;3),"FLOOR GATE: below Operating",IF(AND(N(AD133)&gt;=3,AH133&lt;&gt;"",AJ133=""),"Sample size with no conforming count","OK"))))))))</f>
        <v>Not assessed</v>
      </c>
      <c r="AO133" s="10"/>
      <c r="AP133" s="10"/>
      <c r="AQ133" s="10"/>
    </row>
    <row r="134" customFormat="false" ht="32.8" hidden="false" customHeight="false" outlineLevel="0" collapsed="false">
      <c r="A134" s="9" t="s">
        <v>688</v>
      </c>
      <c r="B134" s="9" t="s">
        <v>620</v>
      </c>
      <c r="C134" s="9" t="s">
        <v>119</v>
      </c>
      <c r="D134" s="9" t="s">
        <v>689</v>
      </c>
      <c r="E134" s="9" t="s">
        <v>690</v>
      </c>
      <c r="F134" s="9"/>
      <c r="G134" s="9"/>
      <c r="H134" s="9"/>
      <c r="I134" s="9"/>
      <c r="J134" s="9" t="s">
        <v>355</v>
      </c>
      <c r="K134" s="9" t="s">
        <v>356</v>
      </c>
      <c r="L134" s="9"/>
      <c r="M134" s="9"/>
      <c r="N134" s="9"/>
      <c r="O134" s="9"/>
      <c r="P134" s="9" t="s">
        <v>687</v>
      </c>
      <c r="Q134" s="9" t="s">
        <v>53</v>
      </c>
      <c r="R134" s="9"/>
      <c r="S134" s="10"/>
      <c r="T134" s="10"/>
      <c r="U134" s="10"/>
      <c r="V134" s="10"/>
      <c r="W134" s="11"/>
      <c r="X134" s="11"/>
      <c r="Y134" s="11"/>
      <c r="Z134" s="11"/>
      <c r="AA134" s="12" t="str">
        <f aca="false">IF(X134="","",IF(X134=0,"Unassigned",IF(X134=1,"Single point",IF(Z134="Yes","Staffed and credentialed","Staffed, credential gap"))))</f>
        <v/>
      </c>
      <c r="AB134" s="12" t="str">
        <f aca="false">IFERROR(INDEX(Lists!$H$3:$H$6,MATCH(AA134,Lists!$G$3:$G$6,0)),"")</f>
        <v/>
      </c>
      <c r="AC134" s="10"/>
      <c r="AD134" s="12" t="str">
        <f aca="false">IFERROR(INDEX(Lists!$B$3:$B$7,MATCH(AC134,Lists!$A$3:$A$7,0)),"")</f>
        <v/>
      </c>
      <c r="AE134" s="10"/>
      <c r="AF134" s="10"/>
      <c r="AG134" s="10"/>
      <c r="AH134" s="10"/>
      <c r="AI134" s="10"/>
      <c r="AJ134" s="10"/>
      <c r="AK134" s="13" t="str">
        <f aca="false">IF(OR(AH134="",AH134=0),"",AJ134/AH134)</f>
        <v/>
      </c>
      <c r="AL134" s="10"/>
      <c r="AM134" s="10"/>
      <c r="AN134" s="12" t="str">
        <f aca="false">IF(AL134="","Not assessed",IF(AND(Q134="No",AL134="Gap - recommend tailoring"),"INVALID: floor item is not tailorable",IF(OR(X134="",X134=0),"NO NAMED EXECUTOR",IF(AND(N(AD134)&gt;=3,AH134=""),"Operating claimed with no sample",IF(AND(N(AD134)&gt;=3,X134=1),"Operating rests on one individual",IF(AND(N(AD134)&gt;=3,Z134&lt;&gt;"Yes"),"Operating claimed below designed credential",IF(AND(Q134="No",N(AD134)&lt;3),"FLOOR GATE: below Operating",IF(AND(N(AD134)&gt;=3,AH134&lt;&gt;"",AJ134=""),"Sample size with no conforming count","OK"))))))))</f>
        <v>Not assessed</v>
      </c>
      <c r="AO134" s="10"/>
      <c r="AP134" s="10"/>
      <c r="AQ134" s="10"/>
    </row>
    <row r="135" customFormat="false" ht="32.8" hidden="false" customHeight="false" outlineLevel="0" collapsed="false">
      <c r="A135" s="9" t="s">
        <v>691</v>
      </c>
      <c r="B135" s="9" t="s">
        <v>620</v>
      </c>
      <c r="C135" s="9" t="s">
        <v>119</v>
      </c>
      <c r="D135" s="9" t="s">
        <v>692</v>
      </c>
      <c r="E135" s="9" t="s">
        <v>693</v>
      </c>
      <c r="F135" s="9"/>
      <c r="G135" s="9"/>
      <c r="H135" s="9"/>
      <c r="I135" s="9"/>
      <c r="J135" s="9" t="s">
        <v>355</v>
      </c>
      <c r="K135" s="9" t="s">
        <v>356</v>
      </c>
      <c r="L135" s="9"/>
      <c r="M135" s="9"/>
      <c r="N135" s="9"/>
      <c r="O135" s="9"/>
      <c r="P135" s="9" t="s">
        <v>694</v>
      </c>
      <c r="Q135" s="9" t="s">
        <v>53</v>
      </c>
      <c r="R135" s="9"/>
      <c r="S135" s="10"/>
      <c r="T135" s="10"/>
      <c r="U135" s="10"/>
      <c r="V135" s="10"/>
      <c r="W135" s="11"/>
      <c r="X135" s="11"/>
      <c r="Y135" s="11"/>
      <c r="Z135" s="11"/>
      <c r="AA135" s="12" t="str">
        <f aca="false">IF(X135="","",IF(X135=0,"Unassigned",IF(X135=1,"Single point",IF(Z135="Yes","Staffed and credentialed","Staffed, credential gap"))))</f>
        <v/>
      </c>
      <c r="AB135" s="12" t="str">
        <f aca="false">IFERROR(INDEX(Lists!$H$3:$H$6,MATCH(AA135,Lists!$G$3:$G$6,0)),"")</f>
        <v/>
      </c>
      <c r="AC135" s="10"/>
      <c r="AD135" s="12" t="str">
        <f aca="false">IFERROR(INDEX(Lists!$B$3:$B$7,MATCH(AC135,Lists!$A$3:$A$7,0)),"")</f>
        <v/>
      </c>
      <c r="AE135" s="10"/>
      <c r="AF135" s="10"/>
      <c r="AG135" s="10"/>
      <c r="AH135" s="10"/>
      <c r="AI135" s="10"/>
      <c r="AJ135" s="10"/>
      <c r="AK135" s="13" t="str">
        <f aca="false">IF(OR(AH135="",AH135=0),"",AJ135/AH135)</f>
        <v/>
      </c>
      <c r="AL135" s="10"/>
      <c r="AM135" s="10"/>
      <c r="AN135" s="12" t="str">
        <f aca="false">IF(AL135="","Not assessed",IF(AND(Q135="No",AL135="Gap - recommend tailoring"),"INVALID: floor item is not tailorable",IF(OR(X135="",X135=0),"NO NAMED EXECUTOR",IF(AND(N(AD135)&gt;=3,AH135=""),"Operating claimed with no sample",IF(AND(N(AD135)&gt;=3,X135=1),"Operating rests on one individual",IF(AND(N(AD135)&gt;=3,Z135&lt;&gt;"Yes"),"Operating claimed below designed credential",IF(AND(Q135="No",N(AD135)&lt;3),"FLOOR GATE: below Operating",IF(AND(N(AD135)&gt;=3,AH135&lt;&gt;"",AJ135=""),"Sample size with no conforming count","OK"))))))))</f>
        <v>Not assessed</v>
      </c>
      <c r="AO135" s="10"/>
      <c r="AP135" s="10"/>
      <c r="AQ135" s="10"/>
    </row>
    <row r="136" customFormat="false" ht="43.25" hidden="false" customHeight="false" outlineLevel="0" collapsed="false">
      <c r="A136" s="9" t="s">
        <v>695</v>
      </c>
      <c r="B136" s="9" t="s">
        <v>620</v>
      </c>
      <c r="C136" s="9" t="s">
        <v>119</v>
      </c>
      <c r="D136" s="9" t="s">
        <v>696</v>
      </c>
      <c r="E136" s="9" t="s">
        <v>697</v>
      </c>
      <c r="F136" s="9"/>
      <c r="G136" s="9"/>
      <c r="H136" s="9"/>
      <c r="I136" s="9"/>
      <c r="J136" s="9" t="s">
        <v>355</v>
      </c>
      <c r="K136" s="9" t="s">
        <v>356</v>
      </c>
      <c r="L136" s="9"/>
      <c r="M136" s="9"/>
      <c r="N136" s="9"/>
      <c r="O136" s="9"/>
      <c r="P136" s="9" t="s">
        <v>698</v>
      </c>
      <c r="Q136" s="9" t="s">
        <v>53</v>
      </c>
      <c r="R136" s="9" t="s">
        <v>699</v>
      </c>
      <c r="S136" s="10"/>
      <c r="T136" s="10"/>
      <c r="U136" s="10"/>
      <c r="V136" s="10"/>
      <c r="W136" s="11"/>
      <c r="X136" s="11"/>
      <c r="Y136" s="11"/>
      <c r="Z136" s="11"/>
      <c r="AA136" s="12" t="str">
        <f aca="false">IF(X136="","",IF(X136=0,"Unassigned",IF(X136=1,"Single point",IF(Z136="Yes","Staffed and credentialed","Staffed, credential gap"))))</f>
        <v/>
      </c>
      <c r="AB136" s="12" t="str">
        <f aca="false">IFERROR(INDEX(Lists!$H$3:$H$6,MATCH(AA136,Lists!$G$3:$G$6,0)),"")</f>
        <v/>
      </c>
      <c r="AC136" s="10"/>
      <c r="AD136" s="12" t="str">
        <f aca="false">IFERROR(INDEX(Lists!$B$3:$B$7,MATCH(AC136,Lists!$A$3:$A$7,0)),"")</f>
        <v/>
      </c>
      <c r="AE136" s="10"/>
      <c r="AF136" s="10"/>
      <c r="AG136" s="10"/>
      <c r="AH136" s="10"/>
      <c r="AI136" s="10"/>
      <c r="AJ136" s="10"/>
      <c r="AK136" s="13" t="str">
        <f aca="false">IF(OR(AH136="",AH136=0),"",AJ136/AH136)</f>
        <v/>
      </c>
      <c r="AL136" s="10"/>
      <c r="AM136" s="10"/>
      <c r="AN136" s="12" t="str">
        <f aca="false">IF(AL136="","Not assessed",IF(AND(Q136="No",AL136="Gap - recommend tailoring"),"INVALID: floor item is not tailorable",IF(OR(X136="",X136=0),"NO NAMED EXECUTOR",IF(AND(N(AD136)&gt;=3,AH136=""),"Operating claimed with no sample",IF(AND(N(AD136)&gt;=3,X136=1),"Operating rests on one individual",IF(AND(N(AD136)&gt;=3,Z136&lt;&gt;"Yes"),"Operating claimed below designed credential",IF(AND(Q136="No",N(AD136)&lt;3),"FLOOR GATE: below Operating",IF(AND(N(AD136)&gt;=3,AH136&lt;&gt;"",AJ136=""),"Sample size with no conforming count","OK"))))))))</f>
        <v>Not assessed</v>
      </c>
      <c r="AO136" s="10"/>
      <c r="AP136" s="10"/>
      <c r="AQ136" s="10"/>
    </row>
    <row r="137" customFormat="false" ht="32.8" hidden="false" customHeight="false" outlineLevel="0" collapsed="false">
      <c r="A137" s="9" t="s">
        <v>700</v>
      </c>
      <c r="B137" s="9" t="s">
        <v>620</v>
      </c>
      <c r="C137" s="9" t="s">
        <v>119</v>
      </c>
      <c r="D137" s="9" t="s">
        <v>701</v>
      </c>
      <c r="E137" s="9" t="s">
        <v>702</v>
      </c>
      <c r="F137" s="9"/>
      <c r="G137" s="9"/>
      <c r="H137" s="9"/>
      <c r="I137" s="9"/>
      <c r="J137" s="9" t="s">
        <v>355</v>
      </c>
      <c r="K137" s="9" t="s">
        <v>356</v>
      </c>
      <c r="L137" s="9"/>
      <c r="M137" s="9"/>
      <c r="N137" s="9"/>
      <c r="O137" s="9"/>
      <c r="P137" s="9" t="s">
        <v>703</v>
      </c>
      <c r="Q137" s="9" t="s">
        <v>53</v>
      </c>
      <c r="R137" s="9"/>
      <c r="S137" s="10"/>
      <c r="T137" s="10"/>
      <c r="U137" s="10"/>
      <c r="V137" s="10"/>
      <c r="W137" s="11"/>
      <c r="X137" s="11"/>
      <c r="Y137" s="11"/>
      <c r="Z137" s="11"/>
      <c r="AA137" s="12" t="str">
        <f aca="false">IF(X137="","",IF(X137=0,"Unassigned",IF(X137=1,"Single point",IF(Z137="Yes","Staffed and credentialed","Staffed, credential gap"))))</f>
        <v/>
      </c>
      <c r="AB137" s="12" t="str">
        <f aca="false">IFERROR(INDEX(Lists!$H$3:$H$6,MATCH(AA137,Lists!$G$3:$G$6,0)),"")</f>
        <v/>
      </c>
      <c r="AC137" s="10"/>
      <c r="AD137" s="12" t="str">
        <f aca="false">IFERROR(INDEX(Lists!$B$3:$B$7,MATCH(AC137,Lists!$A$3:$A$7,0)),"")</f>
        <v/>
      </c>
      <c r="AE137" s="10"/>
      <c r="AF137" s="10"/>
      <c r="AG137" s="10"/>
      <c r="AH137" s="10"/>
      <c r="AI137" s="10"/>
      <c r="AJ137" s="10"/>
      <c r="AK137" s="13" t="str">
        <f aca="false">IF(OR(AH137="",AH137=0),"",AJ137/AH137)</f>
        <v/>
      </c>
      <c r="AL137" s="10"/>
      <c r="AM137" s="10"/>
      <c r="AN137" s="12" t="str">
        <f aca="false">IF(AL137="","Not assessed",IF(AND(Q137="No",AL137="Gap - recommend tailoring"),"INVALID: floor item is not tailorable",IF(OR(X137="",X137=0),"NO NAMED EXECUTOR",IF(AND(N(AD137)&gt;=3,AH137=""),"Operating claimed with no sample",IF(AND(N(AD137)&gt;=3,X137=1),"Operating rests on one individual",IF(AND(N(AD137)&gt;=3,Z137&lt;&gt;"Yes"),"Operating claimed below designed credential",IF(AND(Q137="No",N(AD137)&lt;3),"FLOOR GATE: below Operating",IF(AND(N(AD137)&gt;=3,AH137&lt;&gt;"",AJ137=""),"Sample size with no conforming count","OK"))))))))</f>
        <v>Not assessed</v>
      </c>
      <c r="AO137" s="10"/>
      <c r="AP137" s="10"/>
      <c r="AQ137" s="10"/>
    </row>
  </sheetData>
  <autoFilter ref="A4:AQ137"/>
  <dataValidations count="5">
    <dataValidation allowBlank="true" errorStyle="stop" operator="between" showDropDown="false" showErrorMessage="false" showInputMessage="false" sqref="AC5:AC137" type="list">
      <formula1>Lists!$A$3:$A$7</formula1>
      <formula2>0</formula2>
    </dataValidation>
    <dataValidation allowBlank="true" errorStyle="stop" operator="between" showDropDown="false" showErrorMessage="false" showInputMessage="false" sqref="AL5:AL137" type="list">
      <formula1>Lists!$D$3:$D$7</formula1>
      <formula2>0</formula2>
    </dataValidation>
    <dataValidation allowBlank="true" errorStyle="stop" operator="between" showDropDown="false" showErrorMessage="false" showInputMessage="false" sqref="AE5:AE137" type="list">
      <formula1>Lists!$F$3:$F$10</formula1>
      <formula2>0</formula2>
    </dataValidation>
    <dataValidation allowBlank="true" errorStyle="stop" operator="between" showDropDown="false" showErrorMessage="false" showInputMessage="false" sqref="Y5:Y137" type="list">
      <formula1>Lists!$J$3:$J$12</formula1>
      <formula2>0</formula2>
    </dataValidation>
    <dataValidation allowBlank="true" errorStyle="stop" operator="between" showDropDown="false" showErrorMessage="false" showInputMessage="false" sqref="Z5:Z137" type="list">
      <formula1>"Yes,No,Unknown"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
    <col collapsed="false" customWidth="true" hidden="false" outlineLevel="0" max="4" min="4" style="0" width="24"/>
    <col collapsed="false" customWidth="true" hidden="false" outlineLevel="0" max="6" min="6" style="0" width="34"/>
    <col collapsed="false" customWidth="true" hidden="false" outlineLevel="0" max="7" min="7" style="0" width="24"/>
    <col collapsed="false" customWidth="true" hidden="false" outlineLevel="0" max="8" min="8" style="0" width="8"/>
    <col collapsed="false" customWidth="true" hidden="false" outlineLevel="0" max="10" min="10" style="0" width="32"/>
  </cols>
  <sheetData>
    <row r="1" customFormat="false" ht="15" hidden="false" customHeight="false" outlineLevel="0" collapsed="false">
      <c r="A1" s="2" t="s">
        <v>704</v>
      </c>
    </row>
    <row r="2" customFormat="false" ht="15" hidden="false" customHeight="false" outlineLevel="0" collapsed="false">
      <c r="A2" s="8" t="s">
        <v>42</v>
      </c>
      <c r="B2" s="8" t="s">
        <v>705</v>
      </c>
      <c r="D2" s="8" t="s">
        <v>45</v>
      </c>
      <c r="F2" s="8" t="s">
        <v>88</v>
      </c>
      <c r="G2" s="8" t="s">
        <v>41</v>
      </c>
      <c r="H2" s="8" t="s">
        <v>705</v>
      </c>
      <c r="J2" s="8" t="s">
        <v>39</v>
      </c>
    </row>
    <row r="3" customFormat="false" ht="15" hidden="false" customHeight="false" outlineLevel="0" collapsed="false">
      <c r="A3" s="14" t="s">
        <v>706</v>
      </c>
      <c r="B3" s="14" t="n">
        <v>0</v>
      </c>
      <c r="D3" s="14" t="s">
        <v>707</v>
      </c>
      <c r="F3" s="14" t="s">
        <v>708</v>
      </c>
      <c r="G3" s="14" t="s">
        <v>709</v>
      </c>
      <c r="H3" s="14" t="n">
        <v>0</v>
      </c>
      <c r="J3" s="14" t="s">
        <v>710</v>
      </c>
    </row>
    <row r="4" customFormat="false" ht="15" hidden="false" customHeight="false" outlineLevel="0" collapsed="false">
      <c r="A4" s="14" t="s">
        <v>711</v>
      </c>
      <c r="B4" s="14" t="n">
        <v>1</v>
      </c>
      <c r="D4" s="14" t="s">
        <v>56</v>
      </c>
      <c r="F4" s="14" t="s">
        <v>712</v>
      </c>
      <c r="G4" s="14" t="s">
        <v>713</v>
      </c>
      <c r="H4" s="14" t="n">
        <v>1</v>
      </c>
      <c r="J4" s="14" t="s">
        <v>714</v>
      </c>
    </row>
    <row r="5" customFormat="false" ht="15" hidden="false" customHeight="false" outlineLevel="0" collapsed="false">
      <c r="A5" s="14" t="s">
        <v>55</v>
      </c>
      <c r="B5" s="14" t="n">
        <v>2</v>
      </c>
      <c r="D5" s="14" t="s">
        <v>715</v>
      </c>
      <c r="F5" s="14" t="s">
        <v>716</v>
      </c>
      <c r="G5" s="14" t="s">
        <v>717</v>
      </c>
      <c r="H5" s="14" t="n">
        <v>2</v>
      </c>
      <c r="J5" s="14" t="s">
        <v>52</v>
      </c>
    </row>
    <row r="6" customFormat="false" ht="15" hidden="false" customHeight="false" outlineLevel="0" collapsed="false">
      <c r="A6" s="14" t="s">
        <v>718</v>
      </c>
      <c r="B6" s="14" t="n">
        <v>3</v>
      </c>
      <c r="D6" s="14" t="s">
        <v>719</v>
      </c>
      <c r="F6" s="14" t="s">
        <v>720</v>
      </c>
      <c r="G6" s="14" t="s">
        <v>721</v>
      </c>
      <c r="H6" s="14" t="n">
        <v>3</v>
      </c>
      <c r="J6" s="14" t="s">
        <v>722</v>
      </c>
    </row>
    <row r="7" customFormat="false" ht="15" hidden="false" customHeight="false" outlineLevel="0" collapsed="false">
      <c r="A7" s="14" t="s">
        <v>723</v>
      </c>
      <c r="B7" s="14" t="n">
        <v>4</v>
      </c>
      <c r="D7" s="14" t="s">
        <v>724</v>
      </c>
      <c r="F7" s="14" t="s">
        <v>725</v>
      </c>
      <c r="J7" s="14" t="s">
        <v>726</v>
      </c>
    </row>
    <row r="8" customFormat="false" ht="15" hidden="false" customHeight="false" outlineLevel="0" collapsed="false">
      <c r="F8" s="14" t="s">
        <v>727</v>
      </c>
      <c r="G8" s="7" t="s">
        <v>728</v>
      </c>
      <c r="J8" s="14" t="s">
        <v>729</v>
      </c>
    </row>
    <row r="9" customFormat="false" ht="15" hidden="false" customHeight="false" outlineLevel="0" collapsed="false">
      <c r="A9" s="7" t="s">
        <v>730</v>
      </c>
      <c r="D9" s="7" t="s">
        <v>731</v>
      </c>
      <c r="F9" s="14" t="s">
        <v>732</v>
      </c>
      <c r="J9" s="14" t="s">
        <v>733</v>
      </c>
    </row>
    <row r="10" customFormat="false" ht="15" hidden="false" customHeight="false" outlineLevel="0" collapsed="false">
      <c r="F10" s="14" t="s">
        <v>734</v>
      </c>
      <c r="J10" s="14" t="s">
        <v>735</v>
      </c>
    </row>
    <row r="11" customFormat="false" ht="15" hidden="false" customHeight="false" outlineLevel="0" collapsed="false">
      <c r="J11" s="14" t="s">
        <v>736</v>
      </c>
    </row>
    <row r="12" customFormat="false" ht="15" hidden="false" customHeight="false" outlineLevel="0" collapsed="false">
      <c r="J12" s="14" t="s">
        <v>709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30"/>
    <col collapsed="false" customWidth="true" hidden="false" outlineLevel="0" max="4" min="4" style="0" width="18"/>
    <col collapsed="false" customWidth="true" hidden="false" outlineLevel="0" max="5" min="5" style="0" width="16"/>
    <col collapsed="false" customWidth="true" hidden="false" outlineLevel="0" max="7" min="6" style="0" width="20"/>
    <col collapsed="false" customWidth="true" hidden="false" outlineLevel="0" max="8" min="8" style="0" width="14"/>
    <col collapsed="false" customWidth="true" hidden="false" outlineLevel="0" max="9" min="9" style="0" width="34"/>
  </cols>
  <sheetData>
    <row r="1" customFormat="false" ht="17.35" hidden="false" customHeight="false" outlineLevel="0" collapsed="false">
      <c r="A1" s="1" t="s">
        <v>737</v>
      </c>
    </row>
    <row r="2" customFormat="false" ht="15" hidden="false" customHeight="false" outlineLevel="0" collapsed="false">
      <c r="A2" s="7" t="s">
        <v>738</v>
      </c>
    </row>
    <row r="3" customFormat="false" ht="15" hidden="false" customHeight="false" outlineLevel="0" collapsed="false">
      <c r="A3" s="7" t="s">
        <v>739</v>
      </c>
    </row>
    <row r="5" customFormat="false" ht="33.75" hidden="false" customHeight="true" outlineLevel="0" collapsed="false">
      <c r="A5" s="15" t="s">
        <v>740</v>
      </c>
      <c r="B5" s="15" t="s">
        <v>741</v>
      </c>
      <c r="C5" s="15" t="s">
        <v>742</v>
      </c>
      <c r="D5" s="15" t="s">
        <v>743</v>
      </c>
      <c r="E5" s="15" t="s">
        <v>744</v>
      </c>
      <c r="F5" s="15" t="s">
        <v>745</v>
      </c>
      <c r="G5" s="15" t="s">
        <v>746</v>
      </c>
      <c r="H5" s="15" t="s">
        <v>747</v>
      </c>
      <c r="I5" s="15" t="s">
        <v>99</v>
      </c>
    </row>
    <row r="6" customFormat="false" ht="15" hidden="false" customHeight="false" outlineLevel="0" collapsed="false">
      <c r="A6" s="16" t="s">
        <v>748</v>
      </c>
      <c r="B6" s="16" t="s">
        <v>749</v>
      </c>
      <c r="C6" s="16" t="s">
        <v>52</v>
      </c>
      <c r="D6" s="16" t="s">
        <v>156</v>
      </c>
      <c r="E6" s="16" t="n">
        <v>0.8</v>
      </c>
      <c r="F6" s="17" t="n">
        <f aca="false">IF($A6="","",SUMPRODUCT(--ISNUMBER(SEARCH($A6,'Phase 1 Register'!$W$5:$W$137))))</f>
        <v>0</v>
      </c>
      <c r="G6" s="17" t="str">
        <f aca="false">IF(F6="","",IF(F6&gt;=25,"High concentration",IF(F6&gt;=15,"Watch","")))</f>
        <v/>
      </c>
      <c r="H6" s="16" t="s">
        <v>116</v>
      </c>
      <c r="I6" s="18" t="s">
        <v>750</v>
      </c>
    </row>
    <row r="7" customFormat="false" ht="15" hidden="false" customHeight="false" outlineLevel="0" collapsed="false">
      <c r="A7" s="10"/>
      <c r="B7" s="10"/>
      <c r="C7" s="10"/>
      <c r="D7" s="10"/>
      <c r="E7" s="10"/>
      <c r="F7" s="17" t="str">
        <f aca="false">IF($A7="","",SUMPRODUCT(--ISNUMBER(SEARCH($A7,'Phase 1 Register'!$W$5:$W$137))))</f>
        <v/>
      </c>
      <c r="G7" s="17" t="str">
        <f aca="false">IF(F7="","",IF(F7&gt;=25,"High concentration",IF(F7&gt;=15,"Watch","")))</f>
        <v/>
      </c>
      <c r="H7" s="10"/>
      <c r="I7" s="10"/>
    </row>
    <row r="8" customFormat="false" ht="15" hidden="false" customHeight="false" outlineLevel="0" collapsed="false">
      <c r="A8" s="10"/>
      <c r="B8" s="10"/>
      <c r="C8" s="10"/>
      <c r="D8" s="10"/>
      <c r="E8" s="10"/>
      <c r="F8" s="17" t="str">
        <f aca="false">IF($A8="","",SUMPRODUCT(--ISNUMBER(SEARCH($A8,'Phase 1 Register'!$W$5:$W$137))))</f>
        <v/>
      </c>
      <c r="G8" s="17" t="str">
        <f aca="false">IF(F8="","",IF(F8&gt;=25,"High concentration",IF(F8&gt;=15,"Watch","")))</f>
        <v/>
      </c>
      <c r="H8" s="10"/>
      <c r="I8" s="10"/>
    </row>
    <row r="9" customFormat="false" ht="15" hidden="false" customHeight="false" outlineLevel="0" collapsed="false">
      <c r="A9" s="10"/>
      <c r="B9" s="10"/>
      <c r="C9" s="10"/>
      <c r="D9" s="10"/>
      <c r="E9" s="10"/>
      <c r="F9" s="17" t="str">
        <f aca="false">IF($A9="","",SUMPRODUCT(--ISNUMBER(SEARCH($A9,'Phase 1 Register'!$W$5:$W$137))))</f>
        <v/>
      </c>
      <c r="G9" s="17" t="str">
        <f aca="false">IF(F9="","",IF(F9&gt;=25,"High concentration",IF(F9&gt;=15,"Watch","")))</f>
        <v/>
      </c>
      <c r="H9" s="10"/>
      <c r="I9" s="10"/>
    </row>
    <row r="10" customFormat="false" ht="15" hidden="false" customHeight="false" outlineLevel="0" collapsed="false">
      <c r="A10" s="10"/>
      <c r="B10" s="10"/>
      <c r="C10" s="10"/>
      <c r="D10" s="10"/>
      <c r="E10" s="10"/>
      <c r="F10" s="17" t="str">
        <f aca="false">IF($A10="","",SUMPRODUCT(--ISNUMBER(SEARCH($A10,'Phase 1 Register'!$W$5:$W$137))))</f>
        <v/>
      </c>
      <c r="G10" s="17" t="str">
        <f aca="false">IF(F10="","",IF(F10&gt;=25,"High concentration",IF(F10&gt;=15,"Watch","")))</f>
        <v/>
      </c>
      <c r="H10" s="10"/>
      <c r="I10" s="10"/>
    </row>
    <row r="11" customFormat="false" ht="15" hidden="false" customHeight="false" outlineLevel="0" collapsed="false">
      <c r="A11" s="10"/>
      <c r="B11" s="10"/>
      <c r="C11" s="10"/>
      <c r="D11" s="10"/>
      <c r="E11" s="10"/>
      <c r="F11" s="17" t="str">
        <f aca="false">IF($A11="","",SUMPRODUCT(--ISNUMBER(SEARCH($A11,'Phase 1 Register'!$W$5:$W$137))))</f>
        <v/>
      </c>
      <c r="G11" s="17" t="str">
        <f aca="false">IF(F11="","",IF(F11&gt;=25,"High concentration",IF(F11&gt;=15,"Watch","")))</f>
        <v/>
      </c>
      <c r="H11" s="10"/>
      <c r="I11" s="10"/>
    </row>
    <row r="12" customFormat="false" ht="15" hidden="false" customHeight="false" outlineLevel="0" collapsed="false">
      <c r="A12" s="10"/>
      <c r="B12" s="10"/>
      <c r="C12" s="10"/>
      <c r="D12" s="10"/>
      <c r="E12" s="10"/>
      <c r="F12" s="17" t="str">
        <f aca="false">IF($A12="","",SUMPRODUCT(--ISNUMBER(SEARCH($A12,'Phase 1 Register'!$W$5:$W$137))))</f>
        <v/>
      </c>
      <c r="G12" s="17" t="str">
        <f aca="false">IF(F12="","",IF(F12&gt;=25,"High concentration",IF(F12&gt;=15,"Watch","")))</f>
        <v/>
      </c>
      <c r="H12" s="10"/>
      <c r="I12" s="10"/>
    </row>
    <row r="13" customFormat="false" ht="15" hidden="false" customHeight="false" outlineLevel="0" collapsed="false">
      <c r="A13" s="10"/>
      <c r="B13" s="10"/>
      <c r="C13" s="10"/>
      <c r="D13" s="10"/>
      <c r="E13" s="10"/>
      <c r="F13" s="17" t="str">
        <f aca="false">IF($A13="","",SUMPRODUCT(--ISNUMBER(SEARCH($A13,'Phase 1 Register'!$W$5:$W$137))))</f>
        <v/>
      </c>
      <c r="G13" s="17" t="str">
        <f aca="false">IF(F13="","",IF(F13&gt;=25,"High concentration",IF(F13&gt;=15,"Watch","")))</f>
        <v/>
      </c>
      <c r="H13" s="10"/>
      <c r="I13" s="10"/>
    </row>
    <row r="14" customFormat="false" ht="15" hidden="false" customHeight="false" outlineLevel="0" collapsed="false">
      <c r="A14" s="10"/>
      <c r="B14" s="10"/>
      <c r="C14" s="10"/>
      <c r="D14" s="10"/>
      <c r="E14" s="10"/>
      <c r="F14" s="17" t="str">
        <f aca="false">IF($A14="","",SUMPRODUCT(--ISNUMBER(SEARCH($A14,'Phase 1 Register'!$W$5:$W$137))))</f>
        <v/>
      </c>
      <c r="G14" s="17" t="str">
        <f aca="false">IF(F14="","",IF(F14&gt;=25,"High concentration",IF(F14&gt;=15,"Watch","")))</f>
        <v/>
      </c>
      <c r="H14" s="10"/>
      <c r="I14" s="10"/>
    </row>
    <row r="15" customFormat="false" ht="15" hidden="false" customHeight="false" outlineLevel="0" collapsed="false">
      <c r="A15" s="10"/>
      <c r="B15" s="10"/>
      <c r="C15" s="10"/>
      <c r="D15" s="10"/>
      <c r="E15" s="10"/>
      <c r="F15" s="17" t="str">
        <f aca="false">IF($A15="","",SUMPRODUCT(--ISNUMBER(SEARCH($A15,'Phase 1 Register'!$W$5:$W$137))))</f>
        <v/>
      </c>
      <c r="G15" s="17" t="str">
        <f aca="false">IF(F15="","",IF(F15&gt;=25,"High concentration",IF(F15&gt;=15,"Watch","")))</f>
        <v/>
      </c>
      <c r="H15" s="10"/>
      <c r="I15" s="10"/>
    </row>
    <row r="16" customFormat="false" ht="15" hidden="false" customHeight="false" outlineLevel="0" collapsed="false">
      <c r="A16" s="10"/>
      <c r="B16" s="10"/>
      <c r="C16" s="10"/>
      <c r="D16" s="10"/>
      <c r="E16" s="10"/>
      <c r="F16" s="17" t="str">
        <f aca="false">IF($A16="","",SUMPRODUCT(--ISNUMBER(SEARCH($A16,'Phase 1 Register'!$W$5:$W$137))))</f>
        <v/>
      </c>
      <c r="G16" s="17" t="str">
        <f aca="false">IF(F16="","",IF(F16&gt;=25,"High concentration",IF(F16&gt;=15,"Watch","")))</f>
        <v/>
      </c>
      <c r="H16" s="10"/>
      <c r="I16" s="10"/>
    </row>
    <row r="17" customFormat="false" ht="15" hidden="false" customHeight="false" outlineLevel="0" collapsed="false">
      <c r="A17" s="10"/>
      <c r="B17" s="10"/>
      <c r="C17" s="10"/>
      <c r="D17" s="10"/>
      <c r="E17" s="10"/>
      <c r="F17" s="17" t="str">
        <f aca="false">IF($A17="","",SUMPRODUCT(--ISNUMBER(SEARCH($A17,'Phase 1 Register'!$W$5:$W$137))))</f>
        <v/>
      </c>
      <c r="G17" s="17" t="str">
        <f aca="false">IF(F17="","",IF(F17&gt;=25,"High concentration",IF(F17&gt;=15,"Watch","")))</f>
        <v/>
      </c>
      <c r="H17" s="10"/>
      <c r="I17" s="10"/>
    </row>
    <row r="18" customFormat="false" ht="15" hidden="false" customHeight="false" outlineLevel="0" collapsed="false">
      <c r="A18" s="10"/>
      <c r="B18" s="10"/>
      <c r="C18" s="10"/>
      <c r="D18" s="10"/>
      <c r="E18" s="10"/>
      <c r="F18" s="17" t="str">
        <f aca="false">IF($A18="","",SUMPRODUCT(--ISNUMBER(SEARCH($A18,'Phase 1 Register'!$W$5:$W$137))))</f>
        <v/>
      </c>
      <c r="G18" s="17" t="str">
        <f aca="false">IF(F18="","",IF(F18&gt;=25,"High concentration",IF(F18&gt;=15,"Watch","")))</f>
        <v/>
      </c>
      <c r="H18" s="10"/>
      <c r="I18" s="10"/>
    </row>
    <row r="19" customFormat="false" ht="15" hidden="false" customHeight="false" outlineLevel="0" collapsed="false">
      <c r="A19" s="10"/>
      <c r="B19" s="10"/>
      <c r="C19" s="10"/>
      <c r="D19" s="10"/>
      <c r="E19" s="10"/>
      <c r="F19" s="17" t="str">
        <f aca="false">IF($A19="","",SUMPRODUCT(--ISNUMBER(SEARCH($A19,'Phase 1 Register'!$W$5:$W$137))))</f>
        <v/>
      </c>
      <c r="G19" s="17" t="str">
        <f aca="false">IF(F19="","",IF(F19&gt;=25,"High concentration",IF(F19&gt;=15,"Watch","")))</f>
        <v/>
      </c>
      <c r="H19" s="10"/>
      <c r="I19" s="10"/>
    </row>
    <row r="20" customFormat="false" ht="15" hidden="false" customHeight="false" outlineLevel="0" collapsed="false">
      <c r="A20" s="10"/>
      <c r="B20" s="10"/>
      <c r="C20" s="10"/>
      <c r="D20" s="10"/>
      <c r="E20" s="10"/>
      <c r="F20" s="17" t="str">
        <f aca="false">IF($A20="","",SUMPRODUCT(--ISNUMBER(SEARCH($A20,'Phase 1 Register'!$W$5:$W$137))))</f>
        <v/>
      </c>
      <c r="G20" s="17" t="str">
        <f aca="false">IF(F20="","",IF(F20&gt;=25,"High concentration",IF(F20&gt;=15,"Watch","")))</f>
        <v/>
      </c>
      <c r="H20" s="10"/>
      <c r="I20" s="10"/>
    </row>
    <row r="21" customFormat="false" ht="15" hidden="false" customHeight="false" outlineLevel="0" collapsed="false">
      <c r="A21" s="10"/>
      <c r="B21" s="10"/>
      <c r="C21" s="10"/>
      <c r="D21" s="10"/>
      <c r="E21" s="10"/>
      <c r="F21" s="17" t="str">
        <f aca="false">IF($A21="","",SUMPRODUCT(--ISNUMBER(SEARCH($A21,'Phase 1 Register'!$W$5:$W$137))))</f>
        <v/>
      </c>
      <c r="G21" s="17" t="str">
        <f aca="false">IF(F21="","",IF(F21&gt;=25,"High concentration",IF(F21&gt;=15,"Watch","")))</f>
        <v/>
      </c>
      <c r="H21" s="10"/>
      <c r="I21" s="10"/>
    </row>
    <row r="22" customFormat="false" ht="15" hidden="false" customHeight="false" outlineLevel="0" collapsed="false">
      <c r="A22" s="10"/>
      <c r="B22" s="10"/>
      <c r="C22" s="10"/>
      <c r="D22" s="10"/>
      <c r="E22" s="10"/>
      <c r="F22" s="17" t="str">
        <f aca="false">IF($A22="","",SUMPRODUCT(--ISNUMBER(SEARCH($A22,'Phase 1 Register'!$W$5:$W$137))))</f>
        <v/>
      </c>
      <c r="G22" s="17" t="str">
        <f aca="false">IF(F22="","",IF(F22&gt;=25,"High concentration",IF(F22&gt;=15,"Watch","")))</f>
        <v/>
      </c>
      <c r="H22" s="10"/>
      <c r="I22" s="10"/>
    </row>
    <row r="23" customFormat="false" ht="15" hidden="false" customHeight="false" outlineLevel="0" collapsed="false">
      <c r="A23" s="10"/>
      <c r="B23" s="10"/>
      <c r="C23" s="10"/>
      <c r="D23" s="10"/>
      <c r="E23" s="10"/>
      <c r="F23" s="17" t="str">
        <f aca="false">IF($A23="","",SUMPRODUCT(--ISNUMBER(SEARCH($A23,'Phase 1 Register'!$W$5:$W$137))))</f>
        <v/>
      </c>
      <c r="G23" s="17" t="str">
        <f aca="false">IF(F23="","",IF(F23&gt;=25,"High concentration",IF(F23&gt;=15,"Watch","")))</f>
        <v/>
      </c>
      <c r="H23" s="10"/>
      <c r="I23" s="10"/>
    </row>
    <row r="24" customFormat="false" ht="15" hidden="false" customHeight="false" outlineLevel="0" collapsed="false">
      <c r="A24" s="10"/>
      <c r="B24" s="10"/>
      <c r="C24" s="10"/>
      <c r="D24" s="10"/>
      <c r="E24" s="10"/>
      <c r="F24" s="17" t="str">
        <f aca="false">IF($A24="","",SUMPRODUCT(--ISNUMBER(SEARCH($A24,'Phase 1 Register'!$W$5:$W$137))))</f>
        <v/>
      </c>
      <c r="G24" s="17" t="str">
        <f aca="false">IF(F24="","",IF(F24&gt;=25,"High concentration",IF(F24&gt;=15,"Watch","")))</f>
        <v/>
      </c>
      <c r="H24" s="10"/>
      <c r="I24" s="10"/>
    </row>
    <row r="25" customFormat="false" ht="15" hidden="false" customHeight="false" outlineLevel="0" collapsed="false">
      <c r="A25" s="10"/>
      <c r="B25" s="10"/>
      <c r="C25" s="10"/>
      <c r="D25" s="10"/>
      <c r="E25" s="10"/>
      <c r="F25" s="17" t="str">
        <f aca="false">IF($A25="","",SUMPRODUCT(--ISNUMBER(SEARCH($A25,'Phase 1 Register'!$W$5:$W$137))))</f>
        <v/>
      </c>
      <c r="G25" s="17" t="str">
        <f aca="false">IF(F25="","",IF(F25&gt;=25,"High concentration",IF(F25&gt;=15,"Watch","")))</f>
        <v/>
      </c>
      <c r="H25" s="10"/>
      <c r="I25" s="10"/>
    </row>
    <row r="26" customFormat="false" ht="15" hidden="false" customHeight="false" outlineLevel="0" collapsed="false">
      <c r="A26" s="10"/>
      <c r="B26" s="10"/>
      <c r="C26" s="10"/>
      <c r="D26" s="10"/>
      <c r="E26" s="10"/>
      <c r="F26" s="17" t="str">
        <f aca="false">IF($A26="","",SUMPRODUCT(--ISNUMBER(SEARCH($A26,'Phase 1 Register'!$W$5:$W$137))))</f>
        <v/>
      </c>
      <c r="G26" s="17" t="str">
        <f aca="false">IF(F26="","",IF(F26&gt;=25,"High concentration",IF(F26&gt;=15,"Watch","")))</f>
        <v/>
      </c>
      <c r="H26" s="10"/>
      <c r="I26" s="10"/>
    </row>
    <row r="27" customFormat="false" ht="15" hidden="false" customHeight="false" outlineLevel="0" collapsed="false">
      <c r="A27" s="10"/>
      <c r="B27" s="10"/>
      <c r="C27" s="10"/>
      <c r="D27" s="10"/>
      <c r="E27" s="10"/>
      <c r="F27" s="17" t="str">
        <f aca="false">IF($A27="","",SUMPRODUCT(--ISNUMBER(SEARCH($A27,'Phase 1 Register'!$W$5:$W$137))))</f>
        <v/>
      </c>
      <c r="G27" s="17" t="str">
        <f aca="false">IF(F27="","",IF(F27&gt;=25,"High concentration",IF(F27&gt;=15,"Watch","")))</f>
        <v/>
      </c>
      <c r="H27" s="10"/>
      <c r="I27" s="10"/>
    </row>
    <row r="28" customFormat="false" ht="15" hidden="false" customHeight="false" outlineLevel="0" collapsed="false">
      <c r="A28" s="10"/>
      <c r="B28" s="10"/>
      <c r="C28" s="10"/>
      <c r="D28" s="10"/>
      <c r="E28" s="10"/>
      <c r="F28" s="17" t="str">
        <f aca="false">IF($A28="","",SUMPRODUCT(--ISNUMBER(SEARCH($A28,'Phase 1 Register'!$W$5:$W$137))))</f>
        <v/>
      </c>
      <c r="G28" s="17" t="str">
        <f aca="false">IF(F28="","",IF(F28&gt;=25,"High concentration",IF(F28&gt;=15,"Watch","")))</f>
        <v/>
      </c>
      <c r="H28" s="10"/>
      <c r="I28" s="10"/>
    </row>
    <row r="29" customFormat="false" ht="15" hidden="false" customHeight="false" outlineLevel="0" collapsed="false">
      <c r="A29" s="10"/>
      <c r="B29" s="10"/>
      <c r="C29" s="10"/>
      <c r="D29" s="10"/>
      <c r="E29" s="10"/>
      <c r="F29" s="17" t="str">
        <f aca="false">IF($A29="","",SUMPRODUCT(--ISNUMBER(SEARCH($A29,'Phase 1 Register'!$W$5:$W$137))))</f>
        <v/>
      </c>
      <c r="G29" s="17" t="str">
        <f aca="false">IF(F29="","",IF(F29&gt;=25,"High concentration",IF(F29&gt;=15,"Watch","")))</f>
        <v/>
      </c>
      <c r="H29" s="10"/>
      <c r="I29" s="10"/>
    </row>
    <row r="30" customFormat="false" ht="15" hidden="false" customHeight="false" outlineLevel="0" collapsed="false">
      <c r="A30" s="10"/>
      <c r="B30" s="10"/>
      <c r="C30" s="10"/>
      <c r="D30" s="10"/>
      <c r="E30" s="10"/>
      <c r="F30" s="17" t="str">
        <f aca="false">IF($A30="","",SUMPRODUCT(--ISNUMBER(SEARCH($A30,'Phase 1 Register'!$W$5:$W$137))))</f>
        <v/>
      </c>
      <c r="G30" s="17" t="str">
        <f aca="false">IF(F30="","",IF(F30&gt;=25,"High concentration",IF(F30&gt;=15,"Watch","")))</f>
        <v/>
      </c>
      <c r="H30" s="10"/>
      <c r="I30" s="10"/>
    </row>
    <row r="31" customFormat="false" ht="15" hidden="false" customHeight="false" outlineLevel="0" collapsed="false">
      <c r="A31" s="10"/>
      <c r="B31" s="10"/>
      <c r="C31" s="10"/>
      <c r="D31" s="10"/>
      <c r="E31" s="10"/>
      <c r="F31" s="17" t="str">
        <f aca="false">IF($A31="","",SUMPRODUCT(--ISNUMBER(SEARCH($A31,'Phase 1 Register'!$W$5:$W$137))))</f>
        <v/>
      </c>
      <c r="G31" s="17" t="str">
        <f aca="false">IF(F31="","",IF(F31&gt;=25,"High concentration",IF(F31&gt;=15,"Watch","")))</f>
        <v/>
      </c>
      <c r="H31" s="10"/>
      <c r="I31" s="10"/>
    </row>
    <row r="32" customFormat="false" ht="15" hidden="false" customHeight="false" outlineLevel="0" collapsed="false">
      <c r="A32" s="10"/>
      <c r="B32" s="10"/>
      <c r="C32" s="10"/>
      <c r="D32" s="10"/>
      <c r="E32" s="10"/>
      <c r="F32" s="17" t="str">
        <f aca="false">IF($A32="","",SUMPRODUCT(--ISNUMBER(SEARCH($A32,'Phase 1 Register'!$W$5:$W$137))))</f>
        <v/>
      </c>
      <c r="G32" s="17" t="str">
        <f aca="false">IF(F32="","",IF(F32&gt;=25,"High concentration",IF(F32&gt;=15,"Watch","")))</f>
        <v/>
      </c>
      <c r="H32" s="10"/>
      <c r="I32" s="10"/>
    </row>
    <row r="33" customFormat="false" ht="15" hidden="false" customHeight="false" outlineLevel="0" collapsed="false">
      <c r="A33" s="10"/>
      <c r="B33" s="10"/>
      <c r="C33" s="10"/>
      <c r="D33" s="10"/>
      <c r="E33" s="10"/>
      <c r="F33" s="17" t="str">
        <f aca="false">IF($A33="","",SUMPRODUCT(--ISNUMBER(SEARCH($A33,'Phase 1 Register'!$W$5:$W$137))))</f>
        <v/>
      </c>
      <c r="G33" s="17" t="str">
        <f aca="false">IF(F33="","",IF(F33&gt;=25,"High concentration",IF(F33&gt;=15,"Watch","")))</f>
        <v/>
      </c>
      <c r="H33" s="10"/>
      <c r="I33" s="10"/>
    </row>
    <row r="34" customFormat="false" ht="15" hidden="false" customHeight="false" outlineLevel="0" collapsed="false">
      <c r="A34" s="10"/>
      <c r="B34" s="10"/>
      <c r="C34" s="10"/>
      <c r="D34" s="10"/>
      <c r="E34" s="10"/>
      <c r="F34" s="17" t="str">
        <f aca="false">IF($A34="","",SUMPRODUCT(--ISNUMBER(SEARCH($A34,'Phase 1 Register'!$W$5:$W$137))))</f>
        <v/>
      </c>
      <c r="G34" s="17" t="str">
        <f aca="false">IF(F34="","",IF(F34&gt;=25,"High concentration",IF(F34&gt;=15,"Watch","")))</f>
        <v/>
      </c>
      <c r="H34" s="10"/>
      <c r="I34" s="10"/>
    </row>
    <row r="35" customFormat="false" ht="15" hidden="false" customHeight="false" outlineLevel="0" collapsed="false">
      <c r="A35" s="10"/>
      <c r="B35" s="10"/>
      <c r="C35" s="10"/>
      <c r="D35" s="10"/>
      <c r="E35" s="10"/>
      <c r="F35" s="17" t="str">
        <f aca="false">IF($A35="","",SUMPRODUCT(--ISNUMBER(SEARCH($A35,'Phase 1 Register'!$W$5:$W$137))))</f>
        <v/>
      </c>
      <c r="G35" s="17" t="str">
        <f aca="false">IF(F35="","",IF(F35&gt;=25,"High concentration",IF(F35&gt;=15,"Watch","")))</f>
        <v/>
      </c>
      <c r="H35" s="10"/>
      <c r="I35" s="10"/>
    </row>
    <row r="36" customFormat="false" ht="15" hidden="false" customHeight="false" outlineLevel="0" collapsed="false">
      <c r="A36" s="10"/>
      <c r="B36" s="10"/>
      <c r="C36" s="10"/>
      <c r="D36" s="10"/>
      <c r="E36" s="10"/>
      <c r="F36" s="17" t="str">
        <f aca="false">IF($A36="","",SUMPRODUCT(--ISNUMBER(SEARCH($A36,'Phase 1 Register'!$W$5:$W$137))))</f>
        <v/>
      </c>
      <c r="G36" s="17" t="str">
        <f aca="false">IF(F36="","",IF(F36&gt;=25,"High concentration",IF(F36&gt;=15,"Watch","")))</f>
        <v/>
      </c>
      <c r="H36" s="10"/>
      <c r="I36" s="10"/>
    </row>
    <row r="37" customFormat="false" ht="15" hidden="false" customHeight="false" outlineLevel="0" collapsed="false">
      <c r="A37" s="10"/>
      <c r="B37" s="10"/>
      <c r="C37" s="10"/>
      <c r="D37" s="10"/>
      <c r="E37" s="10"/>
      <c r="F37" s="17" t="str">
        <f aca="false">IF($A37="","",SUMPRODUCT(--ISNUMBER(SEARCH($A37,'Phase 1 Register'!$W$5:$W$137))))</f>
        <v/>
      </c>
      <c r="G37" s="17" t="str">
        <f aca="false">IF(F37="","",IF(F37&gt;=25,"High concentration",IF(F37&gt;=15,"Watch","")))</f>
        <v/>
      </c>
      <c r="H37" s="10"/>
      <c r="I37" s="10"/>
    </row>
    <row r="38" customFormat="false" ht="15" hidden="false" customHeight="false" outlineLevel="0" collapsed="false">
      <c r="A38" s="10"/>
      <c r="B38" s="10"/>
      <c r="C38" s="10"/>
      <c r="D38" s="10"/>
      <c r="E38" s="10"/>
      <c r="F38" s="17" t="str">
        <f aca="false">IF($A38="","",SUMPRODUCT(--ISNUMBER(SEARCH($A38,'Phase 1 Register'!$W$5:$W$137))))</f>
        <v/>
      </c>
      <c r="G38" s="17" t="str">
        <f aca="false">IF(F38="","",IF(F38&gt;=25,"High concentration",IF(F38&gt;=15,"Watch","")))</f>
        <v/>
      </c>
      <c r="H38" s="10"/>
      <c r="I38" s="10"/>
    </row>
    <row r="39" customFormat="false" ht="15" hidden="false" customHeight="false" outlineLevel="0" collapsed="false">
      <c r="A39" s="10"/>
      <c r="B39" s="10"/>
      <c r="C39" s="10"/>
      <c r="D39" s="10"/>
      <c r="E39" s="10"/>
      <c r="F39" s="17" t="str">
        <f aca="false">IF($A39="","",SUMPRODUCT(--ISNUMBER(SEARCH($A39,'Phase 1 Register'!$W$5:$W$137))))</f>
        <v/>
      </c>
      <c r="G39" s="17" t="str">
        <f aca="false">IF(F39="","",IF(F39&gt;=25,"High concentration",IF(F39&gt;=15,"Watch","")))</f>
        <v/>
      </c>
      <c r="H39" s="10"/>
      <c r="I39" s="10"/>
    </row>
    <row r="40" customFormat="false" ht="15" hidden="false" customHeight="false" outlineLevel="0" collapsed="false">
      <c r="A40" s="10"/>
      <c r="B40" s="10"/>
      <c r="C40" s="10"/>
      <c r="D40" s="10"/>
      <c r="E40" s="10"/>
      <c r="F40" s="17" t="str">
        <f aca="false">IF($A40="","",SUMPRODUCT(--ISNUMBER(SEARCH($A40,'Phase 1 Register'!$W$5:$W$137))))</f>
        <v/>
      </c>
      <c r="G40" s="17" t="str">
        <f aca="false">IF(F40="","",IF(F40&gt;=25,"High concentration",IF(F40&gt;=15,"Watch","")))</f>
        <v/>
      </c>
      <c r="H40" s="10"/>
      <c r="I40" s="10"/>
    </row>
    <row r="41" customFormat="false" ht="15" hidden="false" customHeight="false" outlineLevel="0" collapsed="false">
      <c r="A41" s="10"/>
      <c r="B41" s="10"/>
      <c r="C41" s="10"/>
      <c r="D41" s="10"/>
      <c r="E41" s="10"/>
      <c r="F41" s="17" t="str">
        <f aca="false">IF($A41="","",SUMPRODUCT(--ISNUMBER(SEARCH($A41,'Phase 1 Register'!$W$5:$W$137))))</f>
        <v/>
      </c>
      <c r="G41" s="17" t="str">
        <f aca="false">IF(F41="","",IF(F41&gt;=25,"High concentration",IF(F41&gt;=15,"Watch","")))</f>
        <v/>
      </c>
      <c r="H41" s="10"/>
      <c r="I41" s="10"/>
    </row>
    <row r="42" customFormat="false" ht="15" hidden="false" customHeight="false" outlineLevel="0" collapsed="false">
      <c r="A42" s="10"/>
      <c r="B42" s="10"/>
      <c r="C42" s="10"/>
      <c r="D42" s="10"/>
      <c r="E42" s="10"/>
      <c r="F42" s="17" t="str">
        <f aca="false">IF($A42="","",SUMPRODUCT(--ISNUMBER(SEARCH($A42,'Phase 1 Register'!$W$5:$W$137))))</f>
        <v/>
      </c>
      <c r="G42" s="17" t="str">
        <f aca="false">IF(F42="","",IF(F42&gt;=25,"High concentration",IF(F42&gt;=15,"Watch","")))</f>
        <v/>
      </c>
      <c r="H42" s="10"/>
      <c r="I42" s="10"/>
    </row>
    <row r="43" customFormat="false" ht="15" hidden="false" customHeight="false" outlineLevel="0" collapsed="false">
      <c r="A43" s="10"/>
      <c r="B43" s="10"/>
      <c r="C43" s="10"/>
      <c r="D43" s="10"/>
      <c r="E43" s="10"/>
      <c r="F43" s="17" t="str">
        <f aca="false">IF($A43="","",SUMPRODUCT(--ISNUMBER(SEARCH($A43,'Phase 1 Register'!$W$5:$W$137))))</f>
        <v/>
      </c>
      <c r="G43" s="17" t="str">
        <f aca="false">IF(F43="","",IF(F43&gt;=25,"High concentration",IF(F43&gt;=15,"Watch","")))</f>
        <v/>
      </c>
      <c r="H43" s="10"/>
      <c r="I43" s="10"/>
    </row>
    <row r="44" customFormat="false" ht="15" hidden="false" customHeight="false" outlineLevel="0" collapsed="false">
      <c r="A44" s="10"/>
      <c r="B44" s="10"/>
      <c r="C44" s="10"/>
      <c r="D44" s="10"/>
      <c r="E44" s="10"/>
      <c r="F44" s="17" t="str">
        <f aca="false">IF($A44="","",SUMPRODUCT(--ISNUMBER(SEARCH($A44,'Phase 1 Register'!$W$5:$W$137))))</f>
        <v/>
      </c>
      <c r="G44" s="17" t="str">
        <f aca="false">IF(F44="","",IF(F44&gt;=25,"High concentration",IF(F44&gt;=15,"Watch","")))</f>
        <v/>
      </c>
      <c r="H44" s="10"/>
      <c r="I44" s="10"/>
    </row>
    <row r="45" customFormat="false" ht="15" hidden="false" customHeight="false" outlineLevel="0" collapsed="false">
      <c r="A45" s="10"/>
      <c r="B45" s="10"/>
      <c r="C45" s="10"/>
      <c r="D45" s="10"/>
      <c r="E45" s="10"/>
      <c r="F45" s="17" t="str">
        <f aca="false">IF($A45="","",SUMPRODUCT(--ISNUMBER(SEARCH($A45,'Phase 1 Register'!$W$5:$W$137))))</f>
        <v/>
      </c>
      <c r="G45" s="17" t="str">
        <f aca="false">IF(F45="","",IF(F45&gt;=25,"High concentration",IF(F45&gt;=15,"Watch","")))</f>
        <v/>
      </c>
      <c r="H45" s="10"/>
      <c r="I45" s="10"/>
    </row>
  </sheetData>
  <dataValidations count="2">
    <dataValidation allowBlank="true" errorStyle="stop" operator="between" showDropDown="false" showErrorMessage="false" showInputMessage="false" sqref="H6:H45" type="list">
      <formula1>"Yes,No"</formula1>
      <formula2>0</formula2>
    </dataValidation>
    <dataValidation allowBlank="true" errorStyle="stop" operator="between" showDropDown="false" showErrorMessage="false" showInputMessage="false" sqref="C6:C45" type="list">
      <formula1>Lists!$J$3:$J$12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46"/>
  </cols>
  <sheetData>
    <row r="1" customFormat="false" ht="17.35" hidden="false" customHeight="false" outlineLevel="0" collapsed="false">
      <c r="A1" s="1" t="s">
        <v>751</v>
      </c>
    </row>
    <row r="2" customFormat="false" ht="15" hidden="false" customHeight="false" outlineLevel="0" collapsed="false">
      <c r="A2" s="7" t="s">
        <v>752</v>
      </c>
    </row>
    <row r="4" customFormat="false" ht="43.5" hidden="false" customHeight="true" outlineLevel="0" collapsed="false">
      <c r="A4" s="8" t="s">
        <v>753</v>
      </c>
      <c r="B4" s="8" t="s">
        <v>705</v>
      </c>
      <c r="C4" s="8" t="s">
        <v>754</v>
      </c>
      <c r="D4" s="8" t="s">
        <v>755</v>
      </c>
      <c r="E4" s="8" t="s">
        <v>756</v>
      </c>
    </row>
    <row r="5" customFormat="false" ht="57.75" hidden="false" customHeight="true" outlineLevel="0" collapsed="false">
      <c r="A5" s="19" t="s">
        <v>706</v>
      </c>
      <c r="B5" s="19" t="n">
        <v>0</v>
      </c>
      <c r="C5" s="19" t="s">
        <v>757</v>
      </c>
      <c r="D5" s="19" t="s">
        <v>758</v>
      </c>
      <c r="E5" s="19" t="s">
        <v>759</v>
      </c>
    </row>
    <row r="6" customFormat="false" ht="57.75" hidden="false" customHeight="true" outlineLevel="0" collapsed="false">
      <c r="A6" s="19" t="s">
        <v>711</v>
      </c>
      <c r="B6" s="19" t="n">
        <v>1</v>
      </c>
      <c r="C6" s="19" t="s">
        <v>760</v>
      </c>
      <c r="D6" s="19" t="s">
        <v>761</v>
      </c>
      <c r="E6" s="19" t="s">
        <v>762</v>
      </c>
    </row>
    <row r="7" customFormat="false" ht="57.75" hidden="false" customHeight="true" outlineLevel="0" collapsed="false">
      <c r="A7" s="19" t="s">
        <v>55</v>
      </c>
      <c r="B7" s="19" t="n">
        <v>2</v>
      </c>
      <c r="C7" s="19" t="s">
        <v>763</v>
      </c>
      <c r="D7" s="19" t="s">
        <v>764</v>
      </c>
      <c r="E7" s="19" t="s">
        <v>765</v>
      </c>
    </row>
    <row r="8" customFormat="false" ht="57.75" hidden="false" customHeight="true" outlineLevel="0" collapsed="false">
      <c r="A8" s="19" t="s">
        <v>718</v>
      </c>
      <c r="B8" s="19" t="n">
        <v>3</v>
      </c>
      <c r="C8" s="19" t="s">
        <v>766</v>
      </c>
      <c r="D8" s="19" t="s">
        <v>767</v>
      </c>
      <c r="E8" s="19" t="s">
        <v>768</v>
      </c>
    </row>
    <row r="9" customFormat="false" ht="57.75" hidden="false" customHeight="true" outlineLevel="0" collapsed="false">
      <c r="A9" s="19" t="s">
        <v>723</v>
      </c>
      <c r="B9" s="19" t="n">
        <v>4</v>
      </c>
      <c r="C9" s="19" t="s">
        <v>769</v>
      </c>
      <c r="D9" s="19" t="s">
        <v>770</v>
      </c>
      <c r="E9" s="19" t="s">
        <v>771</v>
      </c>
    </row>
    <row r="11" customFormat="false" ht="15" hidden="false" customHeight="false" outlineLevel="0" collapsed="false">
      <c r="A11" s="2" t="s">
        <v>772</v>
      </c>
    </row>
    <row r="12" customFormat="false" ht="30" hidden="false" customHeight="true" outlineLevel="0" collapsed="false">
      <c r="A12" s="15" t="s">
        <v>753</v>
      </c>
      <c r="B12" s="15" t="s">
        <v>705</v>
      </c>
      <c r="C12" s="15" t="s">
        <v>773</v>
      </c>
      <c r="D12" s="15" t="s">
        <v>774</v>
      </c>
      <c r="E12" s="15" t="s">
        <v>775</v>
      </c>
    </row>
    <row r="13" customFormat="false" ht="48" hidden="false" customHeight="true" outlineLevel="0" collapsed="false">
      <c r="A13" s="19" t="s">
        <v>709</v>
      </c>
      <c r="B13" s="19" t="n">
        <v>0</v>
      </c>
      <c r="C13" s="19" t="s">
        <v>776</v>
      </c>
      <c r="D13" s="19" t="s">
        <v>777</v>
      </c>
      <c r="E13" s="19" t="s">
        <v>778</v>
      </c>
    </row>
    <row r="14" customFormat="false" ht="48" hidden="false" customHeight="true" outlineLevel="0" collapsed="false">
      <c r="A14" s="19" t="s">
        <v>713</v>
      </c>
      <c r="B14" s="19" t="n">
        <v>1</v>
      </c>
      <c r="C14" s="19" t="s">
        <v>779</v>
      </c>
      <c r="D14" s="19" t="s">
        <v>780</v>
      </c>
      <c r="E14" s="19" t="s">
        <v>781</v>
      </c>
    </row>
    <row r="15" customFormat="false" ht="48" hidden="false" customHeight="true" outlineLevel="0" collapsed="false">
      <c r="A15" s="19" t="s">
        <v>717</v>
      </c>
      <c r="B15" s="19" t="n">
        <v>2</v>
      </c>
      <c r="C15" s="19" t="s">
        <v>782</v>
      </c>
      <c r="D15" s="19" t="s">
        <v>783</v>
      </c>
      <c r="E15" s="19" t="s">
        <v>784</v>
      </c>
    </row>
    <row r="16" customFormat="false" ht="48" hidden="false" customHeight="true" outlineLevel="0" collapsed="false">
      <c r="A16" s="19" t="s">
        <v>721</v>
      </c>
      <c r="B16" s="19" t="n">
        <v>3</v>
      </c>
      <c r="C16" s="19" t="s">
        <v>785</v>
      </c>
      <c r="D16" s="19" t="s">
        <v>786</v>
      </c>
      <c r="E16" s="19" t="s">
        <v>758</v>
      </c>
    </row>
    <row r="18" customFormat="false" ht="15" hidden="false" customHeight="false" outlineLevel="0" collapsed="false">
      <c r="A18" s="2" t="s">
        <v>787</v>
      </c>
    </row>
    <row r="19" customFormat="false" ht="30" hidden="false" customHeight="true" outlineLevel="0" collapsed="false">
      <c r="A19" s="3" t="s">
        <v>788</v>
      </c>
      <c r="B19" s="3"/>
      <c r="C19" s="3"/>
      <c r="D19" s="3"/>
      <c r="E19" s="3"/>
    </row>
    <row r="20" customFormat="false" ht="30" hidden="false" customHeight="true" outlineLevel="0" collapsed="false">
      <c r="A20" s="3" t="s">
        <v>789</v>
      </c>
      <c r="B20" s="3"/>
      <c r="C20" s="3"/>
      <c r="D20" s="3"/>
      <c r="E20" s="3"/>
    </row>
    <row r="21" customFormat="false" ht="30" hidden="false" customHeight="true" outlineLevel="0" collapsed="false">
      <c r="A21" s="3" t="s">
        <v>790</v>
      </c>
      <c r="B21" s="3"/>
      <c r="C21" s="3"/>
      <c r="D21" s="3"/>
      <c r="E21" s="3"/>
    </row>
    <row r="22" customFormat="false" ht="30" hidden="false" customHeight="true" outlineLevel="0" collapsed="false">
      <c r="A22" s="3" t="s">
        <v>791</v>
      </c>
      <c r="B22" s="3"/>
      <c r="C22" s="3"/>
      <c r="D22" s="3"/>
      <c r="E22" s="3"/>
    </row>
    <row r="23" customFormat="false" ht="30" hidden="false" customHeight="true" outlineLevel="0" collapsed="false">
      <c r="A23" s="3" t="s">
        <v>792</v>
      </c>
      <c r="B23" s="3"/>
      <c r="C23" s="3"/>
      <c r="D23" s="3"/>
      <c r="E23" s="3"/>
    </row>
    <row r="25" customFormat="false" ht="15" hidden="false" customHeight="false" outlineLevel="0" collapsed="false">
      <c r="A25" s="2" t="s">
        <v>793</v>
      </c>
    </row>
    <row r="26" customFormat="false" ht="30" hidden="false" customHeight="true" outlineLevel="0" collapsed="false">
      <c r="A26" s="3" t="s">
        <v>794</v>
      </c>
      <c r="B26" s="3"/>
      <c r="C26" s="3"/>
      <c r="D26" s="3"/>
      <c r="E26" s="3"/>
    </row>
    <row r="27" customFormat="false" ht="30" hidden="false" customHeight="true" outlineLevel="0" collapsed="false">
      <c r="A27" s="3" t="s">
        <v>795</v>
      </c>
      <c r="B27" s="3"/>
      <c r="C27" s="3"/>
      <c r="D27" s="3"/>
      <c r="E27" s="3"/>
    </row>
    <row r="28" customFormat="false" ht="30" hidden="false" customHeight="true" outlineLevel="0" collapsed="false">
      <c r="A28" s="3" t="s">
        <v>796</v>
      </c>
      <c r="B28" s="3"/>
      <c r="C28" s="3"/>
      <c r="D28" s="3"/>
      <c r="E28" s="3"/>
    </row>
    <row r="29" customFormat="false" ht="30" hidden="false" customHeight="true" outlineLevel="0" collapsed="false">
      <c r="A29" s="3" t="s">
        <v>797</v>
      </c>
      <c r="B29" s="3"/>
      <c r="C29" s="3"/>
      <c r="D29" s="3"/>
      <c r="E29" s="3"/>
    </row>
    <row r="30" customFormat="false" ht="30" hidden="false" customHeight="true" outlineLevel="0" collapsed="false">
      <c r="A30" s="3" t="s">
        <v>798</v>
      </c>
      <c r="B30" s="3"/>
      <c r="C30" s="3"/>
      <c r="D30" s="3"/>
      <c r="E30" s="3"/>
    </row>
    <row r="32" customFormat="false" ht="15" hidden="false" customHeight="false" outlineLevel="0" collapsed="false">
      <c r="A32" s="2" t="s">
        <v>799</v>
      </c>
    </row>
    <row r="33" customFormat="false" ht="24" hidden="false" customHeight="true" outlineLevel="0" collapsed="false">
      <c r="A33" s="4" t="s">
        <v>800</v>
      </c>
      <c r="B33" s="4" t="s">
        <v>801</v>
      </c>
      <c r="C33" s="4" t="s">
        <v>802</v>
      </c>
    </row>
    <row r="34" customFormat="false" ht="39.75" hidden="false" customHeight="true" outlineLevel="0" collapsed="false">
      <c r="A34" s="19" t="s">
        <v>707</v>
      </c>
      <c r="B34" s="19" t="s">
        <v>803</v>
      </c>
      <c r="C34" s="19" t="s">
        <v>804</v>
      </c>
    </row>
    <row r="35" customFormat="false" ht="39.75" hidden="false" customHeight="true" outlineLevel="0" collapsed="false">
      <c r="A35" s="19" t="s">
        <v>56</v>
      </c>
      <c r="B35" s="19" t="s">
        <v>805</v>
      </c>
      <c r="C35" s="19" t="s">
        <v>804</v>
      </c>
    </row>
    <row r="36" customFormat="false" ht="39.75" hidden="false" customHeight="true" outlineLevel="0" collapsed="false">
      <c r="A36" s="19" t="s">
        <v>715</v>
      </c>
      <c r="B36" s="19" t="s">
        <v>806</v>
      </c>
      <c r="C36" s="19" t="s">
        <v>807</v>
      </c>
    </row>
    <row r="37" customFormat="false" ht="39.75" hidden="false" customHeight="true" outlineLevel="0" collapsed="false">
      <c r="A37" s="19" t="s">
        <v>719</v>
      </c>
      <c r="B37" s="19" t="s">
        <v>808</v>
      </c>
      <c r="C37" s="19" t="s">
        <v>809</v>
      </c>
    </row>
    <row r="38" customFormat="false" ht="39.75" hidden="false" customHeight="true" outlineLevel="0" collapsed="false">
      <c r="A38" s="19" t="s">
        <v>724</v>
      </c>
      <c r="B38" s="19" t="s">
        <v>810</v>
      </c>
      <c r="C38" s="19" t="s">
        <v>804</v>
      </c>
    </row>
  </sheetData>
  <mergeCells count="10">
    <mergeCell ref="A19:E19"/>
    <mergeCell ref="A20:E20"/>
    <mergeCell ref="A21:E21"/>
    <mergeCell ref="A22:E22"/>
    <mergeCell ref="A23:E23"/>
    <mergeCell ref="A26:E26"/>
    <mergeCell ref="A27:E27"/>
    <mergeCell ref="A28:E28"/>
    <mergeCell ref="A29:E29"/>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7"/>
  </cols>
  <sheetData>
    <row r="1" customFormat="false" ht="17.35" hidden="false" customHeight="false" outlineLevel="0" collapsed="false">
      <c r="A1" s="1" t="s">
        <v>811</v>
      </c>
    </row>
    <row r="2" customFormat="false" ht="15" hidden="false" customHeight="false" outlineLevel="0" collapsed="false">
      <c r="A2" s="7" t="s">
        <v>812</v>
      </c>
    </row>
    <row r="4" customFormat="false" ht="15" hidden="false" customHeight="false" outlineLevel="0" collapsed="false">
      <c r="A4" s="2" t="s">
        <v>813</v>
      </c>
    </row>
    <row r="5" customFormat="false" ht="18" hidden="false" customHeight="true" outlineLevel="0" collapsed="false">
      <c r="A5" s="4" t="s">
        <v>814</v>
      </c>
      <c r="B5" s="4" t="s">
        <v>815</v>
      </c>
    </row>
    <row r="6" customFormat="false" ht="15" hidden="false" customHeight="false" outlineLevel="0" collapsed="false">
      <c r="A6" s="19" t="s">
        <v>816</v>
      </c>
      <c r="B6" s="20" t="n">
        <f aca="false">COUNTA('Phase 1 Register'!$A$5:$A$137)</f>
        <v>133</v>
      </c>
    </row>
    <row r="7" customFormat="false" ht="15" hidden="false" customHeight="false" outlineLevel="0" collapsed="false">
      <c r="A7" s="19" t="s">
        <v>817</v>
      </c>
      <c r="B7" s="20" t="n">
        <f aca="false">COUNTIF('Phase 1 Register'!$Q$5:$Q$137,"No")</f>
        <v>44</v>
      </c>
    </row>
    <row r="8" customFormat="false" ht="15" hidden="false" customHeight="false" outlineLevel="0" collapsed="false">
      <c r="A8" s="19" t="s">
        <v>818</v>
      </c>
      <c r="B8" s="20" t="n">
        <f aca="false">COUNTIF('Phase 1 Register'!$Q$5:$Q$137,"Yes")</f>
        <v>89</v>
      </c>
    </row>
    <row r="9" customFormat="false" ht="15" hidden="false" customHeight="false" outlineLevel="0" collapsed="false">
      <c r="A9" s="19" t="s">
        <v>819</v>
      </c>
      <c r="B9" s="20" t="n">
        <f aca="false">COUNTA('Phase 1 Register'!$AL$5:$AL$137)-COUNTIF('Phase 1 Register'!$AL$5:$AL$137,"Not assessed")</f>
        <v>0</v>
      </c>
    </row>
    <row r="10" customFormat="false" ht="15" hidden="false" customHeight="false" outlineLevel="0" collapsed="false">
      <c r="A10" s="19" t="s">
        <v>820</v>
      </c>
      <c r="B10" s="20" t="n">
        <f aca="false">COUNTA('Phase 1 Register'!$A$5:$A$137)-COUNTA('Phase 1 Register'!$AL$5:$AL$137)+COUNTIF('Phase 1 Register'!$AL$5:$AL$137,"Not assessed")</f>
        <v>133</v>
      </c>
    </row>
    <row r="11" customFormat="false" ht="15" hidden="false" customHeight="false" outlineLevel="0" collapsed="false">
      <c r="A11" s="19" t="s">
        <v>821</v>
      </c>
      <c r="B11" s="21" t="n">
        <f aca="false">IFERROR((COUNTA('Phase 1 Register'!$AL$5:$AL$137)-COUNTIF('Phase 1 Register'!$AL$5:$AL$137,"Not assessed"))/COUNTA('Phase 1 Register'!$A$5:$A$137),0)</f>
        <v>0</v>
      </c>
    </row>
    <row r="13" customFormat="false" ht="15" hidden="false" customHeight="false" outlineLevel="0" collapsed="false">
      <c r="A13" s="2" t="s">
        <v>822</v>
      </c>
    </row>
    <row r="14" customFormat="false" ht="18" hidden="false" customHeight="true" outlineLevel="0" collapsed="false">
      <c r="A14" s="15" t="s">
        <v>814</v>
      </c>
      <c r="B14" s="15" t="s">
        <v>815</v>
      </c>
    </row>
    <row r="15" customFormat="false" ht="15" hidden="false" customHeight="false" outlineLevel="0" collapsed="false">
      <c r="A15" s="19" t="s">
        <v>823</v>
      </c>
      <c r="B15" s="20" t="n">
        <f aca="false">COUNTA('Phase 1 Register'!$A$5:$A$137)-COUNTIF('Phase 1 Register'!$X$5:$X$137,"&gt;0")</f>
        <v>133</v>
      </c>
    </row>
    <row r="16" customFormat="false" ht="15" hidden="false" customHeight="false" outlineLevel="0" collapsed="false">
      <c r="A16" s="19" t="s">
        <v>824</v>
      </c>
      <c r="B16" s="20" t="n">
        <f aca="false">COUNTIF('Phase 1 Register'!$Q$5:$Q$137,"No")-COUNTIFS('Phase 1 Register'!$Q$5:$Q$137,"No",'Phase 1 Register'!$X$5:$X$137,"&gt;0")</f>
        <v>44</v>
      </c>
    </row>
    <row r="17" customFormat="false" ht="15" hidden="false" customHeight="false" outlineLevel="0" collapsed="false">
      <c r="A17" s="19" t="s">
        <v>825</v>
      </c>
      <c r="B17" s="20" t="n">
        <f aca="false">COUNTIF('Phase 1 Register'!$X$5:$X$137,1)</f>
        <v>0</v>
      </c>
    </row>
    <row r="18" customFormat="false" ht="15" hidden="false" customHeight="false" outlineLevel="0" collapsed="false">
      <c r="A18" s="19" t="s">
        <v>824</v>
      </c>
      <c r="B18" s="20" t="n">
        <f aca="false">COUNTIFS('Phase 1 Register'!$Q$5:$Q$137,"No",'Phase 1 Register'!$X$5:$X$137,1)</f>
        <v>0</v>
      </c>
    </row>
    <row r="19" customFormat="false" ht="15" hidden="false" customHeight="false" outlineLevel="0" collapsed="false">
      <c r="A19" s="19" t="s">
        <v>826</v>
      </c>
      <c r="B19" s="20" t="n">
        <f aca="false">COUNTIFS('Phase 1 Register'!$X$5:$X$137,"&gt;0",'Phase 1 Register'!$Z$5:$Z$137,"&lt;&gt;Yes")</f>
        <v>0</v>
      </c>
    </row>
    <row r="20" customFormat="false" ht="15" hidden="false" customHeight="false" outlineLevel="0" collapsed="false">
      <c r="A20" s="19" t="s">
        <v>827</v>
      </c>
      <c r="B20" s="20" t="n">
        <f aca="false">COUNTIFS('Phase 1 Register'!$AD$5:$AD$137,"&gt;=3",'Phase 1 Register'!$X$5:$X$137,"")</f>
        <v>0</v>
      </c>
    </row>
    <row r="22" customFormat="false" ht="15" hidden="false" customHeight="false" outlineLevel="0" collapsed="false">
      <c r="A22" s="2" t="s">
        <v>828</v>
      </c>
    </row>
    <row r="23" customFormat="false" ht="18" hidden="false" customHeight="true" outlineLevel="0" collapsed="false">
      <c r="A23" s="4" t="s">
        <v>814</v>
      </c>
      <c r="B23" s="4" t="s">
        <v>815</v>
      </c>
    </row>
    <row r="24" customFormat="false" ht="15" hidden="false" customHeight="false" outlineLevel="0" collapsed="false">
      <c r="A24" s="19" t="s">
        <v>829</v>
      </c>
      <c r="B24" s="20" t="n">
        <f aca="false">COUNTIF('Phase 1 Register'!$Q$5:$Q$137,"No")-COUNTIFS('Phase 1 Register'!$Q$5:$Q$137,"No",'Phase 1 Register'!$AD$5:$AD$137,"&gt;=3")</f>
        <v>44</v>
      </c>
    </row>
    <row r="25" customFormat="false" ht="15" hidden="false" customHeight="false" outlineLevel="0" collapsed="false">
      <c r="A25" s="19" t="s">
        <v>830</v>
      </c>
      <c r="B25" s="20" t="n">
        <f aca="false">COUNTIFS('Phase 1 Register'!$Q$5:$Q$137,"No",'Phase 1 Register'!$AD$5:$AD$137,"&lt;3",'Phase 1 Register'!$AD$5:$AD$137,"&lt;&gt;")</f>
        <v>0</v>
      </c>
    </row>
    <row r="26" customFormat="false" ht="15" hidden="false" customHeight="false" outlineLevel="0" collapsed="false">
      <c r="A26" s="19" t="s">
        <v>831</v>
      </c>
      <c r="B26" s="20" t="n">
        <f aca="false">COUNTIF('Phase 1 Register'!$Q$5:$Q$137,"No")-COUNTIFS('Phase 1 Register'!$Q$5:$Q$137,"No",'Phase 1 Register'!$AC$5:$AC$137,"&lt;&gt;")</f>
        <v>44</v>
      </c>
    </row>
    <row r="27" customFormat="false" ht="15" hidden="false" customHeight="false" outlineLevel="0" collapsed="false">
      <c r="A27" s="19" t="s">
        <v>832</v>
      </c>
      <c r="B27" s="20" t="n">
        <f aca="false">COUNTIFS('Phase 1 Register'!$Q$5:$Q$137,"No",'Phase 1 Register'!$AL$5:$AL$137,"Gap - recommend tailoring")</f>
        <v>0</v>
      </c>
    </row>
    <row r="28" customFormat="false" ht="15" hidden="false" customHeight="false" outlineLevel="0" collapsed="false">
      <c r="A28" s="19" t="s">
        <v>833</v>
      </c>
      <c r="B28" s="20" t="n">
        <f aca="false">COUNTIFS('Phase 1 Register'!$AN$5:$AN$137,"&lt;&gt;OK",'Phase 1 Register'!$AN$5:$AN$137,"&lt;&gt;Not assessed")</f>
        <v>0</v>
      </c>
    </row>
    <row r="30" customFormat="false" ht="15" hidden="false" customHeight="false" outlineLevel="0" collapsed="false">
      <c r="A30" s="2" t="s">
        <v>834</v>
      </c>
    </row>
    <row r="31" customFormat="false" ht="18" hidden="false" customHeight="true" outlineLevel="0" collapsed="false">
      <c r="A31" s="15" t="s">
        <v>814</v>
      </c>
      <c r="B31" s="15" t="s">
        <v>815</v>
      </c>
    </row>
    <row r="32" customFormat="false" ht="15" hidden="false" customHeight="false" outlineLevel="0" collapsed="false">
      <c r="A32" s="19" t="s">
        <v>721</v>
      </c>
      <c r="B32" s="20" t="n">
        <f aca="false">COUNTIF('Phase 1 Register'!$AA$5:$AA$137,"Staffed and credentialed")</f>
        <v>0</v>
      </c>
    </row>
    <row r="33" customFormat="false" ht="15" hidden="false" customHeight="false" outlineLevel="0" collapsed="false">
      <c r="A33" s="19" t="s">
        <v>717</v>
      </c>
      <c r="B33" s="20" t="n">
        <f aca="false">COUNTIF('Phase 1 Register'!$AA$5:$AA$137,"Staffed, credential gap")</f>
        <v>0</v>
      </c>
    </row>
    <row r="34" customFormat="false" ht="15" hidden="false" customHeight="false" outlineLevel="0" collapsed="false">
      <c r="A34" s="19" t="s">
        <v>713</v>
      </c>
      <c r="B34" s="20" t="n">
        <f aca="false">COUNTIF('Phase 1 Register'!$AA$5:$AA$137,"Single point")</f>
        <v>0</v>
      </c>
    </row>
    <row r="35" customFormat="false" ht="15" hidden="false" customHeight="false" outlineLevel="0" collapsed="false">
      <c r="A35" s="19" t="s">
        <v>709</v>
      </c>
      <c r="B35" s="20" t="n">
        <f aca="false">COUNTIF('Phase 1 Register'!$AA$5:$AA$137,"Unassigned")</f>
        <v>0</v>
      </c>
    </row>
    <row r="36" customFormat="false" ht="15" hidden="false" customHeight="false" outlineLevel="0" collapsed="false">
      <c r="A36" s="19" t="s">
        <v>835</v>
      </c>
      <c r="B36" s="20" t="n">
        <f aca="false">COUNTA('Phase 1 Register'!$A$5:$A$137)-COUNT('Phase 1 Register'!$X$5:$X$137)</f>
        <v>133</v>
      </c>
    </row>
    <row r="38" customFormat="false" ht="15" hidden="false" customHeight="false" outlineLevel="0" collapsed="false">
      <c r="A38" s="2" t="s">
        <v>836</v>
      </c>
    </row>
    <row r="39" customFormat="false" ht="18" hidden="false" customHeight="true" outlineLevel="0" collapsed="false">
      <c r="A39" s="4" t="s">
        <v>814</v>
      </c>
      <c r="B39" s="4" t="s">
        <v>815</v>
      </c>
    </row>
    <row r="40" customFormat="false" ht="15" hidden="false" customHeight="false" outlineLevel="0" collapsed="false">
      <c r="A40" s="19" t="s">
        <v>723</v>
      </c>
      <c r="B40" s="20" t="n">
        <f aca="false">COUNTIF('Phase 1 Register'!$AC$5:$AC$137,"Effective")</f>
        <v>0</v>
      </c>
    </row>
    <row r="41" customFormat="false" ht="15" hidden="false" customHeight="false" outlineLevel="0" collapsed="false">
      <c r="A41" s="19" t="s">
        <v>718</v>
      </c>
      <c r="B41" s="20" t="n">
        <f aca="false">COUNTIF('Phase 1 Register'!$AC$5:$AC$137,"Operating")</f>
        <v>0</v>
      </c>
    </row>
    <row r="42" customFormat="false" ht="15" hidden="false" customHeight="false" outlineLevel="0" collapsed="false">
      <c r="A42" s="19" t="s">
        <v>55</v>
      </c>
      <c r="B42" s="20" t="n">
        <f aca="false">COUNTIF('Phase 1 Register'!$AC$5:$AC$137,"Deployed")</f>
        <v>0</v>
      </c>
    </row>
    <row r="43" customFormat="false" ht="15" hidden="false" customHeight="false" outlineLevel="0" collapsed="false">
      <c r="A43" s="19" t="s">
        <v>711</v>
      </c>
      <c r="B43" s="20" t="n">
        <f aca="false">COUNTIF('Phase 1 Register'!$AC$5:$AC$137,"Documented")</f>
        <v>0</v>
      </c>
    </row>
    <row r="44" customFormat="false" ht="15" hidden="false" customHeight="false" outlineLevel="0" collapsed="false">
      <c r="A44" s="19" t="s">
        <v>706</v>
      </c>
      <c r="B44" s="20" t="n">
        <f aca="false">COUNTIF('Phase 1 Register'!$AC$5:$AC$137,"Not demonstrated")</f>
        <v>0</v>
      </c>
    </row>
    <row r="45" customFormat="false" ht="15" hidden="false" customHeight="false" outlineLevel="0" collapsed="false">
      <c r="A45" s="19" t="s">
        <v>837</v>
      </c>
      <c r="B45" s="20" t="n">
        <f aca="false">COUNTBLANK('Phase 1 Register'!$AC$5:$AC$137)</f>
        <v>133</v>
      </c>
    </row>
    <row r="47" customFormat="false" ht="15" hidden="false" customHeight="false" outlineLevel="0" collapsed="false">
      <c r="A47" s="2" t="s">
        <v>838</v>
      </c>
    </row>
    <row r="48" customFormat="false" ht="18" hidden="false" customHeight="true" outlineLevel="0" collapsed="false">
      <c r="A48" s="4" t="s">
        <v>814</v>
      </c>
      <c r="B48" s="4" t="s">
        <v>815</v>
      </c>
    </row>
    <row r="49" customFormat="false" ht="15" hidden="false" customHeight="false" outlineLevel="0" collapsed="false">
      <c r="A49" s="19" t="s">
        <v>707</v>
      </c>
      <c r="B49" s="20" t="n">
        <f aca="false">COUNTIF('Phase 1 Register'!$AL$5:$AL$137,"Demonstrated")</f>
        <v>0</v>
      </c>
    </row>
    <row r="50" customFormat="false" ht="15" hidden="false" customHeight="false" outlineLevel="0" collapsed="false">
      <c r="A50" s="19" t="s">
        <v>56</v>
      </c>
      <c r="B50" s="20" t="n">
        <f aca="false">COUNTIF('Phase 1 Register'!$AL$5:$AL$137,"Gap - remediate")</f>
        <v>0</v>
      </c>
    </row>
    <row r="51" customFormat="false" ht="15" hidden="false" customHeight="false" outlineLevel="0" collapsed="false">
      <c r="A51" s="19" t="s">
        <v>715</v>
      </c>
      <c r="B51" s="20" t="n">
        <f aca="false">COUNTIF('Phase 1 Register'!$AL$5:$AL$137,"Gap - recommend tailoring")</f>
        <v>0</v>
      </c>
    </row>
    <row r="52" customFormat="false" ht="15" hidden="false" customHeight="false" outlineLevel="0" collapsed="false">
      <c r="A52" s="19" t="s">
        <v>719</v>
      </c>
      <c r="B52" s="20" t="n">
        <f aca="false">COUNTIF('Phase 1 Register'!$AL$5:$AL$137,"Gap - risk accept")</f>
        <v>0</v>
      </c>
    </row>
    <row r="54" customFormat="false" ht="15" hidden="false" customHeight="false" outlineLevel="0" collapsed="false">
      <c r="A54" s="2" t="s">
        <v>839</v>
      </c>
    </row>
    <row r="55" customFormat="false" ht="18" hidden="false" customHeight="true" outlineLevel="0" collapsed="false">
      <c r="A55" s="4" t="s">
        <v>814</v>
      </c>
      <c r="B55" s="4" t="s">
        <v>815</v>
      </c>
    </row>
    <row r="56" customFormat="false" ht="15" hidden="false" customHeight="false" outlineLevel="0" collapsed="false">
      <c r="A56" s="19" t="s">
        <v>840</v>
      </c>
      <c r="B56" s="20" t="n">
        <f aca="false">COUNTIF('Phase 1 Register'!$J$5:$J$137,"Catastrophic (1)")-COUNTIFS('Phase 1 Register'!$J$5:$J$137,"Catastrophic (1)",'Phase 1 Register'!$AD$5:$AD$137,"&gt;=3")</f>
        <v>39</v>
      </c>
    </row>
    <row r="57" customFormat="false" ht="15" hidden="false" customHeight="false" outlineLevel="0" collapsed="false">
      <c r="A57" s="19" t="s">
        <v>841</v>
      </c>
      <c r="B57" s="20" t="n">
        <f aca="false">COUNTIF('Phase 1 Register'!$J$5:$J$137,"Severe (2)")-COUNTIFS('Phase 1 Register'!$J$5:$J$137,"Severe (2)",'Phase 1 Register'!$AD$5:$AD$137,"&gt;=3")</f>
        <v>5</v>
      </c>
    </row>
    <row r="58" customFormat="false" ht="15" hidden="false" customHeight="false" outlineLevel="0" collapsed="false">
      <c r="A58" s="19" t="s">
        <v>842</v>
      </c>
      <c r="B58" s="20" t="n">
        <f aca="false">COUNTIF('Phase 1 Register'!$J$5:$J$137,"Catastrophic (1)")-COUNTIFS('Phase 1 Register'!$J$5:$J$137,"Catastrophic (1)",'Phase 1 Register'!$X$5:$X$137,"&gt;0")</f>
        <v>39</v>
      </c>
    </row>
    <row r="60" customFormat="false" ht="15" hidden="false" customHeight="false" outlineLevel="0" collapsed="false">
      <c r="A60" s="2" t="s">
        <v>843</v>
      </c>
    </row>
    <row r="61" customFormat="false" ht="22.35" hidden="false" customHeight="true" outlineLevel="0" collapsed="false">
      <c r="A61" s="22" t="s">
        <v>844</v>
      </c>
      <c r="B61" s="22"/>
      <c r="C61" s="22"/>
      <c r="D61" s="22"/>
    </row>
    <row r="62" customFormat="false" ht="27.75" hidden="false" customHeight="true" outlineLevel="0" collapsed="false">
      <c r="A62" s="15" t="s">
        <v>39</v>
      </c>
      <c r="B62" s="15" t="s">
        <v>845</v>
      </c>
      <c r="C62" s="15" t="s">
        <v>846</v>
      </c>
      <c r="D62" s="15" t="s">
        <v>847</v>
      </c>
    </row>
    <row r="63" customFormat="false" ht="15" hidden="false" customHeight="false" outlineLevel="0" collapsed="false">
      <c r="A63" s="19" t="s">
        <v>710</v>
      </c>
      <c r="B63" s="20" t="n">
        <f aca="false">COUNTIF('Phase 1 Register'!$Y$5:$Y$137,A63)</f>
        <v>0</v>
      </c>
      <c r="C63" s="20" t="n">
        <f aca="false">COUNTIFS('Phase 1 Register'!$Y$5:$Y$137,A63,'Phase 1 Register'!$Q$5:$Q$137,"No")</f>
        <v>0</v>
      </c>
      <c r="D63" s="21" t="n">
        <f aca="false">IFERROR(B63/COUNTA('Phase 1 Register'!$A$5:$A$137),0)</f>
        <v>0</v>
      </c>
    </row>
    <row r="64" customFormat="false" ht="15" hidden="false" customHeight="false" outlineLevel="0" collapsed="false">
      <c r="A64" s="19" t="s">
        <v>714</v>
      </c>
      <c r="B64" s="20" t="n">
        <f aca="false">COUNTIF('Phase 1 Register'!$Y$5:$Y$137,A64)</f>
        <v>0</v>
      </c>
      <c r="C64" s="20" t="n">
        <f aca="false">COUNTIFS('Phase 1 Register'!$Y$5:$Y$137,A64,'Phase 1 Register'!$Q$5:$Q$137,"No")</f>
        <v>0</v>
      </c>
      <c r="D64" s="21" t="n">
        <f aca="false">IFERROR(B64/COUNTA('Phase 1 Register'!$A$5:$A$137),0)</f>
        <v>0</v>
      </c>
    </row>
    <row r="65" customFormat="false" ht="15" hidden="false" customHeight="false" outlineLevel="0" collapsed="false">
      <c r="A65" s="19" t="s">
        <v>52</v>
      </c>
      <c r="B65" s="20" t="n">
        <f aca="false">COUNTIF('Phase 1 Register'!$Y$5:$Y$137,A65)</f>
        <v>0</v>
      </c>
      <c r="C65" s="20" t="n">
        <f aca="false">COUNTIFS('Phase 1 Register'!$Y$5:$Y$137,A65,'Phase 1 Register'!$Q$5:$Q$137,"No")</f>
        <v>0</v>
      </c>
      <c r="D65" s="21" t="n">
        <f aca="false">IFERROR(B65/COUNTA('Phase 1 Register'!$A$5:$A$137),0)</f>
        <v>0</v>
      </c>
    </row>
    <row r="66" customFormat="false" ht="15" hidden="false" customHeight="false" outlineLevel="0" collapsed="false">
      <c r="A66" s="19" t="s">
        <v>722</v>
      </c>
      <c r="B66" s="20" t="n">
        <f aca="false">COUNTIF('Phase 1 Register'!$Y$5:$Y$137,A66)</f>
        <v>0</v>
      </c>
      <c r="C66" s="20" t="n">
        <f aca="false">COUNTIFS('Phase 1 Register'!$Y$5:$Y$137,A66,'Phase 1 Register'!$Q$5:$Q$137,"No")</f>
        <v>0</v>
      </c>
      <c r="D66" s="21" t="n">
        <f aca="false">IFERROR(B66/COUNTA('Phase 1 Register'!$A$5:$A$137),0)</f>
        <v>0</v>
      </c>
    </row>
    <row r="67" customFormat="false" ht="15" hidden="false" customHeight="false" outlineLevel="0" collapsed="false">
      <c r="A67" s="19" t="s">
        <v>726</v>
      </c>
      <c r="B67" s="20" t="n">
        <f aca="false">COUNTIF('Phase 1 Register'!$Y$5:$Y$137,A67)</f>
        <v>0</v>
      </c>
      <c r="C67" s="20" t="n">
        <f aca="false">COUNTIFS('Phase 1 Register'!$Y$5:$Y$137,A67,'Phase 1 Register'!$Q$5:$Q$137,"No")</f>
        <v>0</v>
      </c>
      <c r="D67" s="21" t="n">
        <f aca="false">IFERROR(B67/COUNTA('Phase 1 Register'!$A$5:$A$137),0)</f>
        <v>0</v>
      </c>
    </row>
    <row r="68" customFormat="false" ht="15" hidden="false" customHeight="false" outlineLevel="0" collapsed="false">
      <c r="A68" s="19" t="s">
        <v>729</v>
      </c>
      <c r="B68" s="20" t="n">
        <f aca="false">COUNTIF('Phase 1 Register'!$Y$5:$Y$137,A68)</f>
        <v>0</v>
      </c>
      <c r="C68" s="20" t="n">
        <f aca="false">COUNTIFS('Phase 1 Register'!$Y$5:$Y$137,A68,'Phase 1 Register'!$Q$5:$Q$137,"No")</f>
        <v>0</v>
      </c>
      <c r="D68" s="21" t="n">
        <f aca="false">IFERROR(B68/COUNTA('Phase 1 Register'!$A$5:$A$137),0)</f>
        <v>0</v>
      </c>
    </row>
    <row r="69" customFormat="false" ht="15" hidden="false" customHeight="false" outlineLevel="0" collapsed="false">
      <c r="A69" s="19" t="s">
        <v>733</v>
      </c>
      <c r="B69" s="20" t="n">
        <f aca="false">COUNTIF('Phase 1 Register'!$Y$5:$Y$137,A69)</f>
        <v>0</v>
      </c>
      <c r="C69" s="20" t="n">
        <f aca="false">COUNTIFS('Phase 1 Register'!$Y$5:$Y$137,A69,'Phase 1 Register'!$Q$5:$Q$137,"No")</f>
        <v>0</v>
      </c>
      <c r="D69" s="21" t="n">
        <f aca="false">IFERROR(B69/COUNTA('Phase 1 Register'!$A$5:$A$137),0)</f>
        <v>0</v>
      </c>
    </row>
    <row r="70" customFormat="false" ht="15" hidden="false" customHeight="false" outlineLevel="0" collapsed="false">
      <c r="A70" s="19" t="s">
        <v>735</v>
      </c>
      <c r="B70" s="20" t="n">
        <f aca="false">COUNTIF('Phase 1 Register'!$Y$5:$Y$137,A70)</f>
        <v>0</v>
      </c>
      <c r="C70" s="20" t="n">
        <f aca="false">COUNTIFS('Phase 1 Register'!$Y$5:$Y$137,A70,'Phase 1 Register'!$Q$5:$Q$137,"No")</f>
        <v>0</v>
      </c>
      <c r="D70" s="21" t="n">
        <f aca="false">IFERROR(B70/COUNTA('Phase 1 Register'!$A$5:$A$137),0)</f>
        <v>0</v>
      </c>
    </row>
    <row r="71" customFormat="false" ht="15" hidden="false" customHeight="false" outlineLevel="0" collapsed="false">
      <c r="A71" s="19" t="s">
        <v>736</v>
      </c>
      <c r="B71" s="20" t="n">
        <f aca="false">COUNTIF('Phase 1 Register'!$Y$5:$Y$137,A71)</f>
        <v>0</v>
      </c>
      <c r="C71" s="20" t="n">
        <f aca="false">COUNTIFS('Phase 1 Register'!$Y$5:$Y$137,A71,'Phase 1 Register'!$Q$5:$Q$137,"No")</f>
        <v>0</v>
      </c>
      <c r="D71" s="21" t="n">
        <f aca="false">IFERROR(B71/COUNTA('Phase 1 Register'!$A$5:$A$137),0)</f>
        <v>0</v>
      </c>
    </row>
    <row r="72" customFormat="false" ht="15" hidden="false" customHeight="false" outlineLevel="0" collapsed="false">
      <c r="A72" s="19" t="s">
        <v>709</v>
      </c>
      <c r="B72" s="20" t="n">
        <f aca="false">COUNTIF('Phase 1 Register'!$Y$5:$Y$137,A72)</f>
        <v>0</v>
      </c>
      <c r="C72" s="20" t="n">
        <f aca="false">COUNTIFS('Phase 1 Register'!$Y$5:$Y$137,A72,'Phase 1 Register'!$Q$5:$Q$137,"No")</f>
        <v>0</v>
      </c>
      <c r="D72" s="21" t="n">
        <f aca="false">IFERROR(B72/COUNTA('Phase 1 Register'!$A$5:$A$137),0)</f>
        <v>0</v>
      </c>
    </row>
    <row r="73" customFormat="false" ht="15" hidden="false" customHeight="false" outlineLevel="0" collapsed="false">
      <c r="A73" s="14" t="s">
        <v>848</v>
      </c>
      <c r="B73" s="23" t="n">
        <f aca="false">COUNTA('Phase 1 Register'!$A$5:$A$137)-COUNTA('Phase 1 Register'!$Y$5:$Y$137)</f>
        <v>133</v>
      </c>
    </row>
    <row r="75" customFormat="false" ht="15" hidden="false" customHeight="false" outlineLevel="0" collapsed="false">
      <c r="A75" s="2" t="s">
        <v>849</v>
      </c>
    </row>
    <row r="76" customFormat="false" ht="30" hidden="false" customHeight="true" outlineLevel="0" collapsed="false">
      <c r="A76" s="4" t="s">
        <v>62</v>
      </c>
      <c r="B76" s="4" t="s">
        <v>850</v>
      </c>
      <c r="C76" s="4" t="s">
        <v>851</v>
      </c>
      <c r="D76" s="4" t="s">
        <v>852</v>
      </c>
      <c r="E76" s="4" t="s">
        <v>853</v>
      </c>
      <c r="F76" s="4" t="s">
        <v>854</v>
      </c>
    </row>
    <row r="77" customFormat="false" ht="15" hidden="false" customHeight="false" outlineLevel="0" collapsed="false">
      <c r="A77" s="19" t="s">
        <v>324</v>
      </c>
      <c r="B77" s="20" t="n">
        <f aca="false">COUNTIF('Phase 1 Register'!$C$5:$C$137,A77)</f>
        <v>21</v>
      </c>
      <c r="C77" s="20" t="n">
        <f aca="false">COUNTIFS('Phase 1 Register'!$C$5:$C$137,A77,'Phase 1 Register'!$AL$5:$AL$137,"&lt;&gt;")</f>
        <v>0</v>
      </c>
      <c r="D77" s="20" t="n">
        <f aca="false">COUNTIFS('Phase 1 Register'!$C$5:$C$137,A77,'Phase 1 Register'!$AD$5:$AD$137,"&gt;=3")</f>
        <v>0</v>
      </c>
      <c r="E77" s="20" t="n">
        <f aca="false">COUNTIF('Phase 1 Register'!$C$5:$C$137,A77)-COUNTIFS('Phase 1 Register'!$C$5:$C$137,A77,'Phase 1 Register'!$X$5:$X$137,"&gt;0")</f>
        <v>21</v>
      </c>
      <c r="F77" s="20" t="n">
        <f aca="false">COUNTIFS('Phase 1 Register'!$C$5:$C$137,A77,'Phase 1 Register'!$AL$5:$AL$137,"Gap*")</f>
        <v>0</v>
      </c>
    </row>
    <row r="78" customFormat="false" ht="15" hidden="false" customHeight="false" outlineLevel="0" collapsed="false">
      <c r="A78" s="19" t="s">
        <v>102</v>
      </c>
      <c r="B78" s="20" t="n">
        <f aca="false">COUNTIF('Phase 1 Register'!$C$5:$C$137,A78)</f>
        <v>43</v>
      </c>
      <c r="C78" s="20" t="n">
        <f aca="false">COUNTIFS('Phase 1 Register'!$C$5:$C$137,A78,'Phase 1 Register'!$AL$5:$AL$137,"&lt;&gt;")</f>
        <v>0</v>
      </c>
      <c r="D78" s="20" t="n">
        <f aca="false">COUNTIFS('Phase 1 Register'!$C$5:$C$137,A78,'Phase 1 Register'!$AD$5:$AD$137,"&gt;=3")</f>
        <v>0</v>
      </c>
      <c r="E78" s="20" t="n">
        <f aca="false">COUNTIF('Phase 1 Register'!$C$5:$C$137,A78)-COUNTIFS('Phase 1 Register'!$C$5:$C$137,A78,'Phase 1 Register'!$X$5:$X$137,"&gt;0")</f>
        <v>43</v>
      </c>
      <c r="F78" s="20" t="n">
        <f aca="false">COUNTIFS('Phase 1 Register'!$C$5:$C$137,A78,'Phase 1 Register'!$AL$5:$AL$137,"Gap*")</f>
        <v>0</v>
      </c>
    </row>
    <row r="79" customFormat="false" ht="15" hidden="false" customHeight="false" outlineLevel="0" collapsed="false">
      <c r="A79" s="19" t="s">
        <v>119</v>
      </c>
      <c r="B79" s="20" t="n">
        <f aca="false">COUNTIF('Phase 1 Register'!$C$5:$C$137,A79)</f>
        <v>43</v>
      </c>
      <c r="C79" s="20" t="n">
        <f aca="false">COUNTIFS('Phase 1 Register'!$C$5:$C$137,A79,'Phase 1 Register'!$AL$5:$AL$137,"&lt;&gt;")</f>
        <v>0</v>
      </c>
      <c r="D79" s="20" t="n">
        <f aca="false">COUNTIFS('Phase 1 Register'!$C$5:$C$137,A79,'Phase 1 Register'!$AD$5:$AD$137,"&gt;=3")</f>
        <v>0</v>
      </c>
      <c r="E79" s="20" t="n">
        <f aca="false">COUNTIF('Phase 1 Register'!$C$5:$C$137,A79)-COUNTIFS('Phase 1 Register'!$C$5:$C$137,A79,'Phase 1 Register'!$X$5:$X$137,"&gt;0")</f>
        <v>43</v>
      </c>
      <c r="F79" s="20" t="n">
        <f aca="false">COUNTIFS('Phase 1 Register'!$C$5:$C$137,A79,'Phase 1 Register'!$AL$5:$AL$137,"Gap*")</f>
        <v>0</v>
      </c>
    </row>
    <row r="80" customFormat="false" ht="15" hidden="false" customHeight="false" outlineLevel="0" collapsed="false">
      <c r="A80" s="19" t="s">
        <v>236</v>
      </c>
      <c r="B80" s="20" t="n">
        <f aca="false">COUNTIF('Phase 1 Register'!$C$5:$C$137,A80)</f>
        <v>26</v>
      </c>
      <c r="C80" s="20" t="n">
        <f aca="false">COUNTIFS('Phase 1 Register'!$C$5:$C$137,A80,'Phase 1 Register'!$AL$5:$AL$137,"&lt;&gt;")</f>
        <v>0</v>
      </c>
      <c r="D80" s="20" t="n">
        <f aca="false">COUNTIFS('Phase 1 Register'!$C$5:$C$137,A80,'Phase 1 Register'!$AD$5:$AD$137,"&gt;=3")</f>
        <v>0</v>
      </c>
      <c r="E80" s="20" t="n">
        <f aca="false">COUNTIF('Phase 1 Register'!$C$5:$C$137,A80)-COUNTIFS('Phase 1 Register'!$C$5:$C$137,A80,'Phase 1 Register'!$X$5:$X$137,"&gt;0")</f>
        <v>26</v>
      </c>
      <c r="F80" s="20" t="n">
        <f aca="false">COUNTIFS('Phase 1 Register'!$C$5:$C$137,A80,'Phase 1 Register'!$AL$5:$AL$137,"Gap*")</f>
        <v>0</v>
      </c>
    </row>
    <row r="82" customFormat="false" ht="15" hidden="false" customHeight="false" outlineLevel="0" collapsed="false">
      <c r="A82" s="2" t="s">
        <v>855</v>
      </c>
    </row>
    <row r="83" customFormat="false" ht="15" hidden="false" customHeight="true" outlineLevel="0" collapsed="false">
      <c r="A83" s="6" t="s">
        <v>856</v>
      </c>
      <c r="B83" s="6"/>
      <c r="C83" s="6"/>
      <c r="D83" s="6"/>
      <c r="E83" s="6"/>
      <c r="F83" s="6"/>
    </row>
    <row r="84" customFormat="false" ht="15" hidden="false" customHeight="false" outlineLevel="0" collapsed="false">
      <c r="A84" s="6"/>
      <c r="B84" s="6"/>
      <c r="C84" s="6"/>
      <c r="D84" s="6"/>
      <c r="E84" s="6"/>
      <c r="F84" s="6"/>
    </row>
    <row r="85" customFormat="false" ht="15" hidden="false" customHeight="false" outlineLevel="0" collapsed="false">
      <c r="A85" s="6"/>
      <c r="B85" s="6"/>
      <c r="C85" s="6"/>
      <c r="D85" s="6"/>
      <c r="E85" s="6"/>
      <c r="F85" s="6"/>
    </row>
  </sheetData>
  <mergeCells count="2">
    <mergeCell ref="A61:D61"/>
    <mergeCell ref="A83:F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6"/>
    <col collapsed="false" customWidth="true" hidden="false" outlineLevel="0" max="4" min="4" style="0" width="26"/>
    <col collapsed="false" customWidth="true" hidden="false" outlineLevel="0" max="5" min="5" style="0" width="20"/>
    <col collapsed="false" customWidth="true" hidden="false" outlineLevel="0" max="6" min="6" style="0" width="56"/>
    <col collapsed="false" customWidth="true" hidden="false" outlineLevel="0" max="7" min="7" style="0" width="14"/>
    <col collapsed="false" customWidth="true" hidden="false" outlineLevel="0" max="8" min="8" style="0" width="18"/>
    <col collapsed="false" customWidth="true" hidden="false" outlineLevel="0" max="9" min="9" style="0" width="34"/>
    <col collapsed="false" customWidth="true" hidden="false" outlineLevel="0" max="10" min="10" style="0" width="16"/>
    <col collapsed="false" customWidth="true" hidden="false" outlineLevel="0" max="11" min="11" style="0" width="12"/>
    <col collapsed="false" customWidth="true" hidden="false" outlineLevel="0" max="12" min="12" style="0" width="14"/>
    <col collapsed="false" customWidth="true" hidden="false" outlineLevel="0" max="13" min="13" style="0" width="13"/>
    <col collapsed="false" customWidth="true" hidden="false" outlineLevel="0" max="14" min="14" style="0" width="11"/>
    <col collapsed="false" customWidth="true" hidden="false" outlineLevel="0" max="15" min="15" style="0" width="26"/>
    <col collapsed="false" customWidth="true" hidden="false" outlineLevel="0" max="16" min="16" style="0" width="22"/>
  </cols>
  <sheetData>
    <row r="1" customFormat="false" ht="17.35" hidden="false" customHeight="false" outlineLevel="0" collapsed="false">
      <c r="A1" s="1" t="s">
        <v>857</v>
      </c>
    </row>
    <row r="2" customFormat="false" ht="15" hidden="false" customHeight="false" outlineLevel="0" collapsed="false">
      <c r="A2" s="7" t="s">
        <v>858</v>
      </c>
    </row>
    <row r="4" customFormat="false" ht="43.5" hidden="false" customHeight="true" outlineLevel="0" collapsed="false">
      <c r="A4" s="8" t="s">
        <v>859</v>
      </c>
      <c r="B4" s="8" t="s">
        <v>32</v>
      </c>
      <c r="C4" s="8" t="s">
        <v>33</v>
      </c>
      <c r="D4" s="8" t="s">
        <v>62</v>
      </c>
      <c r="E4" s="8" t="s">
        <v>860</v>
      </c>
      <c r="F4" s="8" t="s">
        <v>861</v>
      </c>
      <c r="G4" s="8" t="s">
        <v>862</v>
      </c>
      <c r="H4" s="8" t="s">
        <v>863</v>
      </c>
      <c r="I4" s="8" t="s">
        <v>864</v>
      </c>
      <c r="J4" s="8" t="s">
        <v>865</v>
      </c>
      <c r="K4" s="8" t="s">
        <v>866</v>
      </c>
      <c r="L4" s="8" t="s">
        <v>867</v>
      </c>
      <c r="M4" s="8" t="s">
        <v>868</v>
      </c>
      <c r="N4" s="8" t="s">
        <v>869</v>
      </c>
      <c r="O4" s="8" t="s">
        <v>870</v>
      </c>
      <c r="P4" s="8" t="s">
        <v>871</v>
      </c>
    </row>
    <row r="5" customFormat="false" ht="22.35" hidden="false" customHeight="false" outlineLevel="0" collapsed="false">
      <c r="A5" s="5" t="s">
        <v>872</v>
      </c>
      <c r="B5" s="5" t="s">
        <v>46</v>
      </c>
      <c r="C5" s="5" t="s">
        <v>47</v>
      </c>
      <c r="D5" s="5" t="s">
        <v>119</v>
      </c>
      <c r="E5" s="5" t="s">
        <v>873</v>
      </c>
      <c r="F5" s="5" t="s">
        <v>874</v>
      </c>
      <c r="G5" s="5" t="s">
        <v>55</v>
      </c>
      <c r="H5" s="5" t="s">
        <v>713</v>
      </c>
      <c r="I5" s="5" t="s">
        <v>875</v>
      </c>
      <c r="J5" s="5" t="s">
        <v>109</v>
      </c>
      <c r="K5" s="5" t="s">
        <v>876</v>
      </c>
      <c r="L5" s="5" t="s">
        <v>877</v>
      </c>
      <c r="M5" s="5" t="s">
        <v>878</v>
      </c>
      <c r="N5" s="5" t="s">
        <v>879</v>
      </c>
      <c r="O5" s="5"/>
      <c r="P5" s="5"/>
    </row>
    <row r="7" customFormat="false" ht="15" hidden="false" customHeight="false" outlineLevel="0" collapsed="false">
      <c r="A7" s="7" t="s">
        <v>880</v>
      </c>
    </row>
  </sheetData>
  <dataValidations count="1">
    <dataValidation allowBlank="true" errorStyle="stop" operator="between" showDropDown="false" showErrorMessage="false" showInputMessage="false" sqref="E5:E200" type="list">
      <formula1>"Execution capacity,Process gap,Tool gap,Training gap,Evidence gap,Effectiveness gap"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62"/>
    <col collapsed="false" customWidth="true" hidden="false" outlineLevel="0" max="3" min="3" style="0" width="26"/>
    <col collapsed="false" customWidth="true" hidden="false" outlineLevel="0" max="4" min="4" style="0" width="18"/>
    <col collapsed="false" customWidth="true" hidden="false" outlineLevel="0" max="5" min="5" style="0" width="14"/>
  </cols>
  <sheetData>
    <row r="1" customFormat="false" ht="17.35" hidden="false" customHeight="false" outlineLevel="0" collapsed="false">
      <c r="A1" s="1" t="s">
        <v>881</v>
      </c>
    </row>
    <row r="2" customFormat="false" ht="15" hidden="false" customHeight="false" outlineLevel="0" collapsed="false">
      <c r="A2" s="7" t="s">
        <v>882</v>
      </c>
    </row>
    <row r="4" customFormat="false" ht="43.5" hidden="false" customHeight="true" outlineLevel="0" collapsed="false">
      <c r="A4" s="8" t="s">
        <v>883</v>
      </c>
      <c r="B4" s="8" t="s">
        <v>884</v>
      </c>
      <c r="C4" s="8" t="s">
        <v>885</v>
      </c>
      <c r="D4" s="8" t="s">
        <v>867</v>
      </c>
      <c r="E4" s="8" t="s">
        <v>868</v>
      </c>
    </row>
    <row r="5" customFormat="false" ht="43.5" hidden="false" customHeight="true" outlineLevel="0" collapsed="false">
      <c r="A5" s="19" t="s">
        <v>886</v>
      </c>
      <c r="B5" s="19" t="s">
        <v>887</v>
      </c>
      <c r="C5" s="19" t="s">
        <v>888</v>
      </c>
      <c r="D5" s="10"/>
      <c r="E5" s="10"/>
    </row>
    <row r="6" customFormat="false" ht="43.5" hidden="false" customHeight="true" outlineLevel="0" collapsed="false">
      <c r="A6" s="19" t="s">
        <v>889</v>
      </c>
      <c r="B6" s="19" t="s">
        <v>890</v>
      </c>
      <c r="C6" s="19" t="s">
        <v>891</v>
      </c>
      <c r="D6" s="10"/>
      <c r="E6" s="10"/>
    </row>
    <row r="7" customFormat="false" ht="43.5" hidden="false" customHeight="true" outlineLevel="0" collapsed="false">
      <c r="A7" s="19" t="s">
        <v>892</v>
      </c>
      <c r="B7" s="19" t="s">
        <v>893</v>
      </c>
      <c r="C7" s="19" t="s">
        <v>894</v>
      </c>
      <c r="D7" s="10"/>
      <c r="E7" s="10"/>
    </row>
    <row r="8" customFormat="false" ht="43.5" hidden="false" customHeight="true" outlineLevel="0" collapsed="false">
      <c r="A8" s="19" t="s">
        <v>895</v>
      </c>
      <c r="B8" s="19" t="s">
        <v>896</v>
      </c>
      <c r="C8" s="19" t="s">
        <v>891</v>
      </c>
      <c r="D8" s="10"/>
      <c r="E8" s="10"/>
    </row>
    <row r="9" customFormat="false" ht="43.5" hidden="false" customHeight="true" outlineLevel="0" collapsed="false">
      <c r="A9" s="19" t="s">
        <v>897</v>
      </c>
      <c r="B9" s="19" t="s">
        <v>898</v>
      </c>
      <c r="C9" s="19" t="s">
        <v>891</v>
      </c>
      <c r="D9" s="10"/>
      <c r="E9" s="10"/>
    </row>
    <row r="10" customFormat="false" ht="43.5" hidden="false" customHeight="true" outlineLevel="0" collapsed="false">
      <c r="A10" s="19" t="s">
        <v>899</v>
      </c>
      <c r="B10" s="19" t="s">
        <v>900</v>
      </c>
      <c r="C10" s="19" t="s">
        <v>901</v>
      </c>
      <c r="D10" s="10"/>
      <c r="E10" s="10"/>
    </row>
    <row r="11" customFormat="false" ht="43.5" hidden="false" customHeight="true" outlineLevel="0" collapsed="false">
      <c r="A11" s="19" t="s">
        <v>902</v>
      </c>
      <c r="B11" s="19" t="s">
        <v>903</v>
      </c>
      <c r="C11" s="19" t="s">
        <v>904</v>
      </c>
      <c r="D11" s="10"/>
      <c r="E11" s="10"/>
    </row>
    <row r="12" customFormat="false" ht="43.5" hidden="false" customHeight="true" outlineLevel="0" collapsed="false">
      <c r="A12" s="19" t="s">
        <v>905</v>
      </c>
      <c r="B12" s="19" t="s">
        <v>906</v>
      </c>
      <c r="C12" s="19" t="s">
        <v>894</v>
      </c>
      <c r="D12" s="10"/>
      <c r="E12" s="10"/>
    </row>
    <row r="13" customFormat="false" ht="43.5" hidden="false" customHeight="true" outlineLevel="0" collapsed="false">
      <c r="A13" s="19" t="s">
        <v>907</v>
      </c>
      <c r="B13" s="19" t="s">
        <v>908</v>
      </c>
      <c r="C13" s="19" t="s">
        <v>909</v>
      </c>
      <c r="D13" s="10"/>
      <c r="E13" s="10"/>
    </row>
    <row r="14" customFormat="false" ht="43.5" hidden="false" customHeight="true" outlineLevel="0" collapsed="false">
      <c r="A14" s="19" t="s">
        <v>910</v>
      </c>
      <c r="B14" s="19" t="s">
        <v>911</v>
      </c>
      <c r="C14" s="19" t="s">
        <v>909</v>
      </c>
      <c r="D14" s="10"/>
      <c r="E14" s="10"/>
    </row>
    <row r="15" customFormat="false" ht="43.5" hidden="false" customHeight="true" outlineLevel="0" collapsed="false">
      <c r="A15" s="19" t="s">
        <v>912</v>
      </c>
      <c r="B15" s="19" t="s">
        <v>913</v>
      </c>
      <c r="C15" s="19" t="s">
        <v>909</v>
      </c>
      <c r="D15" s="10"/>
      <c r="E15" s="10"/>
    </row>
    <row r="16" customFormat="false" ht="43.5" hidden="false" customHeight="true" outlineLevel="0" collapsed="false">
      <c r="A16" s="19" t="s">
        <v>914</v>
      </c>
      <c r="B16" s="19" t="s">
        <v>915</v>
      </c>
      <c r="C16" s="19" t="s">
        <v>909</v>
      </c>
      <c r="D16" s="10"/>
      <c r="E16" s="10"/>
    </row>
    <row r="17" customFormat="false" ht="43.5" hidden="false" customHeight="true" outlineLevel="0" collapsed="false">
      <c r="A17" s="19" t="s">
        <v>916</v>
      </c>
      <c r="B17" s="19" t="s">
        <v>917</v>
      </c>
      <c r="C17" s="19" t="s">
        <v>918</v>
      </c>
      <c r="D17" s="10"/>
      <c r="E17" s="10"/>
    </row>
    <row r="18" customFormat="false" ht="43.5" hidden="false" customHeight="true" outlineLevel="0" collapsed="false">
      <c r="A18" s="19" t="s">
        <v>919</v>
      </c>
      <c r="B18" s="19" t="s">
        <v>920</v>
      </c>
      <c r="C18" s="19" t="s">
        <v>921</v>
      </c>
      <c r="D18" s="10"/>
      <c r="E18" s="10"/>
    </row>
    <row r="19" customFormat="false" ht="43.5" hidden="false" customHeight="true" outlineLevel="0" collapsed="false">
      <c r="A19" s="19" t="s">
        <v>922</v>
      </c>
      <c r="B19" s="19" t="s">
        <v>923</v>
      </c>
      <c r="C19" s="19" t="s">
        <v>924</v>
      </c>
      <c r="D19" s="10"/>
      <c r="E19"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2026-08-13T03:36:44Z</dcterms:created>
  <dc:creator>openpyxl</dc:creator>
  <dc:description/>
  <dc:language>en-US</dc:language>
  <cp:lastModifiedBy/>
  <dcterms:modified xsi:type="dcterms:W3CDTF">2026-08-13T03:36:45Z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