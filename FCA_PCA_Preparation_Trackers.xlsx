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FCA Prep Tracker" sheetId="2" state="visible" r:id="rId4"/>
    <sheet name="PCA Prep Tracker" sheetId="3" state="visible" r:id="rId5"/>
  </sheets>
  <definedNames>
    <definedName function="false" hidden="true" localSheetId="1" name="_xlnm._FilterDatabase" vbProcedure="false">'FCA Prep Tracker'!$A$6:$J$6</definedName>
    <definedName function="false" hidden="true" localSheetId="2" name="_xlnm._FilterDatabase" vbProcedure="false">'PCA Prep Tracker'!$A$6:$J$6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<sst xmlns="http://schemas.openxmlformats.org/spreadsheetml/2006/main" count="264" uniqueCount="152">
  <si>
    <t xml:space="preserve">FCA / PCA Preparation Trackers — Template</t>
  </si>
  <si>
    <t xml:space="preserve">Working preparation trackers for Functional and Physical Configuration Audits, implementing [XXX-CM-PROC-002] §5.2–5.4 and Appendices A/B. One workbook per audit event (copy the file; complete the header block). CM owns the tracker; providers own their rows.</t>
  </si>
  <si>
    <t xml:space="preserve">How to use</t>
  </si>
  <si>
    <t xml:space="preserve">•  Complete the header block on each tracker sheet: CI, audit date, and audit type (Acquirer-chaired or internally initiated per PROC-002 §5.2.1). Item Due Dates compute from the Audit Date minus the Lead (days) column — adjust leads to the program's planning conference timeline (normally 30–60 days).</t>
  </si>
  <si>
    <t xml:space="preserve">•  Each row is one required input: entry criterion, pre-audit submittal, or data package item, drawn from PROC-002 Appendices A/B. Set Status as items arrive; record the Location/Reference (document number, PLM link, room) so the audit team can find it.</t>
  </si>
  <si>
    <t xml:space="preserve">•  Applicability: N/A rows (e.g., CSCI-only items for a hardware CI, supplier-role scope per the Flowdown Matrix R-17/R-18) are marked Status = N/A, not deleted — the record shows they were considered.</t>
  </si>
  <si>
    <t xml:space="preserve">•  Supplier-conducted or supplier-supported audits: assign Provider = Supplier for their items per their work-type role ([XXX-CM-GUIDE-002] §3.2) and cite the SDRL (S-10–S-12). The tracker is shareable with the supplier as the joint preparation punch list.</t>
  </si>
  <si>
    <t xml:space="preserve">•  Readiness % at the top of each sheet computes from Status (Complete + N/A over total). Entry criteria rows must ALL be Complete or N/A before the audit convenes — readiness below 100% on entry criteria at audit start is a schedule conversation, not a footnote.</t>
  </si>
  <si>
    <t xml:space="preserve">•  Enter dates as date values, not text — the Due Date and overdue logic depend on it.</t>
  </si>
  <si>
    <t xml:space="preserve">FCA Preparation Tracker</t>
  </si>
  <si>
    <t xml:space="preserve">CI / CSCI:</t>
  </si>
  <si>
    <t xml:space="preserve">CI ID:</t>
  </si>
  <si>
    <t xml:space="preserve">Spec No./Rev:</t>
  </si>
  <si>
    <t xml:space="preserve">Audit Date:</t>
  </si>
  <si>
    <t xml:space="preserve">Audit Type:</t>
  </si>
  <si>
    <t xml:space="preserve">Co-chairs:</t>
  </si>
  <si>
    <t xml:space="preserve">Prepared by (CM):</t>
  </si>
  <si>
    <t xml:space="preserve">Readiness:</t>
  </si>
  <si>
    <t xml:space="preserve">Item ID</t>
  </si>
  <si>
    <t xml:space="preserve">Category</t>
  </si>
  <si>
    <t xml:space="preserve">Required Input</t>
  </si>
  <si>
    <t xml:space="preserve">Provider</t>
  </si>
  <si>
    <t xml:space="preserve">Lead (days)</t>
  </si>
  <si>
    <t xml:space="preserve">Due Date</t>
  </si>
  <si>
    <t xml:space="preserve">Status</t>
  </si>
  <si>
    <t xml:space="preserve">Location / Reference</t>
  </si>
  <si>
    <t xml:space="preserve">Verified By (CM)</t>
  </si>
  <si>
    <t xml:space="preserve">Notes</t>
  </si>
  <si>
    <t xml:space="preserve">Entry Criteria (all Complete or N/A before audit convenes)</t>
  </si>
  <si>
    <t xml:space="preserve">F-01</t>
  </si>
  <si>
    <t xml:space="preserve">Entry criterion</t>
  </si>
  <si>
    <t xml:space="preserve">FBL and ABL approved by the Acquirer for the CI/system involved</t>
  </si>
  <si>
    <t xml:space="preserve">CM</t>
  </si>
  <si>
    <t xml:space="preserve">F-02</t>
  </si>
  <si>
    <t xml:space="preserve">Audit designation confirmed per PROC-002 §5.2.1 / Appendix C (record ref)</t>
  </si>
  <si>
    <t xml:space="preserve">F-03</t>
  </si>
  <si>
    <t xml:space="preserve">Audit plan and agenda Acquirer-approved (DI-SESS-81646 / DI-ADMN-81249 where cited); facilities and audit team confirmed</t>
  </si>
  <si>
    <t xml:space="preserve">F-04</t>
  </si>
  <si>
    <t xml:space="preserve">Final draft CI product specification provided to the Acquirer</t>
  </si>
  <si>
    <t xml:space="preserve">Systems Engineering</t>
  </si>
  <si>
    <t xml:space="preserve">F-05</t>
  </si>
  <si>
    <t xml:space="preserve">Test data is from the configuration to be formally accepted/released for production (prototype/preproduction; first production article if none)</t>
  </si>
  <si>
    <t xml:space="preserve">Test &amp; Evaluation</t>
  </si>
  <si>
    <t xml:space="preserve">Pre-Audit Submittals</t>
  </si>
  <si>
    <t xml:space="preserve">F-06</t>
  </si>
  <si>
    <t xml:space="preserve">Pre-audit submittal</t>
  </si>
  <si>
    <t xml:space="preserve">List of items to be audited (including documents) and tasks to be accomplished at the FCA</t>
  </si>
  <si>
    <t xml:space="preserve">F-07</t>
  </si>
  <si>
    <t xml:space="preserve">Requirements traceability matrix: every requirement cross-referenced to test plans, procedures, test programs, and reports (or analysis/inspection/demonstration records), with deficiency report numbers (Floor F44)</t>
  </si>
  <si>
    <t xml:space="preserve">Data Package — Requirements &amp; Test</t>
  </si>
  <si>
    <t xml:space="preserve">F-08</t>
  </si>
  <si>
    <t xml:space="preserve">Data package</t>
  </si>
  <si>
    <t xml:space="preserve">Specifications: requirements, development, performance, interface</t>
  </si>
  <si>
    <t xml:space="preserve">F-09</t>
  </si>
  <si>
    <t xml:space="preserve">Verification Cross Reference Matrix aligned to the traceability matrix</t>
  </si>
  <si>
    <t xml:space="preserve">F-10</t>
  </si>
  <si>
    <t xml:space="preserve">Test plans, procedures, and reports/results; analyses; demonstration reports</t>
  </si>
  <si>
    <t xml:space="preserve">F-11</t>
  </si>
  <si>
    <t xml:space="preserve">Lists: tests accomplished (with/without recorded data); tests not yet performed with accomplishment plan; analyses/simulations for requirements not fully testable</t>
  </si>
  <si>
    <t xml:space="preserve">F-12</t>
  </si>
  <si>
    <t xml:space="preserve">Pre-production test results and qualification status</t>
  </si>
  <si>
    <t xml:space="preserve">Data Package — Changes &amp; Variances</t>
  </si>
  <si>
    <t xml:space="preserve">F-13</t>
  </si>
  <si>
    <t xml:space="preserve">Current listing of all RFVs, SCNs, NORs, and ECPs against the CI (requested and approved)</t>
  </si>
  <si>
    <t xml:space="preserve">F-14</t>
  </si>
  <si>
    <t xml:space="preserve">Account of ECPs incorporated and tested, and ECPs proposed</t>
  </si>
  <si>
    <t xml:space="preserve">F-15</t>
  </si>
  <si>
    <t xml:space="preserve">Variances (RFVs) applicable to the FCA unit(s)</t>
  </si>
  <si>
    <t xml:space="preserve">Data Package — CSCI-Specific (N/A for hardware-only CIs)</t>
  </si>
  <si>
    <t xml:space="preserve">F-16</t>
  </si>
  <si>
    <t xml:space="preserve">Database characteristics, storage allocation, timing and sequencing data vs. requirements</t>
  </si>
  <si>
    <t xml:space="preserve">Software</t>
  </si>
  <si>
    <t xml:space="preserve">F-17</t>
  </si>
  <si>
    <t xml:space="preserve">Software product documents: product specification, user manual, Version Description Document (format and completeness)</t>
  </si>
  <si>
    <t xml:space="preserve">F-18</t>
  </si>
  <si>
    <t xml:space="preserve">Developmental configuration change records; software library listing of all developmental and non-developmental versions</t>
  </si>
  <si>
    <t xml:space="preserve">F-19</t>
  </si>
  <si>
    <t xml:space="preserve">Findings of internal software CM and SQA audits</t>
  </si>
  <si>
    <t xml:space="preserve">Quality Assurance</t>
  </si>
  <si>
    <t xml:space="preserve">Data Package — Reviews &amp; History</t>
  </si>
  <si>
    <t xml:space="preserve">F-20</t>
  </si>
  <si>
    <t xml:space="preserve">PDR/CDR minutes with action item closure status</t>
  </si>
  <si>
    <t xml:space="preserve">F-21</t>
  </si>
  <si>
    <t xml:space="preserve">Minutes of previous lower-level/sub-system audits with open action items</t>
  </si>
  <si>
    <t xml:space="preserve">F-22</t>
  </si>
  <si>
    <t xml:space="preserve">Supplier/sub-supplier SOW and purchase order; applicable QA records; CSA records</t>
  </si>
  <si>
    <t xml:space="preserve">Logistics &amp; Facilities</t>
  </si>
  <si>
    <t xml:space="preserve">F-23</t>
  </si>
  <si>
    <t xml:space="preserve">Logistics</t>
  </si>
  <si>
    <t xml:space="preserve">Conference facilities, projection/network access, security clearances/visit requests</t>
  </si>
  <si>
    <t xml:space="preserve">F-24</t>
  </si>
  <si>
    <t xml:space="preserve">Design-team opening briefing prepared (overview, results, requirements not met with remedies, ECP account, test effort summary)</t>
  </si>
  <si>
    <t xml:space="preserve">Design Engineering</t>
  </si>
  <si>
    <t xml:space="preserve">F-25</t>
  </si>
  <si>
    <t xml:space="preserve">Daily minutes process and scribe assigned; RFA forms ready</t>
  </si>
  <si>
    <t xml:space="preserve">PCA Preparation Tracker</t>
  </si>
  <si>
    <t xml:space="preserve">P-01</t>
  </si>
  <si>
    <t xml:space="preserve">FCA successfully completed or being conducted concurrently; FCA minutes available per CI</t>
  </si>
  <si>
    <t xml:space="preserve">P-02</t>
  </si>
  <si>
    <t xml:space="preserve">P-03</t>
  </si>
  <si>
    <t xml:space="preserve">Audit unit jointly selected with the Acquirer: early production-representative unit; serial number(s) identified; item and detail parts isolated</t>
  </si>
  <si>
    <t xml:space="preserve">P-04</t>
  </si>
  <si>
    <t xml:space="preserve">Audit plan and agenda Acquirer-approved; audit team and facilities confirmed</t>
  </si>
  <si>
    <t xml:space="preserve">P-05</t>
  </si>
  <si>
    <t xml:space="preserve">Unencumbered access arranged: inspection, fabrication, production, assembly, and test areas; tools, inspection equipment, and test software available</t>
  </si>
  <si>
    <t xml:space="preserve">Manufacturing</t>
  </si>
  <si>
    <t xml:space="preserve">P-06</t>
  </si>
  <si>
    <t xml:space="preserve">Final draft CI detail (product) specification available</t>
  </si>
  <si>
    <t xml:space="preserve">Data Package — Design &amp; Manufacturing</t>
  </si>
  <si>
    <t xml:space="preserve">P-07</t>
  </si>
  <si>
    <t xml:space="preserve">Drawings/3D model data, parts lists, associated lists; engineering drawing index with revision letters</t>
  </si>
  <si>
    <t xml:space="preserve">P-08</t>
  </si>
  <si>
    <t xml:space="preserve">Manufacturing instruction sheets / work instructions / installation procedures / CAM data for parts identified by the Acquirer</t>
  </si>
  <si>
    <t xml:space="preserve">P-09</t>
  </si>
  <si>
    <t xml:space="preserve">Drawing/manufacturing-instruction sample selection per the approved audit plan</t>
  </si>
  <si>
    <t xml:space="preserve">P-10</t>
  </si>
  <si>
    <t xml:space="preserve">Program Parts Selection List; nomenclature and nameplate approvals</t>
  </si>
  <si>
    <t xml:space="preserve">Data Package — Acceptance &amp; Records</t>
  </si>
  <si>
    <t xml:space="preserve">P-11</t>
  </si>
  <si>
    <t xml:space="preserve">Production acceptance test procedures and associated test data for the audit unit</t>
  </si>
  <si>
    <t xml:space="preserve">P-12</t>
  </si>
  <si>
    <t xml:space="preserve">As-designed/as-built reconciliation report for the audit unit (expressed in PTR identifiers); CSA change-incorporation reports</t>
  </si>
  <si>
    <t xml:space="preserve">P-13</t>
  </si>
  <si>
    <t xml:space="preserve">Part Traceability Records for the audit unit: serials, lot/batch, life-limited designations with limits and life consumed, safety-critical and special handling designations, NHA traceability (Floor F39)</t>
  </si>
  <si>
    <t xml:space="preserve">P-14</t>
  </si>
  <si>
    <t xml:space="preserve">List of approved and outstanding changes; changes made during test; required changes not completed; shortage lists; undocumented design change review</t>
  </si>
  <si>
    <t xml:space="preserve">P-15</t>
  </si>
  <si>
    <t xml:space="preserve">Variances applicable to the PCA unit(s)</t>
  </si>
  <si>
    <t xml:space="preserve">P-16</t>
  </si>
  <si>
    <t xml:space="preserve">Identification of differences between the PCA unit and the FCA unit(s), with certification basis that differences do not degrade functional characteristics (Floor F34)</t>
  </si>
  <si>
    <t xml:space="preserve">P-17</t>
  </si>
  <si>
    <t xml:space="preserve">QA program findings/status; FAI results</t>
  </si>
  <si>
    <t xml:space="preserve">P-18</t>
  </si>
  <si>
    <t xml:space="preserve">Operation and support manuals</t>
  </si>
  <si>
    <t xml:space="preserve">Data Package — Software-Specific (N/A for hardware-only CIs)</t>
  </si>
  <si>
    <t xml:space="preserve">P-19</t>
  </si>
  <si>
    <t xml:space="preserve">Source code and released configuration documentation for comparison</t>
  </si>
  <si>
    <t xml:space="preserve">P-20</t>
  </si>
  <si>
    <t xml:space="preserve">VDD including compiler, compiler version, and settings; SVD; Interface Design Document</t>
  </si>
  <si>
    <t xml:space="preserve">P-21</t>
  </si>
  <si>
    <t xml:space="preserve">Build environment staged: build produced during PCA, installed on target, verified against SVD, witnessed by QA; problem-report updates confirmed applied</t>
  </si>
  <si>
    <t xml:space="preserve">P-22</t>
  </si>
  <si>
    <t xml:space="preserve">COTS software: documentation matching delivered versions; deliverable media identification and marking</t>
  </si>
  <si>
    <t xml:space="preserve">Reviews &amp; History</t>
  </si>
  <si>
    <t xml:space="preserve">P-23</t>
  </si>
  <si>
    <t xml:space="preserve">FCA minutes per CI; minutes of previous sub-system PCAs with open action items</t>
  </si>
  <si>
    <t xml:space="preserve">P-24</t>
  </si>
  <si>
    <t xml:space="preserve">CSA records; sub-supplier SOW/PO where supplier-built (role per Flowdown Matrix R-18)</t>
  </si>
  <si>
    <t xml:space="preserve">P-25</t>
  </si>
  <si>
    <t xml:space="preserve">Audit unit staged with detail parts; inspection equipment calibrated and available</t>
  </si>
  <si>
    <t xml:space="preserve">P-26</t>
  </si>
  <si>
    <t xml:space="preserve">Conference facilities, security clearances/visit requests; daily minutes process and scribe; RFA forms ready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</si>
</sst>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F0F7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DF0F7"/>
      </patternFill>
    </fill>
    <fill>
      <patternFill patternType="solid">
        <fgColor rgb="FFED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F0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23.85" hidden="false" customHeight="false" outlineLevel="0" collapsed="false">
      <c r="A6" s="2" t="s">
        <v>3</v>
      </c>
    </row>
    <row r="7" customFormat="false" ht="23.85" hidden="false" customHeight="false" outlineLevel="0" collapsed="false">
      <c r="A7" s="2" t="s">
        <v>4</v>
      </c>
    </row>
    <row r="8" customFormat="false" ht="23.85" hidden="false" customHeight="false" outlineLevel="0" collapsed="false">
      <c r="A8" s="2" t="s">
        <v>5</v>
      </c>
    </row>
    <row r="9" customFormat="false" ht="23.85" hidden="false" customHeight="false" outlineLevel="0" collapsed="false">
      <c r="A9" s="2" t="s">
        <v>6</v>
      </c>
    </row>
    <row r="10" customFormat="false" ht="23.8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9</v>
      </c>
    </row>
    <row r="3" customFormat="false" ht="15" hidden="false" customHeight="false" outlineLevel="0" collapsed="false">
      <c r="A3" s="4" t="s">
        <v>10</v>
      </c>
      <c r="B3" s="5"/>
      <c r="C3" s="4" t="s">
        <v>11</v>
      </c>
      <c r="D3" s="5"/>
      <c r="E3" s="4" t="s">
        <v>12</v>
      </c>
      <c r="F3" s="5"/>
      <c r="G3" s="4" t="s">
        <v>13</v>
      </c>
      <c r="H3" s="6"/>
    </row>
    <row r="4" customFormat="false" ht="15" hidden="false" customHeight="false" outlineLevel="0" collapsed="false">
      <c r="A4" s="4" t="s">
        <v>14</v>
      </c>
      <c r="B4" s="5"/>
      <c r="C4" s="4" t="s">
        <v>15</v>
      </c>
      <c r="D4" s="5"/>
      <c r="E4" s="4" t="s">
        <v>16</v>
      </c>
      <c r="F4" s="5"/>
      <c r="G4" s="4" t="s">
        <v>17</v>
      </c>
      <c r="H4" s="7" t="n">
        <f aca="false">IF(COUNTA(A7:A38)=0,"",(COUNTIF(G7:G38,"Complete")+COUNTIF(G7:G38,"N/A"))/25)</f>
        <v>0</v>
      </c>
    </row>
    <row r="6" customFormat="false" ht="23.85" hidden="false" customHeight="false" outlineLevel="0" collapsed="false">
      <c r="A6" s="8" t="s">
        <v>18</v>
      </c>
      <c r="B6" s="8" t="s">
        <v>19</v>
      </c>
      <c r="C6" s="8" t="s">
        <v>20</v>
      </c>
      <c r="D6" s="8" t="s">
        <v>21</v>
      </c>
      <c r="E6" s="8" t="s">
        <v>22</v>
      </c>
      <c r="F6" s="8" t="s">
        <v>23</v>
      </c>
      <c r="G6" s="8" t="s">
        <v>24</v>
      </c>
      <c r="H6" s="8" t="s">
        <v>25</v>
      </c>
      <c r="I6" s="8" t="s">
        <v>26</v>
      </c>
      <c r="J6" s="8" t="s">
        <v>27</v>
      </c>
    </row>
    <row r="7" customFormat="false" ht="15" hidden="false" customHeight="false" outlineLevel="0" collapsed="false">
      <c r="A7" s="9" t="s">
        <v>28</v>
      </c>
      <c r="B7" s="9"/>
      <c r="C7" s="9"/>
      <c r="D7" s="9"/>
      <c r="E7" s="9"/>
      <c r="F7" s="9"/>
      <c r="G7" s="9"/>
      <c r="H7" s="9"/>
      <c r="I7" s="9"/>
      <c r="J7" s="9"/>
    </row>
    <row r="8" customFormat="false" ht="23.85" hidden="false" customHeight="false" outlineLevel="0" collapsed="false">
      <c r="A8" s="10" t="s">
        <v>29</v>
      </c>
      <c r="B8" s="11" t="s">
        <v>30</v>
      </c>
      <c r="C8" s="11" t="s">
        <v>31</v>
      </c>
      <c r="D8" s="11" t="s">
        <v>32</v>
      </c>
      <c r="E8" s="10" t="n">
        <v>60</v>
      </c>
      <c r="F8" s="12" t="str">
        <f aca="false">IF($H$3="","",$H$3-E8)</f>
        <v/>
      </c>
      <c r="G8" s="11"/>
      <c r="H8" s="11"/>
      <c r="I8" s="11"/>
      <c r="J8" s="11"/>
    </row>
    <row r="9" customFormat="false" ht="23.85" hidden="false" customHeight="false" outlineLevel="0" collapsed="false">
      <c r="A9" s="10" t="s">
        <v>33</v>
      </c>
      <c r="B9" s="11" t="s">
        <v>30</v>
      </c>
      <c r="C9" s="11" t="s">
        <v>34</v>
      </c>
      <c r="D9" s="11" t="s">
        <v>32</v>
      </c>
      <c r="E9" s="10" t="n">
        <v>60</v>
      </c>
      <c r="F9" s="12" t="str">
        <f aca="false">IF($H$3="","",$H$3-E9)</f>
        <v/>
      </c>
      <c r="G9" s="11"/>
      <c r="H9" s="11"/>
      <c r="I9" s="11"/>
      <c r="J9" s="11"/>
    </row>
    <row r="10" customFormat="false" ht="23.85" hidden="false" customHeight="false" outlineLevel="0" collapsed="false">
      <c r="A10" s="10" t="s">
        <v>35</v>
      </c>
      <c r="B10" s="11" t="s">
        <v>30</v>
      </c>
      <c r="C10" s="11" t="s">
        <v>36</v>
      </c>
      <c r="D10" s="11" t="s">
        <v>32</v>
      </c>
      <c r="E10" s="10" t="n">
        <v>30</v>
      </c>
      <c r="F10" s="12" t="str">
        <f aca="false">IF($H$3="","",$H$3-E10)</f>
        <v/>
      </c>
      <c r="G10" s="11"/>
      <c r="H10" s="11"/>
      <c r="I10" s="11"/>
      <c r="J10" s="11"/>
    </row>
    <row r="11" customFormat="false" ht="23.85" hidden="false" customHeight="false" outlineLevel="0" collapsed="false">
      <c r="A11" s="10" t="s">
        <v>37</v>
      </c>
      <c r="B11" s="11" t="s">
        <v>30</v>
      </c>
      <c r="C11" s="11" t="s">
        <v>38</v>
      </c>
      <c r="D11" s="11" t="s">
        <v>39</v>
      </c>
      <c r="E11" s="10" t="n">
        <v>30</v>
      </c>
      <c r="F11" s="12" t="str">
        <f aca="false">IF($H$3="","",$H$3-E11)</f>
        <v/>
      </c>
      <c r="G11" s="11"/>
      <c r="H11" s="11"/>
      <c r="I11" s="11"/>
      <c r="J11" s="11"/>
    </row>
    <row r="12" customFormat="false" ht="35.05" hidden="false" customHeight="false" outlineLevel="0" collapsed="false">
      <c r="A12" s="10" t="s">
        <v>40</v>
      </c>
      <c r="B12" s="11" t="s">
        <v>30</v>
      </c>
      <c r="C12" s="11" t="s">
        <v>41</v>
      </c>
      <c r="D12" s="11" t="s">
        <v>42</v>
      </c>
      <c r="E12" s="10" t="n">
        <v>30</v>
      </c>
      <c r="F12" s="12" t="str">
        <f aca="false">IF($H$3="","",$H$3-E12)</f>
        <v/>
      </c>
      <c r="G12" s="11"/>
      <c r="H12" s="11"/>
      <c r="I12" s="11"/>
      <c r="J12" s="11"/>
    </row>
    <row r="13" customFormat="false" ht="15" hidden="false" customHeight="false" outlineLevel="0" collapsed="false">
      <c r="A13" s="9" t="s">
        <v>43</v>
      </c>
      <c r="B13" s="9"/>
      <c r="C13" s="9"/>
      <c r="D13" s="9"/>
      <c r="E13" s="9"/>
      <c r="F13" s="9"/>
      <c r="G13" s="9"/>
      <c r="H13" s="9"/>
      <c r="I13" s="9"/>
      <c r="J13" s="9"/>
    </row>
    <row r="14" customFormat="false" ht="23.85" hidden="false" customHeight="false" outlineLevel="0" collapsed="false">
      <c r="A14" s="10" t="s">
        <v>44</v>
      </c>
      <c r="B14" s="11" t="s">
        <v>45</v>
      </c>
      <c r="C14" s="11" t="s">
        <v>46</v>
      </c>
      <c r="D14" s="11" t="s">
        <v>32</v>
      </c>
      <c r="E14" s="10" t="n">
        <v>30</v>
      </c>
      <c r="F14" s="12" t="str">
        <f aca="false">IF($H$3="","",$H$3-E14)</f>
        <v/>
      </c>
      <c r="G14" s="11"/>
      <c r="H14" s="11"/>
      <c r="I14" s="11"/>
      <c r="J14" s="11"/>
    </row>
    <row r="15" customFormat="false" ht="46.25" hidden="false" customHeight="false" outlineLevel="0" collapsed="false">
      <c r="A15" s="10" t="s">
        <v>47</v>
      </c>
      <c r="B15" s="11" t="s">
        <v>45</v>
      </c>
      <c r="C15" s="11" t="s">
        <v>48</v>
      </c>
      <c r="D15" s="11" t="s">
        <v>39</v>
      </c>
      <c r="E15" s="10" t="n">
        <v>30</v>
      </c>
      <c r="F15" s="12" t="str">
        <f aca="false">IF($H$3="","",$H$3-E15)</f>
        <v/>
      </c>
      <c r="G15" s="11"/>
      <c r="H15" s="11"/>
      <c r="I15" s="11"/>
      <c r="J15" s="11"/>
    </row>
    <row r="16" customFormat="false" ht="15" hidden="false" customHeight="false" outlineLevel="0" collapsed="false">
      <c r="A16" s="9" t="s">
        <v>49</v>
      </c>
      <c r="B16" s="9"/>
      <c r="C16" s="9"/>
      <c r="D16" s="9"/>
      <c r="E16" s="9"/>
      <c r="F16" s="9"/>
      <c r="G16" s="9"/>
      <c r="H16" s="9"/>
      <c r="I16" s="9"/>
      <c r="J16" s="9"/>
    </row>
    <row r="17" customFormat="false" ht="23.85" hidden="false" customHeight="false" outlineLevel="0" collapsed="false">
      <c r="A17" s="10" t="s">
        <v>50</v>
      </c>
      <c r="B17" s="11" t="s">
        <v>51</v>
      </c>
      <c r="C17" s="11" t="s">
        <v>52</v>
      </c>
      <c r="D17" s="11" t="s">
        <v>39</v>
      </c>
      <c r="E17" s="10" t="n">
        <v>21</v>
      </c>
      <c r="F17" s="12" t="str">
        <f aca="false">IF($H$3="","",$H$3-E17)</f>
        <v/>
      </c>
      <c r="G17" s="11"/>
      <c r="H17" s="11"/>
      <c r="I17" s="11"/>
      <c r="J17" s="11"/>
    </row>
    <row r="18" customFormat="false" ht="23.85" hidden="false" customHeight="false" outlineLevel="0" collapsed="false">
      <c r="A18" s="10" t="s">
        <v>53</v>
      </c>
      <c r="B18" s="11" t="s">
        <v>51</v>
      </c>
      <c r="C18" s="11" t="s">
        <v>54</v>
      </c>
      <c r="D18" s="11" t="s">
        <v>39</v>
      </c>
      <c r="E18" s="10" t="n">
        <v>21</v>
      </c>
      <c r="F18" s="12" t="str">
        <f aca="false">IF($H$3="","",$H$3-E18)</f>
        <v/>
      </c>
      <c r="G18" s="11"/>
      <c r="H18" s="11"/>
      <c r="I18" s="11"/>
      <c r="J18" s="11"/>
    </row>
    <row r="19" customFormat="false" ht="23.85" hidden="false" customHeight="false" outlineLevel="0" collapsed="false">
      <c r="A19" s="10" t="s">
        <v>55</v>
      </c>
      <c r="B19" s="11" t="s">
        <v>51</v>
      </c>
      <c r="C19" s="11" t="s">
        <v>56</v>
      </c>
      <c r="D19" s="11" t="s">
        <v>42</v>
      </c>
      <c r="E19" s="10" t="n">
        <v>21</v>
      </c>
      <c r="F19" s="12" t="str">
        <f aca="false">IF($H$3="","",$H$3-E19)</f>
        <v/>
      </c>
      <c r="G19" s="11"/>
      <c r="H19" s="11"/>
      <c r="I19" s="11"/>
      <c r="J19" s="11"/>
    </row>
    <row r="20" customFormat="false" ht="35.05" hidden="false" customHeight="false" outlineLevel="0" collapsed="false">
      <c r="A20" s="10" t="s">
        <v>57</v>
      </c>
      <c r="B20" s="11" t="s">
        <v>51</v>
      </c>
      <c r="C20" s="11" t="s">
        <v>58</v>
      </c>
      <c r="D20" s="11" t="s">
        <v>42</v>
      </c>
      <c r="E20" s="10" t="n">
        <v>21</v>
      </c>
      <c r="F20" s="12" t="str">
        <f aca="false">IF($H$3="","",$H$3-E20)</f>
        <v/>
      </c>
      <c r="G20" s="11"/>
      <c r="H20" s="11"/>
      <c r="I20" s="11"/>
      <c r="J20" s="11"/>
    </row>
    <row r="21" customFormat="false" ht="15" hidden="false" customHeight="false" outlineLevel="0" collapsed="false">
      <c r="A21" s="10" t="s">
        <v>59</v>
      </c>
      <c r="B21" s="11" t="s">
        <v>51</v>
      </c>
      <c r="C21" s="11" t="s">
        <v>60</v>
      </c>
      <c r="D21" s="11" t="s">
        <v>42</v>
      </c>
      <c r="E21" s="10" t="n">
        <v>21</v>
      </c>
      <c r="F21" s="12" t="str">
        <f aca="false">IF($H$3="","",$H$3-E21)</f>
        <v/>
      </c>
      <c r="G21" s="11"/>
      <c r="H21" s="11"/>
      <c r="I21" s="11"/>
      <c r="J21" s="11"/>
    </row>
    <row r="22" customFormat="false" ht="15" hidden="false" customHeight="false" outlineLevel="0" collapsed="false">
      <c r="A22" s="9" t="s">
        <v>61</v>
      </c>
      <c r="B22" s="9"/>
      <c r="C22" s="9"/>
      <c r="D22" s="9"/>
      <c r="E22" s="9"/>
      <c r="F22" s="9"/>
      <c r="G22" s="9"/>
      <c r="H22" s="9"/>
      <c r="I22" s="9"/>
      <c r="J22" s="9"/>
    </row>
    <row r="23" customFormat="false" ht="23.85" hidden="false" customHeight="false" outlineLevel="0" collapsed="false">
      <c r="A23" s="10" t="s">
        <v>62</v>
      </c>
      <c r="B23" s="11" t="s">
        <v>51</v>
      </c>
      <c r="C23" s="11" t="s">
        <v>63</v>
      </c>
      <c r="D23" s="11" t="s">
        <v>32</v>
      </c>
      <c r="E23" s="10" t="n">
        <v>21</v>
      </c>
      <c r="F23" s="12" t="str">
        <f aca="false">IF($H$3="","",$H$3-E23)</f>
        <v/>
      </c>
      <c r="G23" s="11"/>
      <c r="H23" s="11"/>
      <c r="I23" s="11"/>
      <c r="J23" s="11"/>
    </row>
    <row r="24" customFormat="false" ht="15" hidden="false" customHeight="false" outlineLevel="0" collapsed="false">
      <c r="A24" s="10" t="s">
        <v>64</v>
      </c>
      <c r="B24" s="11" t="s">
        <v>51</v>
      </c>
      <c r="C24" s="11" t="s">
        <v>65</v>
      </c>
      <c r="D24" s="11" t="s">
        <v>32</v>
      </c>
      <c r="E24" s="10" t="n">
        <v>21</v>
      </c>
      <c r="F24" s="12" t="str">
        <f aca="false">IF($H$3="","",$H$3-E24)</f>
        <v/>
      </c>
      <c r="G24" s="11"/>
      <c r="H24" s="11"/>
      <c r="I24" s="11"/>
      <c r="J24" s="11"/>
    </row>
    <row r="25" customFormat="false" ht="15" hidden="false" customHeight="false" outlineLevel="0" collapsed="false">
      <c r="A25" s="10" t="s">
        <v>66</v>
      </c>
      <c r="B25" s="11" t="s">
        <v>51</v>
      </c>
      <c r="C25" s="11" t="s">
        <v>67</v>
      </c>
      <c r="D25" s="11" t="s">
        <v>32</v>
      </c>
      <c r="E25" s="10" t="n">
        <v>21</v>
      </c>
      <c r="F25" s="12" t="str">
        <f aca="false">IF($H$3="","",$H$3-E25)</f>
        <v/>
      </c>
      <c r="G25" s="11"/>
      <c r="H25" s="11"/>
      <c r="I25" s="11"/>
      <c r="J25" s="11"/>
    </row>
    <row r="26" customFormat="false" ht="15" hidden="false" customHeight="false" outlineLevel="0" collapsed="false">
      <c r="A26" s="9" t="s">
        <v>68</v>
      </c>
      <c r="B26" s="9"/>
      <c r="C26" s="9"/>
      <c r="D26" s="9"/>
      <c r="E26" s="9"/>
      <c r="F26" s="9"/>
      <c r="G26" s="9"/>
      <c r="H26" s="9"/>
      <c r="I26" s="9"/>
      <c r="J26" s="9"/>
    </row>
    <row r="27" customFormat="false" ht="23.85" hidden="false" customHeight="false" outlineLevel="0" collapsed="false">
      <c r="A27" s="10" t="s">
        <v>69</v>
      </c>
      <c r="B27" s="11" t="s">
        <v>51</v>
      </c>
      <c r="C27" s="11" t="s">
        <v>70</v>
      </c>
      <c r="D27" s="11" t="s">
        <v>71</v>
      </c>
      <c r="E27" s="10" t="n">
        <v>21</v>
      </c>
      <c r="F27" s="12" t="str">
        <f aca="false">IF($H$3="","",$H$3-E27)</f>
        <v/>
      </c>
      <c r="G27" s="11"/>
      <c r="H27" s="11"/>
      <c r="I27" s="11"/>
      <c r="J27" s="11"/>
    </row>
    <row r="28" customFormat="false" ht="35.05" hidden="false" customHeight="false" outlineLevel="0" collapsed="false">
      <c r="A28" s="10" t="s">
        <v>72</v>
      </c>
      <c r="B28" s="11" t="s">
        <v>51</v>
      </c>
      <c r="C28" s="11" t="s">
        <v>73</v>
      </c>
      <c r="D28" s="11" t="s">
        <v>71</v>
      </c>
      <c r="E28" s="10" t="n">
        <v>21</v>
      </c>
      <c r="F28" s="12" t="str">
        <f aca="false">IF($H$3="","",$H$3-E28)</f>
        <v/>
      </c>
      <c r="G28" s="11"/>
      <c r="H28" s="11"/>
      <c r="I28" s="11"/>
      <c r="J28" s="11"/>
    </row>
    <row r="29" customFormat="false" ht="23.85" hidden="false" customHeight="false" outlineLevel="0" collapsed="false">
      <c r="A29" s="10" t="s">
        <v>74</v>
      </c>
      <c r="B29" s="11" t="s">
        <v>51</v>
      </c>
      <c r="C29" s="11" t="s">
        <v>75</v>
      </c>
      <c r="D29" s="11" t="s">
        <v>71</v>
      </c>
      <c r="E29" s="10" t="n">
        <v>21</v>
      </c>
      <c r="F29" s="12" t="str">
        <f aca="false">IF($H$3="","",$H$3-E29)</f>
        <v/>
      </c>
      <c r="G29" s="11"/>
      <c r="H29" s="11"/>
      <c r="I29" s="11"/>
      <c r="J29" s="11"/>
    </row>
    <row r="30" customFormat="false" ht="15" hidden="false" customHeight="false" outlineLevel="0" collapsed="false">
      <c r="A30" s="10" t="s">
        <v>76</v>
      </c>
      <c r="B30" s="11" t="s">
        <v>51</v>
      </c>
      <c r="C30" s="11" t="s">
        <v>77</v>
      </c>
      <c r="D30" s="11" t="s">
        <v>78</v>
      </c>
      <c r="E30" s="10" t="n">
        <v>21</v>
      </c>
      <c r="F30" s="12" t="str">
        <f aca="false">IF($H$3="","",$H$3-E30)</f>
        <v/>
      </c>
      <c r="G30" s="11"/>
      <c r="H30" s="11"/>
      <c r="I30" s="11"/>
      <c r="J30" s="11"/>
    </row>
    <row r="31" customFormat="false" ht="15" hidden="false" customHeight="false" outlineLevel="0" collapsed="false">
      <c r="A31" s="9" t="s">
        <v>79</v>
      </c>
      <c r="B31" s="9"/>
      <c r="C31" s="9"/>
      <c r="D31" s="9"/>
      <c r="E31" s="9"/>
      <c r="F31" s="9"/>
      <c r="G31" s="9"/>
      <c r="H31" s="9"/>
      <c r="I31" s="9"/>
      <c r="J31" s="9"/>
    </row>
    <row r="32" customFormat="false" ht="23.85" hidden="false" customHeight="false" outlineLevel="0" collapsed="false">
      <c r="A32" s="10" t="s">
        <v>80</v>
      </c>
      <c r="B32" s="11" t="s">
        <v>51</v>
      </c>
      <c r="C32" s="11" t="s">
        <v>81</v>
      </c>
      <c r="D32" s="11" t="s">
        <v>39</v>
      </c>
      <c r="E32" s="10" t="n">
        <v>21</v>
      </c>
      <c r="F32" s="12" t="str">
        <f aca="false">IF($H$3="","",$H$3-E32)</f>
        <v/>
      </c>
      <c r="G32" s="11"/>
      <c r="H32" s="11"/>
      <c r="I32" s="11"/>
      <c r="J32" s="11"/>
    </row>
    <row r="33" customFormat="false" ht="23.85" hidden="false" customHeight="false" outlineLevel="0" collapsed="false">
      <c r="A33" s="10" t="s">
        <v>82</v>
      </c>
      <c r="B33" s="11" t="s">
        <v>51</v>
      </c>
      <c r="C33" s="11" t="s">
        <v>83</v>
      </c>
      <c r="D33" s="11" t="s">
        <v>32</v>
      </c>
      <c r="E33" s="10" t="n">
        <v>21</v>
      </c>
      <c r="F33" s="12" t="str">
        <f aca="false">IF($H$3="","",$H$3-E33)</f>
        <v/>
      </c>
      <c r="G33" s="11"/>
      <c r="H33" s="11"/>
      <c r="I33" s="11"/>
      <c r="J33" s="11"/>
    </row>
    <row r="34" customFormat="false" ht="23.85" hidden="false" customHeight="false" outlineLevel="0" collapsed="false">
      <c r="A34" s="10" t="s">
        <v>84</v>
      </c>
      <c r="B34" s="11" t="s">
        <v>51</v>
      </c>
      <c r="C34" s="11" t="s">
        <v>85</v>
      </c>
      <c r="D34" s="11" t="s">
        <v>32</v>
      </c>
      <c r="E34" s="10" t="n">
        <v>21</v>
      </c>
      <c r="F34" s="12" t="str">
        <f aca="false">IF($H$3="","",$H$3-E34)</f>
        <v/>
      </c>
      <c r="G34" s="11"/>
      <c r="H34" s="11"/>
      <c r="I34" s="11"/>
      <c r="J34" s="11"/>
    </row>
    <row r="35" customFormat="false" ht="15" hidden="false" customHeight="false" outlineLevel="0" collapsed="false">
      <c r="A35" s="9" t="s">
        <v>86</v>
      </c>
      <c r="B35" s="9"/>
      <c r="C35" s="9"/>
      <c r="D35" s="9"/>
      <c r="E35" s="9"/>
      <c r="F35" s="9"/>
      <c r="G35" s="9"/>
      <c r="H35" s="9"/>
      <c r="I35" s="9"/>
      <c r="J35" s="9"/>
    </row>
    <row r="36" customFormat="false" ht="23.85" hidden="false" customHeight="false" outlineLevel="0" collapsed="false">
      <c r="A36" s="10" t="s">
        <v>87</v>
      </c>
      <c r="B36" s="11" t="s">
        <v>88</v>
      </c>
      <c r="C36" s="11" t="s">
        <v>89</v>
      </c>
      <c r="D36" s="11" t="s">
        <v>32</v>
      </c>
      <c r="E36" s="10" t="n">
        <v>14</v>
      </c>
      <c r="F36" s="12" t="str">
        <f aca="false">IF($H$3="","",$H$3-E36)</f>
        <v/>
      </c>
      <c r="G36" s="11"/>
      <c r="H36" s="11"/>
      <c r="I36" s="11"/>
      <c r="J36" s="11"/>
    </row>
    <row r="37" customFormat="false" ht="35.05" hidden="false" customHeight="false" outlineLevel="0" collapsed="false">
      <c r="A37" s="10" t="s">
        <v>90</v>
      </c>
      <c r="B37" s="11" t="s">
        <v>88</v>
      </c>
      <c r="C37" s="11" t="s">
        <v>91</v>
      </c>
      <c r="D37" s="11" t="s">
        <v>92</v>
      </c>
      <c r="E37" s="10" t="n">
        <v>7</v>
      </c>
      <c r="F37" s="12" t="str">
        <f aca="false">IF($H$3="","",$H$3-E37)</f>
        <v/>
      </c>
      <c r="G37" s="11"/>
      <c r="H37" s="11"/>
      <c r="I37" s="11"/>
      <c r="J37" s="11"/>
    </row>
    <row r="38" customFormat="false" ht="15" hidden="false" customHeight="false" outlineLevel="0" collapsed="false">
      <c r="A38" s="10" t="s">
        <v>93</v>
      </c>
      <c r="B38" s="11" t="s">
        <v>88</v>
      </c>
      <c r="C38" s="11" t="s">
        <v>94</v>
      </c>
      <c r="D38" s="11" t="s">
        <v>32</v>
      </c>
      <c r="E38" s="10" t="n">
        <v>7</v>
      </c>
      <c r="F38" s="12" t="str">
        <f aca="false">IF($H$3="","",$H$3-E38)</f>
        <v/>
      </c>
      <c r="G38" s="11"/>
      <c r="H38" s="11"/>
      <c r="I38" s="11"/>
      <c r="J38" s="11"/>
    </row>
  </sheetData>
  <autoFilter ref="A6:J6"/>
  <mergeCells count="7">
    <mergeCell ref="A7:J7"/>
    <mergeCell ref="A13:J13"/>
    <mergeCell ref="A16:J16"/>
    <mergeCell ref="A22:J22"/>
    <mergeCell ref="A26:J26"/>
    <mergeCell ref="A31:J31"/>
    <mergeCell ref="A35:J35"/>
  </mergeCells>
  <dataValidations count="2">
    <dataValidation allowBlank="true" errorStyle="stop" operator="between" showDropDown="false" showErrorMessage="false" showInputMessage="false" sqref="G7:G38" type="list">
      <formula1>"Not started,Requested,In work,Received,Complete,N/A"</formula1>
      <formula2>0</formula2>
    </dataValidation>
    <dataValidation allowBlank="true" errorStyle="stop" operator="between" showDropDown="false" showErrorMessage="false" showInputMessage="false" sqref="D7:D38" type="list">
      <formula1>"CM,Systems Engineering,Design Engineering,Test &amp; Evaluation,Manufacturing,Quality Assurance,Software,Logistics,Contracts,Supplier,Acquirer"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7" min="6" style="0" width="12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24"/>
  </cols>
  <sheetData>
    <row r="1" customFormat="false" ht="17.35" hidden="false" customHeight="false" outlineLevel="0" collapsed="false">
      <c r="A1" s="1" t="s">
        <v>95</v>
      </c>
    </row>
    <row r="3" customFormat="false" ht="15" hidden="false" customHeight="false" outlineLevel="0" collapsed="false">
      <c r="A3" s="4" t="s">
        <v>10</v>
      </c>
      <c r="B3" s="5"/>
      <c r="C3" s="4" t="s">
        <v>11</v>
      </c>
      <c r="D3" s="5"/>
      <c r="E3" s="4" t="s">
        <v>12</v>
      </c>
      <c r="F3" s="5"/>
      <c r="G3" s="4" t="s">
        <v>13</v>
      </c>
      <c r="H3" s="6"/>
    </row>
    <row r="4" customFormat="false" ht="15" hidden="false" customHeight="false" outlineLevel="0" collapsed="false">
      <c r="A4" s="4" t="s">
        <v>14</v>
      </c>
      <c r="B4" s="5"/>
      <c r="C4" s="4" t="s">
        <v>15</v>
      </c>
      <c r="D4" s="5"/>
      <c r="E4" s="4" t="s">
        <v>16</v>
      </c>
      <c r="F4" s="5"/>
      <c r="G4" s="4" t="s">
        <v>17</v>
      </c>
      <c r="H4" s="7" t="n">
        <f aca="false">IF(COUNTA(A7:A38)=0,"",(COUNTIF(G7:G38,"Complete")+COUNTIF(G7:G38,"N/A"))/26)</f>
        <v>0</v>
      </c>
    </row>
    <row r="6" customFormat="false" ht="23.85" hidden="false" customHeight="false" outlineLevel="0" collapsed="false">
      <c r="A6" s="8" t="s">
        <v>18</v>
      </c>
      <c r="B6" s="8" t="s">
        <v>19</v>
      </c>
      <c r="C6" s="8" t="s">
        <v>20</v>
      </c>
      <c r="D6" s="8" t="s">
        <v>21</v>
      </c>
      <c r="E6" s="8" t="s">
        <v>22</v>
      </c>
      <c r="F6" s="8" t="s">
        <v>23</v>
      </c>
      <c r="G6" s="8" t="s">
        <v>24</v>
      </c>
      <c r="H6" s="8" t="s">
        <v>25</v>
      </c>
      <c r="I6" s="8" t="s">
        <v>26</v>
      </c>
      <c r="J6" s="8" t="s">
        <v>27</v>
      </c>
    </row>
    <row r="7" customFormat="false" ht="15" hidden="false" customHeight="false" outlineLevel="0" collapsed="false">
      <c r="A7" s="9" t="s">
        <v>28</v>
      </c>
      <c r="B7" s="9"/>
      <c r="C7" s="9"/>
      <c r="D7" s="9"/>
      <c r="E7" s="9"/>
      <c r="F7" s="9"/>
      <c r="G7" s="9"/>
      <c r="H7" s="9"/>
      <c r="I7" s="9"/>
      <c r="J7" s="9"/>
    </row>
    <row r="8" customFormat="false" ht="23.85" hidden="false" customHeight="false" outlineLevel="0" collapsed="false">
      <c r="A8" s="10" t="s">
        <v>96</v>
      </c>
      <c r="B8" s="11" t="s">
        <v>30</v>
      </c>
      <c r="C8" s="11" t="s">
        <v>97</v>
      </c>
      <c r="D8" s="11" t="s">
        <v>32</v>
      </c>
      <c r="E8" s="10" t="n">
        <v>60</v>
      </c>
      <c r="F8" s="12" t="str">
        <f aca="false">IF($H$3="","",$H$3-E8)</f>
        <v/>
      </c>
      <c r="G8" s="11"/>
      <c r="H8" s="11"/>
      <c r="I8" s="11"/>
      <c r="J8" s="11"/>
    </row>
    <row r="9" customFormat="false" ht="23.85" hidden="false" customHeight="false" outlineLevel="0" collapsed="false">
      <c r="A9" s="10" t="s">
        <v>98</v>
      </c>
      <c r="B9" s="11" t="s">
        <v>30</v>
      </c>
      <c r="C9" s="11" t="s">
        <v>34</v>
      </c>
      <c r="D9" s="11" t="s">
        <v>32</v>
      </c>
      <c r="E9" s="10" t="n">
        <v>60</v>
      </c>
      <c r="F9" s="12" t="str">
        <f aca="false">IF($H$3="","",$H$3-E9)</f>
        <v/>
      </c>
      <c r="G9" s="11"/>
      <c r="H9" s="11"/>
      <c r="I9" s="11"/>
      <c r="J9" s="11"/>
    </row>
    <row r="10" customFormat="false" ht="35.05" hidden="false" customHeight="false" outlineLevel="0" collapsed="false">
      <c r="A10" s="10" t="s">
        <v>99</v>
      </c>
      <c r="B10" s="11" t="s">
        <v>30</v>
      </c>
      <c r="C10" s="11" t="s">
        <v>100</v>
      </c>
      <c r="D10" s="11" t="s">
        <v>32</v>
      </c>
      <c r="E10" s="10" t="n">
        <v>45</v>
      </c>
      <c r="F10" s="12" t="str">
        <f aca="false">IF($H$3="","",$H$3-E10)</f>
        <v/>
      </c>
      <c r="G10" s="11"/>
      <c r="H10" s="11"/>
      <c r="I10" s="11"/>
      <c r="J10" s="11"/>
    </row>
    <row r="11" customFormat="false" ht="23.85" hidden="false" customHeight="false" outlineLevel="0" collapsed="false">
      <c r="A11" s="10" t="s">
        <v>101</v>
      </c>
      <c r="B11" s="11" t="s">
        <v>30</v>
      </c>
      <c r="C11" s="11" t="s">
        <v>102</v>
      </c>
      <c r="D11" s="11" t="s">
        <v>32</v>
      </c>
      <c r="E11" s="10" t="n">
        <v>30</v>
      </c>
      <c r="F11" s="12" t="str">
        <f aca="false">IF($H$3="","",$H$3-E11)</f>
        <v/>
      </c>
      <c r="G11" s="11"/>
      <c r="H11" s="11"/>
      <c r="I11" s="11"/>
      <c r="J11" s="11"/>
    </row>
    <row r="12" customFormat="false" ht="35.05" hidden="false" customHeight="false" outlineLevel="0" collapsed="false">
      <c r="A12" s="10" t="s">
        <v>103</v>
      </c>
      <c r="B12" s="11" t="s">
        <v>30</v>
      </c>
      <c r="C12" s="11" t="s">
        <v>104</v>
      </c>
      <c r="D12" s="11" t="s">
        <v>105</v>
      </c>
      <c r="E12" s="10" t="n">
        <v>30</v>
      </c>
      <c r="F12" s="12" t="str">
        <f aca="false">IF($H$3="","",$H$3-E12)</f>
        <v/>
      </c>
      <c r="G12" s="11"/>
      <c r="H12" s="11"/>
      <c r="I12" s="11"/>
      <c r="J12" s="11"/>
    </row>
    <row r="13" customFormat="false" ht="23.85" hidden="false" customHeight="false" outlineLevel="0" collapsed="false">
      <c r="A13" s="10" t="s">
        <v>106</v>
      </c>
      <c r="B13" s="11" t="s">
        <v>30</v>
      </c>
      <c r="C13" s="11" t="s">
        <v>107</v>
      </c>
      <c r="D13" s="11" t="s">
        <v>92</v>
      </c>
      <c r="E13" s="10" t="n">
        <v>30</v>
      </c>
      <c r="F13" s="12" t="str">
        <f aca="false">IF($H$3="","",$H$3-E13)</f>
        <v/>
      </c>
      <c r="G13" s="11"/>
      <c r="H13" s="11"/>
      <c r="I13" s="11"/>
      <c r="J13" s="11"/>
    </row>
    <row r="14" customFormat="false" ht="15" hidden="false" customHeight="false" outlineLevel="0" collapsed="false">
      <c r="A14" s="9" t="s">
        <v>108</v>
      </c>
      <c r="B14" s="9"/>
      <c r="C14" s="9"/>
      <c r="D14" s="9"/>
      <c r="E14" s="9"/>
      <c r="F14" s="9"/>
      <c r="G14" s="9"/>
      <c r="H14" s="9"/>
      <c r="I14" s="9"/>
      <c r="J14" s="9"/>
    </row>
    <row r="15" customFormat="false" ht="23.85" hidden="false" customHeight="false" outlineLevel="0" collapsed="false">
      <c r="A15" s="10" t="s">
        <v>109</v>
      </c>
      <c r="B15" s="11" t="s">
        <v>51</v>
      </c>
      <c r="C15" s="11" t="s">
        <v>110</v>
      </c>
      <c r="D15" s="11" t="s">
        <v>92</v>
      </c>
      <c r="E15" s="10" t="n">
        <v>21</v>
      </c>
      <c r="F15" s="12" t="str">
        <f aca="false">IF($H$3="","",$H$3-E15)</f>
        <v/>
      </c>
      <c r="G15" s="11"/>
      <c r="H15" s="11"/>
      <c r="I15" s="11"/>
      <c r="J15" s="11"/>
    </row>
    <row r="16" customFormat="false" ht="23.85" hidden="false" customHeight="false" outlineLevel="0" collapsed="false">
      <c r="A16" s="10" t="s">
        <v>111</v>
      </c>
      <c r="B16" s="11" t="s">
        <v>51</v>
      </c>
      <c r="C16" s="11" t="s">
        <v>112</v>
      </c>
      <c r="D16" s="11" t="s">
        <v>105</v>
      </c>
      <c r="E16" s="10" t="n">
        <v>21</v>
      </c>
      <c r="F16" s="12" t="str">
        <f aca="false">IF($H$3="","",$H$3-E16)</f>
        <v/>
      </c>
      <c r="G16" s="11"/>
      <c r="H16" s="11"/>
      <c r="I16" s="11"/>
      <c r="J16" s="11"/>
    </row>
    <row r="17" customFormat="false" ht="23.85" hidden="false" customHeight="false" outlineLevel="0" collapsed="false">
      <c r="A17" s="10" t="s">
        <v>113</v>
      </c>
      <c r="B17" s="11" t="s">
        <v>51</v>
      </c>
      <c r="C17" s="11" t="s">
        <v>114</v>
      </c>
      <c r="D17" s="11" t="s">
        <v>32</v>
      </c>
      <c r="E17" s="10" t="n">
        <v>21</v>
      </c>
      <c r="F17" s="12" t="str">
        <f aca="false">IF($H$3="","",$H$3-E17)</f>
        <v/>
      </c>
      <c r="G17" s="11"/>
      <c r="H17" s="11"/>
      <c r="I17" s="11"/>
      <c r="J17" s="11"/>
    </row>
    <row r="18" customFormat="false" ht="23.85" hidden="false" customHeight="false" outlineLevel="0" collapsed="false">
      <c r="A18" s="10" t="s">
        <v>115</v>
      </c>
      <c r="B18" s="11" t="s">
        <v>51</v>
      </c>
      <c r="C18" s="11" t="s">
        <v>116</v>
      </c>
      <c r="D18" s="11" t="s">
        <v>92</v>
      </c>
      <c r="E18" s="10" t="n">
        <v>21</v>
      </c>
      <c r="F18" s="12" t="str">
        <f aca="false">IF($H$3="","",$H$3-E18)</f>
        <v/>
      </c>
      <c r="G18" s="11"/>
      <c r="H18" s="11"/>
      <c r="I18" s="11"/>
      <c r="J18" s="11"/>
    </row>
    <row r="19" customFormat="false" ht="15" hidden="false" customHeight="false" outlineLevel="0" collapsed="false">
      <c r="A19" s="9" t="s">
        <v>117</v>
      </c>
      <c r="B19" s="9"/>
      <c r="C19" s="9"/>
      <c r="D19" s="9"/>
      <c r="E19" s="9"/>
      <c r="F19" s="9"/>
      <c r="G19" s="9"/>
      <c r="H19" s="9"/>
      <c r="I19" s="9"/>
      <c r="J19" s="9"/>
    </row>
    <row r="20" customFormat="false" ht="23.85" hidden="false" customHeight="false" outlineLevel="0" collapsed="false">
      <c r="A20" s="10" t="s">
        <v>118</v>
      </c>
      <c r="B20" s="11" t="s">
        <v>51</v>
      </c>
      <c r="C20" s="11" t="s">
        <v>119</v>
      </c>
      <c r="D20" s="11" t="s">
        <v>78</v>
      </c>
      <c r="E20" s="10" t="n">
        <v>21</v>
      </c>
      <c r="F20" s="12" t="str">
        <f aca="false">IF($H$3="","",$H$3-E20)</f>
        <v/>
      </c>
      <c r="G20" s="11"/>
      <c r="H20" s="11"/>
      <c r="I20" s="11"/>
      <c r="J20" s="11"/>
    </row>
    <row r="21" customFormat="false" ht="35.05" hidden="false" customHeight="false" outlineLevel="0" collapsed="false">
      <c r="A21" s="10" t="s">
        <v>120</v>
      </c>
      <c r="B21" s="11" t="s">
        <v>51</v>
      </c>
      <c r="C21" s="11" t="s">
        <v>121</v>
      </c>
      <c r="D21" s="11" t="s">
        <v>32</v>
      </c>
      <c r="E21" s="10" t="n">
        <v>21</v>
      </c>
      <c r="F21" s="12" t="str">
        <f aca="false">IF($H$3="","",$H$3-E21)</f>
        <v/>
      </c>
      <c r="G21" s="11"/>
      <c r="H21" s="11"/>
      <c r="I21" s="11"/>
      <c r="J21" s="11"/>
    </row>
    <row r="22" customFormat="false" ht="46.25" hidden="false" customHeight="false" outlineLevel="0" collapsed="false">
      <c r="A22" s="10" t="s">
        <v>122</v>
      </c>
      <c r="B22" s="11" t="s">
        <v>51</v>
      </c>
      <c r="C22" s="11" t="s">
        <v>123</v>
      </c>
      <c r="D22" s="11" t="s">
        <v>78</v>
      </c>
      <c r="E22" s="10" t="n">
        <v>21</v>
      </c>
      <c r="F22" s="12" t="str">
        <f aca="false">IF($H$3="","",$H$3-E22)</f>
        <v/>
      </c>
      <c r="G22" s="11"/>
      <c r="H22" s="11"/>
      <c r="I22" s="11"/>
      <c r="J22" s="11"/>
    </row>
    <row r="23" customFormat="false" ht="35.05" hidden="false" customHeight="false" outlineLevel="0" collapsed="false">
      <c r="A23" s="10" t="s">
        <v>124</v>
      </c>
      <c r="B23" s="11" t="s">
        <v>51</v>
      </c>
      <c r="C23" s="11" t="s">
        <v>125</v>
      </c>
      <c r="D23" s="11" t="s">
        <v>32</v>
      </c>
      <c r="E23" s="10" t="n">
        <v>21</v>
      </c>
      <c r="F23" s="12" t="str">
        <f aca="false">IF($H$3="","",$H$3-E23)</f>
        <v/>
      </c>
      <c r="G23" s="11"/>
      <c r="H23" s="11"/>
      <c r="I23" s="11"/>
      <c r="J23" s="11"/>
    </row>
    <row r="24" customFormat="false" ht="15" hidden="false" customHeight="false" outlineLevel="0" collapsed="false">
      <c r="A24" s="10" t="s">
        <v>126</v>
      </c>
      <c r="B24" s="11" t="s">
        <v>51</v>
      </c>
      <c r="C24" s="11" t="s">
        <v>127</v>
      </c>
      <c r="D24" s="11" t="s">
        <v>32</v>
      </c>
      <c r="E24" s="10" t="n">
        <v>21</v>
      </c>
      <c r="F24" s="12" t="str">
        <f aca="false">IF($H$3="","",$H$3-E24)</f>
        <v/>
      </c>
      <c r="G24" s="11"/>
      <c r="H24" s="11"/>
      <c r="I24" s="11"/>
      <c r="J24" s="11"/>
    </row>
    <row r="25" customFormat="false" ht="35.05" hidden="false" customHeight="false" outlineLevel="0" collapsed="false">
      <c r="A25" s="10" t="s">
        <v>128</v>
      </c>
      <c r="B25" s="11" t="s">
        <v>51</v>
      </c>
      <c r="C25" s="11" t="s">
        <v>129</v>
      </c>
      <c r="D25" s="11" t="s">
        <v>39</v>
      </c>
      <c r="E25" s="10" t="n">
        <v>21</v>
      </c>
      <c r="F25" s="12" t="str">
        <f aca="false">IF($H$3="","",$H$3-E25)</f>
        <v/>
      </c>
      <c r="G25" s="11"/>
      <c r="H25" s="11"/>
      <c r="I25" s="11"/>
      <c r="J25" s="11"/>
    </row>
    <row r="26" customFormat="false" ht="15" hidden="false" customHeight="false" outlineLevel="0" collapsed="false">
      <c r="A26" s="10" t="s">
        <v>130</v>
      </c>
      <c r="B26" s="11" t="s">
        <v>51</v>
      </c>
      <c r="C26" s="11" t="s">
        <v>131</v>
      </c>
      <c r="D26" s="11" t="s">
        <v>78</v>
      </c>
      <c r="E26" s="10" t="n">
        <v>21</v>
      </c>
      <c r="F26" s="12" t="str">
        <f aca="false">IF($H$3="","",$H$3-E26)</f>
        <v/>
      </c>
      <c r="G26" s="11"/>
      <c r="H26" s="11"/>
      <c r="I26" s="11"/>
      <c r="J26" s="11"/>
    </row>
    <row r="27" customFormat="false" ht="15" hidden="false" customHeight="false" outlineLevel="0" collapsed="false">
      <c r="A27" s="10" t="s">
        <v>132</v>
      </c>
      <c r="B27" s="11" t="s">
        <v>51</v>
      </c>
      <c r="C27" s="11" t="s">
        <v>133</v>
      </c>
      <c r="D27" s="11" t="s">
        <v>88</v>
      </c>
      <c r="E27" s="10" t="n">
        <v>21</v>
      </c>
      <c r="F27" s="12" t="str">
        <f aca="false">IF($H$3="","",$H$3-E27)</f>
        <v/>
      </c>
      <c r="G27" s="11"/>
      <c r="H27" s="11"/>
      <c r="I27" s="11"/>
      <c r="J27" s="11"/>
    </row>
    <row r="28" customFormat="false" ht="15" hidden="false" customHeight="false" outlineLevel="0" collapsed="false">
      <c r="A28" s="9" t="s">
        <v>134</v>
      </c>
      <c r="B28" s="9"/>
      <c r="C28" s="9"/>
      <c r="D28" s="9"/>
      <c r="E28" s="9"/>
      <c r="F28" s="9"/>
      <c r="G28" s="9"/>
      <c r="H28" s="9"/>
      <c r="I28" s="9"/>
      <c r="J28" s="9"/>
    </row>
    <row r="29" customFormat="false" ht="23.85" hidden="false" customHeight="false" outlineLevel="0" collapsed="false">
      <c r="A29" s="10" t="s">
        <v>135</v>
      </c>
      <c r="B29" s="11" t="s">
        <v>51</v>
      </c>
      <c r="C29" s="11" t="s">
        <v>136</v>
      </c>
      <c r="D29" s="11" t="s">
        <v>71</v>
      </c>
      <c r="E29" s="10" t="n">
        <v>21</v>
      </c>
      <c r="F29" s="12" t="str">
        <f aca="false">IF($H$3="","",$H$3-E29)</f>
        <v/>
      </c>
      <c r="G29" s="11"/>
      <c r="H29" s="11"/>
      <c r="I29" s="11"/>
      <c r="J29" s="11"/>
    </row>
    <row r="30" customFormat="false" ht="23.85" hidden="false" customHeight="false" outlineLevel="0" collapsed="false">
      <c r="A30" s="10" t="s">
        <v>137</v>
      </c>
      <c r="B30" s="11" t="s">
        <v>51</v>
      </c>
      <c r="C30" s="11" t="s">
        <v>138</v>
      </c>
      <c r="D30" s="11" t="s">
        <v>71</v>
      </c>
      <c r="E30" s="10" t="n">
        <v>21</v>
      </c>
      <c r="F30" s="12" t="str">
        <f aca="false">IF($H$3="","",$H$3-E30)</f>
        <v/>
      </c>
      <c r="G30" s="11"/>
      <c r="H30" s="11"/>
      <c r="I30" s="11"/>
      <c r="J30" s="11"/>
    </row>
    <row r="31" customFormat="false" ht="35.05" hidden="false" customHeight="false" outlineLevel="0" collapsed="false">
      <c r="A31" s="10" t="s">
        <v>139</v>
      </c>
      <c r="B31" s="11" t="s">
        <v>51</v>
      </c>
      <c r="C31" s="11" t="s">
        <v>140</v>
      </c>
      <c r="D31" s="11" t="s">
        <v>71</v>
      </c>
      <c r="E31" s="10" t="n">
        <v>14</v>
      </c>
      <c r="F31" s="12" t="str">
        <f aca="false">IF($H$3="","",$H$3-E31)</f>
        <v/>
      </c>
      <c r="G31" s="11"/>
      <c r="H31" s="11"/>
      <c r="I31" s="11"/>
      <c r="J31" s="11"/>
    </row>
    <row r="32" customFormat="false" ht="23.85" hidden="false" customHeight="false" outlineLevel="0" collapsed="false">
      <c r="A32" s="10" t="s">
        <v>141</v>
      </c>
      <c r="B32" s="11" t="s">
        <v>51</v>
      </c>
      <c r="C32" s="11" t="s">
        <v>142</v>
      </c>
      <c r="D32" s="11" t="s">
        <v>71</v>
      </c>
      <c r="E32" s="10" t="n">
        <v>21</v>
      </c>
      <c r="F32" s="12" t="str">
        <f aca="false">IF($H$3="","",$H$3-E32)</f>
        <v/>
      </c>
      <c r="G32" s="11"/>
      <c r="H32" s="11"/>
      <c r="I32" s="11"/>
      <c r="J32" s="11"/>
    </row>
    <row r="33" customFormat="false" ht="15" hidden="false" customHeight="false" outlineLevel="0" collapsed="false">
      <c r="A33" s="9" t="s">
        <v>143</v>
      </c>
      <c r="B33" s="9"/>
      <c r="C33" s="9"/>
      <c r="D33" s="9"/>
      <c r="E33" s="9"/>
      <c r="F33" s="9"/>
      <c r="G33" s="9"/>
      <c r="H33" s="9"/>
      <c r="I33" s="9"/>
      <c r="J33" s="9"/>
    </row>
    <row r="34" customFormat="false" ht="23.85" hidden="false" customHeight="false" outlineLevel="0" collapsed="false">
      <c r="A34" s="10" t="s">
        <v>144</v>
      </c>
      <c r="B34" s="11" t="s">
        <v>51</v>
      </c>
      <c r="C34" s="11" t="s">
        <v>145</v>
      </c>
      <c r="D34" s="11" t="s">
        <v>32</v>
      </c>
      <c r="E34" s="10" t="n">
        <v>21</v>
      </c>
      <c r="F34" s="12" t="str">
        <f aca="false">IF($H$3="","",$H$3-E34)</f>
        <v/>
      </c>
      <c r="G34" s="11"/>
      <c r="H34" s="11"/>
      <c r="I34" s="11"/>
      <c r="J34" s="11"/>
    </row>
    <row r="35" customFormat="false" ht="23.85" hidden="false" customHeight="false" outlineLevel="0" collapsed="false">
      <c r="A35" s="10" t="s">
        <v>146</v>
      </c>
      <c r="B35" s="11" t="s">
        <v>51</v>
      </c>
      <c r="C35" s="11" t="s">
        <v>147</v>
      </c>
      <c r="D35" s="11" t="s">
        <v>32</v>
      </c>
      <c r="E35" s="10" t="n">
        <v>21</v>
      </c>
      <c r="F35" s="12" t="str">
        <f aca="false">IF($H$3="","",$H$3-E35)</f>
        <v/>
      </c>
      <c r="G35" s="11"/>
      <c r="H35" s="11"/>
      <c r="I35" s="11"/>
      <c r="J35" s="11"/>
    </row>
    <row r="36" customFormat="false" ht="15" hidden="false" customHeight="false" outlineLevel="0" collapsed="false">
      <c r="A36" s="9" t="s">
        <v>86</v>
      </c>
      <c r="B36" s="9"/>
      <c r="C36" s="9"/>
      <c r="D36" s="9"/>
      <c r="E36" s="9"/>
      <c r="F36" s="9"/>
      <c r="G36" s="9"/>
      <c r="H36" s="9"/>
      <c r="I36" s="9"/>
      <c r="J36" s="9"/>
    </row>
    <row r="37" customFormat="false" ht="23.85" hidden="false" customHeight="false" outlineLevel="0" collapsed="false">
      <c r="A37" s="10" t="s">
        <v>148</v>
      </c>
      <c r="B37" s="11" t="s">
        <v>88</v>
      </c>
      <c r="C37" s="11" t="s">
        <v>149</v>
      </c>
      <c r="D37" s="11" t="s">
        <v>105</v>
      </c>
      <c r="E37" s="10" t="n">
        <v>7</v>
      </c>
      <c r="F37" s="12" t="str">
        <f aca="false">IF($H$3="","",$H$3-E37)</f>
        <v/>
      </c>
      <c r="G37" s="11"/>
      <c r="H37" s="11"/>
      <c r="I37" s="11"/>
      <c r="J37" s="11"/>
    </row>
    <row r="38" customFormat="false" ht="23.85" hidden="false" customHeight="false" outlineLevel="0" collapsed="false">
      <c r="A38" s="10" t="s">
        <v>150</v>
      </c>
      <c r="B38" s="11" t="s">
        <v>88</v>
      </c>
      <c r="C38" s="11" t="s">
        <v>151</v>
      </c>
      <c r="D38" s="11" t="s">
        <v>32</v>
      </c>
      <c r="E38" s="10" t="n">
        <v>7</v>
      </c>
      <c r="F38" s="12" t="str">
        <f aca="false">IF($H$3="","",$H$3-E38)</f>
        <v/>
      </c>
      <c r="G38" s="11"/>
      <c r="H38" s="11"/>
      <c r="I38" s="11"/>
      <c r="J38" s="11"/>
    </row>
  </sheetData>
  <autoFilter ref="A6:J6"/>
  <mergeCells count="6">
    <mergeCell ref="A7:J7"/>
    <mergeCell ref="A14:J14"/>
    <mergeCell ref="A19:J19"/>
    <mergeCell ref="A28:J28"/>
    <mergeCell ref="A33:J33"/>
    <mergeCell ref="A36:J36"/>
  </mergeCells>
  <dataValidations count="2">
    <dataValidation allowBlank="true" errorStyle="stop" operator="between" showDropDown="false" showErrorMessage="false" showInputMessage="false" sqref="G7:G38" type="list">
      <formula1>"Not started,Requested,In work,Received,Complete,N/A"</formula1>
      <formula2>0</formula2>
    </dataValidation>
    <dataValidation allowBlank="true" errorStyle="stop" operator="between" showDropDown="false" showErrorMessage="false" showInputMessage="false" sqref="D7:D38" type="list">
      <formula1>"CM,Systems Engineering,Design Engineering,Test &amp; Evaluation,Manufacturing,Quality Assurance,Software,Logistics,Contracts,Supplier,Acquirer"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2026-07-18T20:25:39Z</dcterms:created>
  <dc:creator>openpyxl</dc:creator>
  <dc:description/>
  <dc:language>en-US</dc:language>
  <cp:lastModifiedBy/>
  <dcterms:modified xsi:type="dcterms:W3CDTF">2026-07-18T20:25:39Z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