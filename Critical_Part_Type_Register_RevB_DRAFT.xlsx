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gister" sheetId="2" state="visible" r:id="rId4"/>
    <sheet name="Recording Rules" sheetId="3" state="visible" r:id="rId5"/>
    <sheet name="Comparison Axes" sheetId="4" state="visible" r:id="rId6"/>
    <sheet name="Sources" sheetId="5" state="visible" r:id="rId7"/>
  </sheets>
  <definedNames>
    <definedName function="false" hidden="true" localSheetId="1" name="_xlnm._FilterDatabase" vbProcedure="false">Register!$A$2:$Q$32</definedName>
    <definedName function="false" hidden="true" localSheetId="4" name="_xlnm._FilterDatabase" vbProcedure="false">Sources!$A$4:$D$55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<sst xmlns="http://schemas.openxmlformats.org/spreadsheetml/2006/main" count="867" uniqueCount="650">
  <si>
    <t xml:space="preserve">Critical and Safety Critical Part Type Register</t>
  </si>
  <si>
    <t xml:space="preserve">Reference workbook. Definitions, sources, applicable context, and record-keeping obligation by designation type.</t>
  </si>
  <si>
    <t xml:space="preserve">Purpose</t>
  </si>
  <si>
    <t xml:space="preserve">These terms are not synonyms and they do not nest cleanly. A single part number can carry several of them at once, each bringing its own evidence obligation. This workbook separates them so that a compliance matrix can cite the right authority for the right obligation.</t>
  </si>
  <si>
    <t xml:space="preserve">Tabs</t>
  </si>
  <si>
    <t xml:space="preserve">Register: one row per designation type. The main table.</t>
  </si>
  <si>
    <t xml:space="preserve">Recording Rules: the cross-cutting drivers that impose serialization or lot recording independently of the designation itself. Read this before drawing conclusions from the Register.</t>
  </si>
  <si>
    <t xml:space="preserve">Comparison Axes: how the designation types actually differ from one another.</t>
  </si>
  <si>
    <t xml:space="preserve">Sources: full document titles for every citation used.</t>
  </si>
  <si>
    <t xml:space="preserve">The central point on record keeping</t>
  </si>
  <si>
    <t xml:space="preserve">Serialization tracks with per unit life or inspection history, not with severity. A part gets a serial number when the approved basis for its continued service depends on what happened to that specific unit. If the basis is only that it was made correctly by an approved source, lot or batch control is sufficient and serialization becomes a contract choice rather than a regulatory one. DoD policy can override this for defined populations. See qualifier 1.</t>
  </si>
  <si>
    <t xml:space="preserve">Two qualifiers that apply to every row</t>
  </si>
  <si>
    <t xml:space="preserve">1. Unique Item Identification. In DoD contexts, IUID under DFARS 211.274-2 and 252.211-7003, with marking per MIL-STD-130, can impose serialization on an item regardless of whether its criticality designation does. The triggers are unit acquisition cost, mission essential or controlled inventory status, and DoD serially managed status. Criticality is usually not a trigger. Critical safety items are the exception. DoDI 8320.04 (2024) identifies aviation and ship CSIs as DoD serially managed, so CSI status now brings IUID with it. Check IUID separately from criticality for every other DoD item.</t>
  </si>
  <si>
    <t xml:space="preserve">2. Life limits. If an item is life limited by cycles or operating hours, that alone drives serialization, because remaining life is a per unit quantity. If an item is life limited by shelf life, cure date, or storage age, that drives lot or batch and date code recording instead, because the limit attaches to the manufacturing lot rather than to the individual unit. The same word, life limited, produces opposite record structures depending on which clock is running.</t>
  </si>
  <si>
    <t xml:space="preserve">Confidence column</t>
  </si>
  <si>
    <t xml:space="preserve">The Register carries a Confidence column. Rows marked Verify rest on terminology that is either program specific, contract specific, or subject to recent revision. Confirm those against the governing contract or the current issue of the cited document before relying on them.</t>
  </si>
  <si>
    <t xml:space="preserve">Live counts from the Register</t>
  </si>
  <si>
    <t xml:space="preserve">Total designation types cataloged</t>
  </si>
  <si>
    <t xml:space="preserve">Serialization required by rule</t>
  </si>
  <si>
    <t xml:space="preserve">Serialization conditional</t>
  </si>
  <si>
    <t xml:space="preserve">Serialization not required</t>
  </si>
  <si>
    <t xml:space="preserve">Not a part level designation</t>
  </si>
  <si>
    <t xml:space="preserve">Rows flagged Verify</t>
  </si>
  <si>
    <t xml:space="preserve">CI criterion (b) fit: direct</t>
  </si>
  <si>
    <t xml:space="preserve">CI criterion (b) fit: conditional</t>
  </si>
  <si>
    <t xml:space="preserve">CI criterion (b) fit: no</t>
  </si>
  <si>
    <t xml:space="preserve">CI screening columns</t>
  </si>
  <si>
    <t xml:space="preserve">Three columns on the Register map each designation onto the Configuration Item selection criteria, so a CI selection assessment can cite the right basis instead of treating every critical-part label as equivalent. Criterion (b) is the safety criterion: an item is designated a CI where its failure might cause serious injury, loss of life, or loss of primary system capability.</t>
  </si>
  <si>
    <t xml:space="preserve">CI criterion (b) fit. Direct means the designation attaches to an item satisfying a system end-use function and its stated consequence meets (b) on its own terms. Conditional means it fits only once translated onto an item, or only where the underlying limitation attaches to a discrete part. No means the designation does not reach the screen, almost always because the object designated is a feature, a task, a function, a failure mode or a location rather than an item.</t>
  </si>
  <si>
    <t xml:space="preserve">Other CI criteria engaged. Criterion (b) is rarely the only one triggered. A government-assigned designation also engages (d); anything carrying provisioning, technical manual or dedicated test equipment obligations engages (g); an item the system cannot function without engages (a). Listing every criterion that applies matters, because the designation survives if one underlying fact later changes.</t>
  </si>
  <si>
    <t xml:space="preserve">Two cautions before using these columns as a screen</t>
  </si>
  <si>
    <t xml:space="preserve">1. Criterion (b) is wider than every row in this register on the loss of primary system capability limb. Nothing cataloged here keys on mission capability absent an injury pathway, so the register will under-catch. Treat it as an input to candidate identification, never as a substitute for the criteria screen.</t>
  </si>
  <si>
    <t xml:space="preserve">2. A No in the criterion (b) column is not a finding that the item is uncontrolled, and not always a finding that it is not a CI. Items that are not CIs are controlled within their parent CI configuration documentation. Several rows marked No still designate on criterion (a). The critical influencing part is the most consequential example. Read the two columns together.</t>
  </si>
  <si>
    <t xml:space="preserve">Where a designation lands on an item, that item is safety-critical under the safety management system: a decision not to designate it a CI requires System Safety concurrence on the rationale and is dispositioned through the requirements mandatory for safety gate. It is not a CM call made alone, and it is never silently dropped.</t>
  </si>
  <si>
    <t xml:space="preserve">Changes in this draft</t>
  </si>
  <si>
    <t xml:space="preserve">C14 Principal Structural Element: serialization changed from Not required to Conditional. Safe-life PSEs with an ALS replacement time are serialized under 14 CFR 45.15(c). CI criterion (b) fit changed from No to Conditional.</t>
  </si>
  <si>
    <t xml:space="preserve">C30 Premium Selection Material added under 14 CFR 25.613(e). Serialization is Required in effect, because each test result must tie to one part.</t>
  </si>
  <si>
    <t xml:space="preserve">C01 and C02 Critical Safety Items: serialization changed from Conditional to Required. The driver is DoDI 8320.04 (2024) plus DFARS 211.274-2, not the CSI statute or DFARS 209.270. C03 basis updated to point to C01.</t>
  </si>
  <si>
    <t xml:space="preserve">Recording Rules IUID row and qualifier 1 updated for DoDI 8320.04 (2024). Sources tab extended. Double-hyphen dashes removed from Register prose.</t>
  </si>
  <si>
    <t xml:space="preserve">Register of critical and safety critical part designations</t>
  </si>
  <si>
    <t xml:space="preserve">ID</t>
  </si>
  <si>
    <t xml:space="preserve">Designation</t>
  </si>
  <si>
    <t xml:space="preserve">Family</t>
  </si>
  <si>
    <t xml:space="preserve">Object designated</t>
  </si>
  <si>
    <t xml:space="preserve">Definition (paraphrased)</t>
  </si>
  <si>
    <t xml:space="preserve">Source of definition</t>
  </si>
  <si>
    <t xml:space="preserve">Source type</t>
  </si>
  <si>
    <t xml:space="preserve">Applicable context</t>
  </si>
  <si>
    <t xml:space="preserve">Who designates</t>
  </si>
  <si>
    <t xml:space="preserve">Serialization requirement</t>
  </si>
  <si>
    <t xml:space="preserve">Serialization basis or driver</t>
  </si>
  <si>
    <t xml:space="preserve">Lot or batch recording requirement</t>
  </si>
  <si>
    <t xml:space="preserve">Notes</t>
  </si>
  <si>
    <t xml:space="preserve">Confidence</t>
  </si>
  <si>
    <t xml:space="preserve">CI criterion (b) fit</t>
  </si>
  <si>
    <t xml:space="preserve">Other CI criteria engaged</t>
  </si>
  <si>
    <t xml:space="preserve">CI screening notes</t>
  </si>
  <si>
    <t xml:space="preserve">C01</t>
  </si>
  <si>
    <t xml:space="preserve">Critical Safety Item (CSI), aviation</t>
  </si>
  <si>
    <t xml:space="preserve">Consequence based part designation</t>
  </si>
  <si>
    <t xml:space="preserve">Part number</t>
  </si>
  <si>
    <t xml:space="preserve">A part, assembly, installation equipment, launch equipment, recovery equipment, or support equipment for an aircraft or aviation weapon system whose failure, malfunction, or absence could cause a catastrophic or critical failure resulting in loss of or serious damage to the aircraft or weapon system, an unacceptable risk of personal injury or loss of life, or an uncommanded engine shutdown that jeopardizes safety.</t>
  </si>
  <si>
    <t xml:space="preserve">Sec. 802, FY2004 NDAA (PL 108-136); DFARS 209.270 and PGI 209.270; procedures in DoDM 4140.01 Volume 11, cited by PGI 209.270-4; management guidance in the Joint Aeronautical Commanders Group Aviation CSI Management Handbook (SD-19)</t>
  </si>
  <si>
    <t xml:space="preserve">Statute plus acquisition regulation</t>
  </si>
  <si>
    <t xml:space="preserve">US DoD only. Procurement and sustainment, not civil type certification.</t>
  </si>
  <si>
    <t xml:space="preserve">Government design control activity or engineering support activity, not the supplier</t>
  </si>
  <si>
    <t xml:space="preserve">Required</t>
  </si>
  <si>
    <t xml:space="preserve">Required through IUID, not through the CSI statute. PL 108-136 Sec. 802, DFARS 209.270, and PGI 209.270 establish CSI status, source approval, and qualification. None of them requires serialization. DoDI 8320.04 (November 29, 2024), para. 3.2.b(2), directs the primary inventory control activity to identify CSIs as DoD serially managed items. DFARS 211.274-2(a)(3)(i) then requires IUID regardless of unit cost. The IUID 2.0 UII includes the manufacturer's serial number. Marking per MIL-STD-130. Items too small to mark carry the UII on unit packaging.</t>
  </si>
  <si>
    <t xml:space="preserve">Yes at minimum. Traceability to an approved source, with lot and heat control typical for structural and rotating hardware.</t>
  </si>
  <si>
    <t xml:space="preserve">The only designation on this list where the customer rather than the design organization assigns the label, and where the primary obligation is source approval and supply chain integrity rather than design rigor. Reaches into spares and sustainment, which is why it is the counterfeit parts lever. The contractor obligation arrives through DFARS 252.211-7003 in the contract. Confirm the clause is present and the FLIS DoD serially managed item indicator is set to Y. DFARS 211.274-2(b) exceptions still apply. Before the 2024 reissue of DoDI 8320.04, CSI status alone did not trigger IUID, so older contracts and drawings may lack the marking requirement.</t>
  </si>
  <si>
    <t xml:space="preserve">High</t>
  </si>
  <si>
    <t xml:space="preserve">Direct</t>
  </si>
  <si>
    <t xml:space="preserve">(d), (g)</t>
  </si>
  <si>
    <t xml:space="preserve">Statutory definition maps onto criterion (b) almost word for word: catastrophic or critical failure, loss of life, unacceptable risk of injury. Assigned by the government engineering activity, so criterion (d) engages as well and CM records the designation rather than determining it. Spares and sustainment reach brings logistics elements, engaging (g). DoD serially managed status adds item level traceability records to status accounting for the CI.</t>
  </si>
  <si>
    <t xml:space="preserve">C02</t>
  </si>
  <si>
    <t xml:space="preserve">Critical Safety Item, ship</t>
  </si>
  <si>
    <t xml:space="preserve">The same statutory construct extended to ship critical safety items, covering items whose failure would cause loss of or serious damage to the ship or unacceptable risk of injury or loss of life.</t>
  </si>
  <si>
    <t xml:space="preserve">DFARS 209.270 (covers aviation and ship CSIs), implementing Sec. 130, FY2007 NDAA (PL 109-364); adjacent Navy material control programs including Level I and SUBSAFE</t>
  </si>
  <si>
    <t xml:space="preserve">US DoD only, Navy ship systems.</t>
  </si>
  <si>
    <t xml:space="preserve">Government design control activity</t>
  </si>
  <si>
    <t xml:space="preserve">Required through IUID. DoDI 8320.04 (2024), para. 3.2.b(2), names CSIs under Sec. 130 of PL 109-364 as DoD serially managed items. DFARS 211.274-2(a)(3)(i) then requires IUID regardless of unit cost. Level I and SUBSAFE objective quality evidence runs in addition to serialization, not instead of it.</t>
  </si>
  <si>
    <t xml:space="preserve">Yes. Heat and lot traceability with objective quality evidence is the core Level I and SUBSAFE control.</t>
  </si>
  <si>
    <t xml:space="preserve">Ship CSI statutory basis confirmed: Sec. 130, FY2007 NDAA (PL 109-364), as implemented at DFARS 209.270-1. Confirm the current Level I material control instruction against the governing contract before use. The contractor obligation for IUID arrives through DFARS 252.211-7003 in the contract.</t>
  </si>
  <si>
    <t xml:space="preserve">Verify</t>
  </si>
  <si>
    <t xml:space="preserve">Same statutory construct, same screen. Level I and SUBSAFE objective quality evidence is a control on the item, not a substitute for designation. Where the item is not separately designated, control sits in the parent CI's documentation and that rationale needs recording.</t>
  </si>
  <si>
    <t xml:space="preserve">C03</t>
  </si>
  <si>
    <t xml:space="preserve">Flight Safety Critical Aircraft Part (FSCAP)</t>
  </si>
  <si>
    <t xml:space="preserve">Legacy DoD term for any part, assembly, or installation whose failure, malfunction, or absence could cause loss of or serious damage to the aircraft or unacceptable risk of injury or loss of life. Largely subsumed by the CSI construct.</t>
  </si>
  <si>
    <t xml:space="preserve">Service level policy, historically Army and Air Force; referenced in DoD and industry documents as an alternate name for a CSI</t>
  </si>
  <si>
    <t xml:space="preserve">Service policy</t>
  </si>
  <si>
    <t xml:space="preserve">US DoD only. Encountered on legacy platforms and in older drawing notes and contracts.</t>
  </si>
  <si>
    <t xml:space="preserve">Government engineering activity</t>
  </si>
  <si>
    <t xml:space="preserve">Conditional</t>
  </si>
  <si>
    <t xml:space="preserve">Historically accompanied by marking and traceability requirements. Treat as program specific. Where the item maps to the current CSI construct, serialization is Required through IUID. See C01.</t>
  </si>
  <si>
    <t xml:space="preserve">Yes. Traceability to source and lot.</t>
  </si>
  <si>
    <t xml:space="preserve">Related legacy variants include Flight Safety Part and Flight Safety Critical Part. If a legacy drawing carries one of these, map it to the current CSI construct rather than assuming equivalence.</t>
  </si>
  <si>
    <t xml:space="preserve">(d)</t>
  </si>
  <si>
    <t xml:space="preserve">Legacy label. Screens (b) on its own wording, but map it to the current CSI construct before relying on it rather than assuming equivalence. A legacy drawing note carrying this term is a candidate-identification input, not a designation record.</t>
  </si>
  <si>
    <t xml:space="preserve">C04</t>
  </si>
  <si>
    <t xml:space="preserve">Critical Application Item (CAI)</t>
  </si>
  <si>
    <t xml:space="preserve">Supply coding</t>
  </si>
  <si>
    <t xml:space="preserve">National stock number</t>
  </si>
  <si>
    <t xml:space="preserve">Supply system coding applied to items whose criticality warrants restricted sourcing and additional quality provisions, used to flag items in the federal logistics catalog.</t>
  </si>
  <si>
    <t xml:space="preserve">DLA federal logistics information system criticality coding</t>
  </si>
  <si>
    <t xml:space="preserve">Supply system policy</t>
  </si>
  <si>
    <t xml:space="preserve">US DoD supply chain.</t>
  </si>
  <si>
    <t xml:space="preserve">Cataloging activity acting on engineering activity input</t>
  </si>
  <si>
    <t xml:space="preserve">Follows the engineering designation and IUID status of the underlying item.</t>
  </si>
  <si>
    <t xml:space="preserve">Yes.</t>
  </si>
  <si>
    <t xml:space="preserve">This is a catalog flag rather than an engineering designation. Confirm current criticality code definitions in FLIS before citing specific code letters.</t>
  </si>
  <si>
    <t xml:space="preserve">None on its own</t>
  </si>
  <si>
    <t xml:space="preserve">A catalog flag applied to a stock number, not an engineering determination. Fails the end-use function gate as written because the object is a supply code. Follow the flag back to the underlying engineering designation and screen that item; the coding itself never designates a CI.</t>
  </si>
  <si>
    <t xml:space="preserve">C05</t>
  </si>
  <si>
    <t xml:space="preserve">Engine Critical Part</t>
  </si>
  <si>
    <t xml:space="preserve">A part whose primary failure is likely to result in a Hazardous Engine Effect. Because the probability of primary failure of such single elements cannot sensibly be estimated numerically, reliance is placed instead on meeting prescribed integrity specifications. Primary failure means a failure not resulting from the prior failure of another part or system.</t>
  </si>
  <si>
    <t xml:space="preserve">EASA CS-E 515, reached via CS-E 510(c); EASA FAQ 19013</t>
  </si>
  <si>
    <t xml:space="preserve">Certification specification</t>
  </si>
  <si>
    <t xml:space="preserve">EASA civil engine type certification. FAA equivalent population is handled under 14 CFR 33.70.</t>
  </si>
  <si>
    <t xml:space="preserve">Design approval holder, accepted by the authority at type certification</t>
  </si>
  <si>
    <t xml:space="preserve">14 CFR 45.15(c) requires a unique serial number, or equivalent, on any part carrying a replacement time, inspection interval, or related procedure in the ALS or ICA. EASA equivalent through the Service Management Plan.</t>
  </si>
  <si>
    <t xml:space="preserve">Yes, in addition. Material heat and lot traceability flows from the Manufacturing Plan.</t>
  </si>
  <si>
    <t xml:space="preserve">Obligation is the three plan structure: Engineering Plan, Manufacturing Plan, Service Management Plan. Appears in the engine manual because the ALS lives there, but the designation is made at type certification.</t>
  </si>
  <si>
    <t xml:space="preserve">(a), (g)</t>
  </si>
  <si>
    <t xml:space="preserve">Hazardous engine effect reaches (b) through both the serious-injury and the loss-of-primary-system-capability limbs. The three-plan integrity structure is configuration documentation and belongs to the CI's baseline; the Engineering Plan in particular is what makes influencing parts visible (see C11).</t>
  </si>
  <si>
    <t xml:space="preserve">C06</t>
  </si>
  <si>
    <t xml:space="preserve">Engine Life-Limited Part (LLP)</t>
  </si>
  <si>
    <t xml:space="preserve">An engine rotating or major static structural part carrying an approved airworthiness limitation, for which the type certificate holder must maintain an approved integrity plan comprising an engineering plan, a manufacturing plan, and a service management plan.</t>
  </si>
  <si>
    <t xml:space="preserve">14 CFR 33.70; marking under 14 CFR 45.15(c); record disposition under 14 CFR 43.10</t>
  </si>
  <si>
    <t xml:space="preserve">Federal regulation</t>
  </si>
  <si>
    <t xml:space="preserve">FAA civil engine type certification and continued airworthiness.</t>
  </si>
  <si>
    <t xml:space="preserve">Type certificate holder, approved by the FAA</t>
  </si>
  <si>
    <t xml:space="preserve">14 CFR 45.15(c) marking, plus 14 CFR 43.10 disposition and record transfer. Back to birth cycle records are impossible without a unique serial.</t>
  </si>
  <si>
    <t xml:space="preserve">Yes, in addition, for material and process traceability under the Manufacturing Plan.</t>
  </si>
  <si>
    <t xml:space="preserve">The clearest case in the whole register. Remaining life is a per unit quantity, so the unit must be individually identifiable. Cycle counting drives serialization directly.</t>
  </si>
  <si>
    <t xml:space="preserve">The clearest case in the register. Remaining life is a per-unit quantity, so the unit identifier must persist across PIN changes and back-to-birth records are status accounting against the CI. Logistics elements are unavoidable, engaging (g).</t>
  </si>
  <si>
    <t xml:space="preserve">C07</t>
  </si>
  <si>
    <t xml:space="preserve">Propeller Critical Part</t>
  </si>
  <si>
    <t xml:space="preserve">A part that relies upon meeting prescribed integrity requirements to avoid a primary failure that is likely to result in a Hazardous Propeller Effect.</t>
  </si>
  <si>
    <t xml:space="preserve">EASA CS-P 150(c) and CS-P 160, with definitions consolidated at CS-P 15</t>
  </si>
  <si>
    <t xml:space="preserve">EASA civil propeller type certification.</t>
  </si>
  <si>
    <t xml:space="preserve">Design approval holder</t>
  </si>
  <si>
    <t xml:space="preserve">Same route as engine critical parts where an approved life limit or ALS interval applies.</t>
  </si>
  <si>
    <t xml:space="preserve">Yes, in addition.</t>
  </si>
  <si>
    <t xml:space="preserve">Same three plan integrity structure as CS-E 515. The Engineering Plan wording explicitly requires accounting for the effects of parts influencing the load, material, environmental, and operating condition parameters, which is the origin of the influencing part concept.</t>
  </si>
  <si>
    <t xml:space="preserve">Constructed identically to the engine critical part. Hazardous propeller effect engages (b) directly; the same three-plan documentation structure applies and forms part of the CI's configuration documentation.</t>
  </si>
  <si>
    <t xml:space="preserve">C08</t>
  </si>
  <si>
    <t xml:space="preserve">APU Critical Part</t>
  </si>
  <si>
    <t xml:space="preserve">Equivalent construct applied to auxiliary power units, where primary failure of the element is likely to produce a hazardous APU effect.</t>
  </si>
  <si>
    <t xml:space="preserve">EASA CS-APU 210(c) and CS-APU 150</t>
  </si>
  <si>
    <t xml:space="preserve">EASA civil APU certification.</t>
  </si>
  <si>
    <t xml:space="preserve">Same route where an ALS limit applies.</t>
  </si>
  <si>
    <t xml:space="preserve">Least commonly encountered of the three but constructed identically.</t>
  </si>
  <si>
    <t xml:space="preserve">Medium</t>
  </si>
  <si>
    <t xml:space="preserve">(g)</t>
  </si>
  <si>
    <t xml:space="preserve">Reaches (b) through the serious-injury limb rather than loss of primary system capability, since an APU is rarely primary capability. Weakest of the three hazardous-effect constructs on consequence, but the screen is met and the designation follows.</t>
  </si>
  <si>
    <t xml:space="preserve">C09</t>
  </si>
  <si>
    <t xml:space="preserve">Rotorcraft Critical Part</t>
  </si>
  <si>
    <t xml:space="preserve">A part the failure of which could have a catastrophic effect upon the rotorcraft, and for which critical characteristics have been identified that must be controlled to ensure the required level of integrity.</t>
  </si>
  <si>
    <t xml:space="preserve">14 CFR 27.602 and 29.602; EASA CS 27/29.602(a); EASA FAQ 19013</t>
  </si>
  <si>
    <t xml:space="preserve">Federal regulation and certification specification</t>
  </si>
  <si>
    <t xml:space="preserve">Civil rotorcraft type certification, FAA and EASA.</t>
  </si>
  <si>
    <t xml:space="preserve">Design approval holder, via an approved critical parts plan</t>
  </si>
  <si>
    <t xml:space="preserve">Not imposed by 27.602 or 29.602 themselves. Becomes Required under 14 CFR 45.15(c) once the critical parts plan places a replacement time or inspection interval in the ALS, which is the usual outcome.</t>
  </si>
  <si>
    <t xml:space="preserve">Yes. Control of the identified critical characteristics generates lot and process records independently.</t>
  </si>
  <si>
    <t xml:space="preserve">Note the structural difference from the engine definition: this one is expressed in terms of critical characteristics that must be controlled, which pushes the obligation down to the feature level as well as the part level.</t>
  </si>
  <si>
    <t xml:space="preserve">Catastrophic effect on the rotorcraft engages (b) squarely. Note the definition pushes control down to identified critical characteristics: the part is the CI, the characteristics are controlled within its documentation. Do not designate characteristics as CIs to make records match.</t>
  </si>
  <si>
    <t xml:space="preserve">C10</t>
  </si>
  <si>
    <t xml:space="preserve">Critical Component (bilateral)</t>
  </si>
  <si>
    <t xml:space="preserve">A part identified as critical by the design approval holder during product type validation, or otherwise by the exporting authority. Typically includes parts for which a replacement time, inspection interval, or related procedure is specified in the ALS or in certification maintenance requirements of the maintenance manual or ICA.</t>
  </si>
  <si>
    <t xml:space="preserve">EU-US bilateral aviation safety agreement and associated technical implementation procedures; EASA FAQ 19013</t>
  </si>
  <si>
    <t xml:space="preserve">Bilateral agreement</t>
  </si>
  <si>
    <t xml:space="preserve">Cross border validation and export airworthiness approval.</t>
  </si>
  <si>
    <t xml:space="preserve">Design approval holder or exporting authority</t>
  </si>
  <si>
    <t xml:space="preserve">Effectively so, because the defining population is the set of parts carrying ALS or CMR provisions, which triggers 14 CFR 45.15(c).</t>
  </si>
  <si>
    <t xml:space="preserve">Useful because it is the definition most likely to appear in an export or transfer agreement rather than in a certification basis. Do not import it into a design context.</t>
  </si>
  <si>
    <t xml:space="preserve">Hits by inheritance rather than by independent determination: the defining population is the set of parts already carrying ALS or CMR provisions. Screen the underlying limitation, not the export label. Do not import this definition into a design context, where it will over-designate.</t>
  </si>
  <si>
    <t xml:space="preserve">C11</t>
  </si>
  <si>
    <t xml:space="preserve">Critical Influencing Part (CIP)</t>
  </si>
  <si>
    <t xml:space="preserve">Second order lifing designation</t>
  </si>
  <si>
    <t xml:space="preserve">A part that has a direct or indirect influence on the boundary conditions used in the approved life system model that establishes a given life limited part's airworthiness limitations. The part itself carries no life limit and its own failure has no hazardous effect.</t>
  </si>
  <si>
    <t xml:space="preserve">OEM engine manuals and engine maintenance agreements; concept rooted in the CS-E 515 and CS-P 160 Engineering Plan requirement to account for the effects of parts influencing loads, material properties, environmental influences, and operating conditions</t>
  </si>
  <si>
    <t xml:space="preserve">OEM approved data and contract</t>
  </si>
  <si>
    <t xml:space="preserve">Civil engine maintenance, repair and overhaul. No standalone regulatory definition.</t>
  </si>
  <si>
    <t xml:space="preserve">Engine OEM, through approved manual content</t>
  </si>
  <si>
    <t xml:space="preserve">Not required</t>
  </si>
  <si>
    <t xml:space="preserve">No serialization requirement. Control is exercised through configuration and approved repair limits.</t>
  </si>
  <si>
    <t xml:space="preserve">Yes. Lot or batch plus configuration and repair history is the working control.</t>
  </si>
  <si>
    <t xml:space="preserve">Highest exposure row in the register. The airworthiness consequence is displaced onto a different part number, so a critical part can remain within its stamped life limit while the lifing basis underneath it has quietly become invalid. Typical examples are cooling air metering hardware, seals, bearings, and oil nozzles.</t>
  </si>
  <si>
    <t xml:space="preserve">No</t>
  </si>
  <si>
    <t xml:space="preserve">(a), (f)</t>
  </si>
  <si>
    <t xml:space="preserve">The trap in this register. Fails (b) by its own definition, since its own failure has no hazardous effect, yet it is a strong candidate on (a): the approved lifing basis of a safety-critical part depends on its configuration, and a change to it needs an independent effectivity address. Screening only against (b) and stopping is exactly how a CIP goes undesignated while a critical part sits within its stamped life on an invalid basis.</t>
  </si>
  <si>
    <t xml:space="preserve">C12</t>
  </si>
  <si>
    <t xml:space="preserve">Airworthiness Limitation Item (ALI)</t>
  </si>
  <si>
    <t xml:space="preserve">Continued airworthiness limitation</t>
  </si>
  <si>
    <t xml:space="preserve">Part or task</t>
  </si>
  <si>
    <t xml:space="preserve">A mandatory replacement time, structural inspection interval, or related procedure approved as part of the type design and published in the Airworthiness Limitations Section of the ICA.</t>
  </si>
  <si>
    <t xml:space="preserve">14 CFR 25.1529 and Part 25 Appendix H; equivalent Part 23, 27, 29, 33 provisions</t>
  </si>
  <si>
    <t xml:space="preserve">Civil continued airworthiness for all product categories.</t>
  </si>
  <si>
    <t xml:space="preserve">Type certificate holder, approved by the authority</t>
  </si>
  <si>
    <t xml:space="preserve">Required under 14 CFR 45.15(c) where the ALI attaches to a discrete part. Not applicable where the ALI is a zonal or structural inspection task with no associated part.</t>
  </si>
  <si>
    <t xml:space="preserve">Applies where the limitation is expressed against a manufactured lot rather than a unit, which is uncommon for ALIs.</t>
  </si>
  <si>
    <t xml:space="preserve">The ALS is the practical trigger mechanism for most civil serialization. Work from the ALS content rather than from the criticality label when determining marking obligations.</t>
  </si>
  <si>
    <t xml:space="preserve">Fits where the limitation attaches to a discrete part. A zonal or structural inspection task has no item to designate and is controlled within the parent CI's documentation. Work from what is actually in the ALS rather than from the criticality label, per the workbook's own recording rule.</t>
  </si>
  <si>
    <t xml:space="preserve">C13</t>
  </si>
  <si>
    <t xml:space="preserve">Certification Maintenance Requirement (CMR)</t>
  </si>
  <si>
    <t xml:space="preserve">Task</t>
  </si>
  <si>
    <t xml:space="preserve">A required periodic maintenance task established during the certification safety analysis to detect a latent failure that would, in combination with one or more other failures, produce a hazardous or catastrophic failure condition.</t>
  </si>
  <si>
    <t xml:space="preserve">AC 25-19A; derived from the 25.1309 safety assessment; published in the ALS</t>
  </si>
  <si>
    <t xml:space="preserve">Advisory material implementing regulation</t>
  </si>
  <si>
    <t xml:space="preserve">Civil transport category certification and continued airworthiness.</t>
  </si>
  <si>
    <t xml:space="preserve">Not applicable</t>
  </si>
  <si>
    <t xml:space="preserve">A CMR is a task, not an item. No marking obligation arises from CMR status itself.</t>
  </si>
  <si>
    <t xml:space="preserve">Not applicable.</t>
  </si>
  <si>
    <t xml:space="preserve">Included because CMRs sit adjacent to ALIs in the same document and are frequently conflated with them. They have different origins and different change control paths.</t>
  </si>
  <si>
    <t xml:space="preserve">A task, not an item, so it never reaches the criteria screen. Its existence is still a candidate-identification signal: a CMR means the certification safety analysis found a latent failure contributing to a hazardous or catastrophic condition, so screen the items implementing that function against (b).</t>
  </si>
  <si>
    <t xml:space="preserve">C14</t>
  </si>
  <si>
    <t xml:space="preserve">Principal Structural Element (PSE)</t>
  </si>
  <si>
    <t xml:space="preserve">Structural designation</t>
  </si>
  <si>
    <t xml:space="preserve">Structural element or location; discrete part when safe-life</t>
  </si>
  <si>
    <t xml:space="preserve">A structural element that contributes significantly to carrying flight, ground, or pressurization loads, and whose integrity is essential in maintaining the overall structural integrity of the airplane.</t>
  </si>
  <si>
    <t xml:space="preserve">14 CFR 25.571 and associated advisory material; related aging aircraft provisions in 14 CFR Part 26. Marking under 14 CFR 45.15(c). Life status under 14 CFR 43.10 and 91.417(a)(2)(ii).</t>
  </si>
  <si>
    <t xml:space="preserve">Civil transport category structure: damage tolerance, safe-life, and aging aircraft programs.</t>
  </si>
  <si>
    <t xml:space="preserve">Type certificate holder</t>
  </si>
  <si>
    <t xml:space="preserve">Depends on the evaluation path under 25.571. Safe-life PSE (25.571(c)) that is a discrete part with an ALS mandatory replacement time: Required under 14 CFR 45.15(c). That part is also a life-limited part under 14 CFR 43.10, so its life status must follow the unit. Damage-tolerant PSE whose ALS entry is a structural inspection at a location: Not required. It is tracked by airplane and structural location. A discrete, replaceable damage-tolerant PSE with its own part-level ALS inspection interval may also fall under 45.15(c). Check the ALS.</t>
  </si>
  <si>
    <t xml:space="preserve">Applies to raw material heat and lot for the underlying detail parts, not to the PSE designation itself.</t>
  </si>
  <si>
    <t xml:space="preserve">Two evaluation paths produce two record structures. Damage-tolerant PSEs are typically location based. Safe-life PSEs are typically discrete parts, and landing gear is the common case. Related terms Fatigue Critical Structure and Fatigue Critical Baseline Structure are location based. Back-to-birth records are not the regulatory basis. FAA Chief Counsel (letter to MacLeod, July 18, 2009) stated that the regulations do not require them. The records must show current life status with a sufficient degree of certainty. Cite 45.15(c) for the serialization requirement.</t>
  </si>
  <si>
    <t xml:space="preserve">(a), (g) for safe-life discrete parts; none on its own for location-based PSEs</t>
  </si>
  <si>
    <t xml:space="preserve">Split by evaluation path. A damage-tolerant PSE designated by structural location fails the object test and is controlled within the parent CI's documentation. A safe-life PSE that is a discrete part passes the object test. Section 25.571(a)(1)(ii) identifies PSEs by failure that could cause catastrophic failure of the airplane, so it meets (b). Its per-unit life status is status accounting against that item. Fatigue Critical Structure and Fatigue Critical Baseline Structure behave like the damage-tolerant case.</t>
  </si>
  <si>
    <t xml:space="preserve">C15</t>
  </si>
  <si>
    <t xml:space="preserve">Fracture Critical Part (ASIP)</t>
  </si>
  <si>
    <t xml:space="preserve">Failure mode scoped designation</t>
  </si>
  <si>
    <t xml:space="preserve">Structural component</t>
  </si>
  <si>
    <t xml:space="preserve">A structural component whose failure from crack initiation and growth would cause loss of the aircraft. Within the damage tolerance and durability control plan, structure is sorted into classes including fracture critical, mission critical, durability critical, maintenance critical, and normal controls.</t>
  </si>
  <si>
    <t xml:space="preserve">MIL-STD-1530D with Change 1, Aircraft Structural Integrity Program</t>
  </si>
  <si>
    <t xml:space="preserve">Military standard</t>
  </si>
  <si>
    <t xml:space="preserve">US military airframe structure. Program specific application through the contract SOW.</t>
  </si>
  <si>
    <t xml:space="preserve">Contractor structures organization, accepted by the Air Force ASIP technical advisor</t>
  </si>
  <si>
    <t xml:space="preserve">Fracture critical status alone does not compel serialization. See the traceable subclass below.</t>
  </si>
  <si>
    <t xml:space="preserve">Yes. Raw material heat and lot traceability, plus process control on forging, machining, and surface treatment.</t>
  </si>
  <si>
    <t xml:space="preserve">Scoped by failure mechanism rather than by consequence generally. Asks what happens if this part cracks, not what happens if it fails, and exists to trigger fracture mechanics obligations rather than source control.</t>
  </si>
  <si>
    <t xml:space="preserve">(a), (c)</t>
  </si>
  <si>
    <t xml:space="preserve">Carrying flight, ground or pressurization loads is an end-use function, so this clears the gate that purely structural elements with no functional role fail. Scoped by failure mechanism rather than consequence generally, but the stated consequence, loss of the aircraft, meets (b). Fracture control records belong to the product baseline.</t>
  </si>
  <si>
    <t xml:space="preserve">C16</t>
  </si>
  <si>
    <t xml:space="preserve">Fracture-Critical Traceable Part (ASIP)</t>
  </si>
  <si>
    <t xml:space="preserve">A safety of flight structural component that is either single load path or sized by durability or damage tolerance requirements. Parts in this class require serialization and traceability as one of the controls.</t>
  </si>
  <si>
    <t xml:space="preserve">MIL-STD-1530D with Change 1; same definition appears in MIL-STD-1530C</t>
  </si>
  <si>
    <t xml:space="preserve">US military airframe structure.</t>
  </si>
  <si>
    <t xml:space="preserve">Contractor structures organization under the DADT control plan</t>
  </si>
  <si>
    <t xml:space="preserve">Stated directly in the standard. Serialization and traceability are named as controls for this class.</t>
  </si>
  <si>
    <t xml:space="preserve">Yes, in addition, for material and process traceability.</t>
  </si>
  <si>
    <t xml:space="preserve">The precision matters. Within ASIP it is the traceable subclass that carries the serialization obligation, not fracture critical status in general. A compliance matrix that cites fracture critical alone will not support the marking requirement.</t>
  </si>
  <si>
    <t xml:space="preserve">Same screen as C15, with the serialization obligation attaching to this subclass specifically. When the marking requirement is what matters, cite this class rather than fracture critical generally. The distinction survives into the CI index and the traceability record.</t>
  </si>
  <si>
    <t xml:space="preserve">C17</t>
  </si>
  <si>
    <t xml:space="preserve">Fracture Critical Component (ENSIP)</t>
  </si>
  <si>
    <t xml:space="preserve">Engine component</t>
  </si>
  <si>
    <t xml:space="preserve">An engine structural component for which damage tolerance based on fracture mechanics is used to predict crack propagation and set inspection intervals, so that damage is detected and repaired before failure.</t>
  </si>
  <si>
    <t xml:space="preserve">MIL-HDBK-1783B with Change 2, Engine Structural Integrity Program; formerly MIL-STD-1783, cancelled</t>
  </si>
  <si>
    <t xml:space="preserve">Military handbook, guidance only</t>
  </si>
  <si>
    <t xml:space="preserve">US military gas turbine engines. Guidance only and cannot be cited as a requirement, so it arrives through the SOW.</t>
  </si>
  <si>
    <t xml:space="preserve">Contractor, under the program integrity plan</t>
  </si>
  <si>
    <t xml:space="preserve">Program specific. Typically required for rotating hardware because cycle based life tracking demands per unit identity.</t>
  </si>
  <si>
    <t xml:space="preserve">Yes. Material and process traceability.</t>
  </si>
  <si>
    <t xml:space="preserve">Because MIL-STD-1783 was cancelled and only the handbook survives, fracture critical status on a modern engine contract usually rests on program specific SOW language rather than on a citable standard. Check the contract, not the handbook.</t>
  </si>
  <si>
    <t xml:space="preserve">(a)</t>
  </si>
  <si>
    <t xml:space="preserve">Consequence meets (b) regardless of the citation problem. Because the standard was cancelled and only the handbook survives, the designation usually rests on program SOW language: screen the item on consequence and record the contractual basis in the selection rationale so the next assessor can see where it came from.</t>
  </si>
  <si>
    <t xml:space="preserve">C18</t>
  </si>
  <si>
    <t xml:space="preserve">Fracture Critical (spaceflight)</t>
  </si>
  <si>
    <t xml:space="preserve">Part or assembly</t>
  </si>
  <si>
    <t xml:space="preserve">Hardware for which failure from a crack or crack like flaw would result in a catastrophic hazard, and which is not shown to be contained, fail safe, or of sufficiently low released mass to be exempt.</t>
  </si>
  <si>
    <t xml:space="preserve">NASA-STD-5019, Fracture Control Requirements for Spaceflight Hardware</t>
  </si>
  <si>
    <t xml:space="preserve">Agency technical standard</t>
  </si>
  <si>
    <t xml:space="preserve">NASA and NASA contracted spaceflight hardware.</t>
  </si>
  <si>
    <t xml:space="preserve">Project fracture control board</t>
  </si>
  <si>
    <t xml:space="preserve">Required in effect. Fracture control records including NDE results, assumed initial flaw size, material data, and analysis basis are per part, which demands unique identification.</t>
  </si>
  <si>
    <t xml:space="preserve">Yes. Material lot and heat traceability underpins the analysis basis.</t>
  </si>
  <si>
    <t xml:space="preserve">Obligation set is assumed initial flaw size, damage tolerance or safe life analysis, NDE with demonstrated probability of detection, controlled processing, and derived inspection intervals.</t>
  </si>
  <si>
    <t xml:space="preserve">Catastrophic hazard by definition, so (b) is met. The fracture control record set, covering assumed initial flaw size, damage tolerance or safe life analysis, NDE with demonstrated probability of detection, derived inspection intervals, is per part and forms part of the CI's product configuration information.</t>
  </si>
  <si>
    <t xml:space="preserve">C19</t>
  </si>
  <si>
    <t xml:space="preserve">Nonredundant Steel Tension Member (NSTM)</t>
  </si>
  <si>
    <t xml:space="preserve">Structural member</t>
  </si>
  <si>
    <t xml:space="preserve">A steel tension member whose failure would be expected to cause collapse of the bridge or an inability of the bridge to perform its function. Formerly termed a fracture critical member.</t>
  </si>
  <si>
    <t xml:space="preserve">FHWA National Bridge Inspection Standards, 23 CFR Part 650 Subpart C; AASHTO bridge inspection and design specifications</t>
  </si>
  <si>
    <t xml:space="preserve">US highway bridges. Outside aerospace, included because the term is identical and the reasoning is the same.</t>
  </si>
  <si>
    <t xml:space="preserve">Bridge owner and inspection program manager</t>
  </si>
  <si>
    <t xml:space="preserve">Bridge elements are tracked by structure and member identity in the inventory, not by manufactured serial number.</t>
  </si>
  <si>
    <t xml:space="preserve">Not applicable in the manufactured item sense.</t>
  </si>
  <si>
    <t xml:space="preserve">Same logic as the aerospace usage: a nonredundant tension member whose single crack driven failure removes the load path. Confirm the current terminology and citation, since the fracture critical to NSTM transition postdates much of the existing literature.</t>
  </si>
  <si>
    <t xml:space="preserve">Outside the manufactured-product domain: identity is a member in a bridge inventory, not a part number, and there is no system end-use function in the CI sense. Present in the register for terminology contrast only; it should not appear in a CI screening decision.</t>
  </si>
  <si>
    <t xml:space="preserve">C20</t>
  </si>
  <si>
    <t xml:space="preserve">Criticality 1, 1R, 1S (NASA CIL)</t>
  </si>
  <si>
    <t xml:space="preserve">Consequence based analysis output</t>
  </si>
  <si>
    <t xml:space="preserve">Failure mode</t>
  </si>
  <si>
    <t xml:space="preserve">A failure mode whose occurrence results in loss of crew or vehicle. Criticality 1 denotes no redundancy, 1R denotes redundant elements where loss of all redundancy produces the same consequence, and 1S denotes a safety or hazard detection device whose failure is undetected.</t>
  </si>
  <si>
    <t xml:space="preserve">NASA failure modes and effects analysis and critical items list practice, including NASA-STD-8729.1 and program level requirements</t>
  </si>
  <si>
    <t xml:space="preserve">Agency technical standard and program requirement</t>
  </si>
  <si>
    <t xml:space="preserve">NASA human spaceflight and other agency programs.</t>
  </si>
  <si>
    <t xml:space="preserve">Project safety and mission assurance, accepted at program board level</t>
  </si>
  <si>
    <t xml:space="preserve">Criticality coding alone carries no marking obligation. Serialization arrives through fracture critical status, limited life status, or program configuration requirements.</t>
  </si>
  <si>
    <t xml:space="preserve">Applies where imposed by limited life or material control requirements, not by the criticality code.</t>
  </si>
  <si>
    <t xml:space="preserve">Distinctive for encoding redundancy in the code itself, unlike the DoD CSI construct where system level redundancy does not relieve the designation. The obligation is documented retention rationale plus program acceptance rather than a hardware control.</t>
  </si>
  <si>
    <t xml:space="preserve">The object is a failure mode, not an item, so the code alone designates nothing. Translate it to the hardware implementing that mode and screen that hardware against (b). Note that 1R carries the same consequence as 1. Redundancy does not relieve the screen, matching the CI criteria, which contain no likelihood or redundancy term.</t>
  </si>
  <si>
    <t xml:space="preserve">C21</t>
  </si>
  <si>
    <t xml:space="preserve">Safety-Related SSC (nuclear Q-List)</t>
  </si>
  <si>
    <t xml:space="preserve">Consequence based system designation</t>
  </si>
  <si>
    <t xml:space="preserve">Structure, system or component</t>
  </si>
  <si>
    <t xml:space="preserve">Structures, systems and components relied upon to remain functional during and following design basis events, to assure the integrity of the reactor coolant pressure boundary, the capability to shut down the reactor and maintain safe shutdown, or the capability to prevent or mitigate offsite exposures.</t>
  </si>
  <si>
    <t xml:space="preserve">10 CFR Part 50 Appendix B; ASME NQA-1; reporting under 10 CFR Part 21</t>
  </si>
  <si>
    <t xml:space="preserve">Federal regulation plus consensus standard</t>
  </si>
  <si>
    <t xml:space="preserve">US commercial nuclear power. Closest analogue to CSI in legal force.</t>
  </si>
  <si>
    <t xml:space="preserve">Licensee, subject to NRC oversight</t>
  </si>
  <si>
    <t xml:space="preserve">Appendix B Criterion VIII requires identification and control of materials, parts and components sufficient to prevent use of incorrect or defective items. Heat, lot, or batch identification satisfies this. Serialization is imposed selectively on specific SSCs.</t>
  </si>
  <si>
    <t xml:space="preserve">Yes, and this is the primary control. Commercial grade dedication verifies identified critical characteristics on a lot acceptance basis.</t>
  </si>
  <si>
    <t xml:space="preserve">Scoped by accident analysis rather than by part failure effect, which is the structural difference from CSI. Adjacent categories include important to safety and augmented quality, which carry reduced obligations.</t>
  </si>
  <si>
    <t xml:space="preserve">Fits at component level, where failure defeats safe shutdown or containment. System-level SSC scoping sits above CI level and decomposes into CIs. Worth noting that commercial grade dedication accepts a catastrophic-consequence item on a lot basis. It is a legitimate (b) item that is not serialized.</t>
  </si>
  <si>
    <t xml:space="preserve">C22</t>
  </si>
  <si>
    <t xml:space="preserve">Safety-Critical Function and Safety-Critical Item (MIL-STD-882E)</t>
  </si>
  <si>
    <t xml:space="preserve">System safety designation</t>
  </si>
  <si>
    <t xml:space="preserve">Function, or hardware or software item</t>
  </si>
  <si>
    <t xml:space="preserve">A safety critical function is one whose failure or malfunction could result in a catastrophic or critical mishap. A safety critical item is a hardware or software item determined through analysis to potentially contribute to a hazard with catastrophic or critical mishap potential.</t>
  </si>
  <si>
    <t xml:space="preserve">MIL-STD-882E, Department of Defense Standard Practice, System Safety</t>
  </si>
  <si>
    <t xml:space="preserve">US DoD system safety programs across all domains.</t>
  </si>
  <si>
    <t xml:space="preserve">Contractor system safety, accepted by the program safety review authority</t>
  </si>
  <si>
    <t xml:space="preserve">System safety analysis outputs drive design and process controls, not item marking.</t>
  </si>
  <si>
    <t xml:space="preserve">Not imposed by the designation. Follows from the hardware controls chosen to mitigate the hazard.</t>
  </si>
  <si>
    <t xml:space="preserve">Frequently confused with the DFARS critical safety item. Different authority, different object, different obligation. MIL-STD-882E also drives the software criticality index and level of rigor tasks, which are process obligations rather than part obligations.</t>
  </si>
  <si>
    <t xml:space="preserve">(a), SW rule</t>
  </si>
  <si>
    <t xml:space="preserve">The safety-critical ITEM half is the direct hit and is the designation the safety-linkage rule is written for: screen against (b), and usually (a). The safety-critical FUNCTION half designates a function and produces no CI candidate on its own. Software items go to CSCI by rule, not by judgment.</t>
  </si>
  <si>
    <t xml:space="preserve">C23</t>
  </si>
  <si>
    <t xml:space="preserve">Development Assurance Level (FDAL, IDAL, DAL)</t>
  </si>
  <si>
    <t xml:space="preserve">Development assurance designation</t>
  </si>
  <si>
    <t xml:space="preserve">Function, software, or electronic hardware</t>
  </si>
  <si>
    <t xml:space="preserve">A designation of the rigor applied to development activities, assigned from the severity of the failure condition the function contributes to, running from Level A for catastrophic through Level E for no safety effect.</t>
  </si>
  <si>
    <t xml:space="preserve">ARP4754B and ARP4761A for the assignment process; RTCA DO-178C for software; RTCA DO-254 for airborne electronic hardware</t>
  </si>
  <si>
    <t xml:space="preserve">Industry recommended practice accepted as a means of compliance</t>
  </si>
  <si>
    <t xml:space="preserve">Civil aircraft, systems and equipment development. Adopted by military airworthiness authorities as well.</t>
  </si>
  <si>
    <t xml:space="preserve">Design organization, accepted by the authority</t>
  </si>
  <si>
    <t xml:space="preserve">Not a hardware unit designation. What gets uniquely identified is the software or hardware configuration baseline and the loadable part number, not the individual unit.</t>
  </si>
  <si>
    <t xml:space="preserve">Aimed at development error rather than part conformance, which is why a Level A function can be implemented with parts that are not critical parts. Assignment is top down and can be reduced by architecture and independence, unlike CSI.</t>
  </si>
  <si>
    <t xml:space="preserve">SW rule</t>
  </si>
  <si>
    <t xml:space="preserve">Designates development rigor for a function or a baseline, not consequence for an item. A Level A function can be implemented with parts that are not (b) items, and the reverse also holds. What gets uniquely identified is the loadable part number and baseline; the software is a CSCI by rule regardless of level.</t>
  </si>
  <si>
    <t xml:space="preserve">C24</t>
  </si>
  <si>
    <t xml:space="preserve">ASIL (ISO 26262)</t>
  </si>
  <si>
    <t xml:space="preserve">Risk based integrity level</t>
  </si>
  <si>
    <t xml:space="preserve">Function and its implementation</t>
  </si>
  <si>
    <t xml:space="preserve">An automotive safety integrity level assigned from the combination of severity, exposure, and controllability of a hazardous event, running from ASIL A through ASIL D, with QM denoting no ASIL requirement.</t>
  </si>
  <si>
    <t xml:space="preserve">ISO 26262, Road vehicles, Functional safety</t>
  </si>
  <si>
    <t xml:space="preserve">International consensus standard</t>
  </si>
  <si>
    <t xml:space="preserve">Road vehicle electrical and electronic systems.</t>
  </si>
  <si>
    <t xml:space="preserve">Vehicle or system manufacturer</t>
  </si>
  <si>
    <t xml:space="preserve">No unit serialization obligation from the ASIL itself.</t>
  </si>
  <si>
    <t xml:space="preserve">Yes in practice, driven by production traceability and recall obligations rather than by the ASIL.</t>
  </si>
  <si>
    <t xml:space="preserve">Risk based rather than consequence only, and reducible through decomposition. The contrast with CSI is sharp: exposure and controllability have no place in a CSI determination.</t>
  </si>
  <si>
    <t xml:space="preserve">Cannot proxy for (b). ASIL discounts by exposure and controllability; criterion (b) is consequence-only. A catastrophic-severity, low-exposure hazard scores a low ASIL and still meets (b) in full. Using an integrity level as the screen systematically under-designates exactly the low-exposure, high-consequence items.</t>
  </si>
  <si>
    <t xml:space="preserve">C25</t>
  </si>
  <si>
    <t xml:space="preserve">SIL (IEC 61508 and IEC 61511)</t>
  </si>
  <si>
    <t xml:space="preserve">Safety function</t>
  </si>
  <si>
    <t xml:space="preserve">A safety integrity level, from SIL 1 through SIL 4, expressing the risk reduction a safety function must deliver, with associated target failure measures expressed as probability of failure on demand or per hour, plus architectural constraints.</t>
  </si>
  <si>
    <t xml:space="preserve">IEC 61508 for the generic standard; IEC 61511 for the process sector; EN 50126, 50128 and 50129 for railway applications</t>
  </si>
  <si>
    <t xml:space="preserve">Process industries, machinery, rail, and general functional safety.</t>
  </si>
  <si>
    <t xml:space="preserve">Duty holder or system integrator, verified through functional safety assessment</t>
  </si>
  <si>
    <t xml:space="preserve">No unit serialization from the SIL. Instrument tag numbers serve as the unique identity in the asset register.</t>
  </si>
  <si>
    <t xml:space="preserve">Applies through general procurement and mechanical integrity practice.</t>
  </si>
  <si>
    <t xml:space="preserve">Quantitative target plus architectural constraint plus process rigor. Assigned to a function, not to an item, so it never attaches cleanly to a part number.</t>
  </si>
  <si>
    <t xml:space="preserve">Assigned to a safety function with a quantitative target and architectural constraints; it never attaches cleanly to a part number. Same likelihood-discount objection as ASIL. Instrument tag identity in an asset register is not a CI identifier.</t>
  </si>
  <si>
    <t xml:space="preserve">C26</t>
  </si>
  <si>
    <t xml:space="preserve">Software Safety Class A, B, C (IEC 62304)</t>
  </si>
  <si>
    <t xml:space="preserve">Software item</t>
  </si>
  <si>
    <t xml:space="preserve">A classification of medical device software by the severity of injury possible from a hazard the software could contribute to, where Class A permits no injury, Class B permits non serious injury, and Class C permits death or serious injury.</t>
  </si>
  <si>
    <t xml:space="preserve">IEC 62304, Medical device software, Software life cycle processes</t>
  </si>
  <si>
    <t xml:space="preserve">Medical device software.</t>
  </si>
  <si>
    <t xml:space="preserve">Device manufacturer</t>
  </si>
  <si>
    <t xml:space="preserve">No unit serialization obligation from the class.</t>
  </si>
  <si>
    <t xml:space="preserve">Not applicable to software. See the UDI row for the device level obligation.</t>
  </si>
  <si>
    <t xml:space="preserve">Included to show that the process rigor pattern recurs identically outside aerospace under a different label.</t>
  </si>
  <si>
    <t xml:space="preserve">Largely moot for designation: software is designated a CSCI by rule, so the class changes nothing about whether it is a CI. Class C is still useful evidence. It signals the hazard severity that would engage (b) for the hosting hardware item and for anything else in that hazard path.</t>
  </si>
  <si>
    <t xml:space="preserve">C27</t>
  </si>
  <si>
    <t xml:space="preserve">Critical Characteristic and Key Characteristic</t>
  </si>
  <si>
    <t xml:space="preserve">Feature level designation</t>
  </si>
  <si>
    <t xml:space="preserve">Feature or process parameter</t>
  </si>
  <si>
    <t xml:space="preserve">A characteristic of a feature, process, or part whose nonconformance is likely to result in a hazardous or unsafe condition, or whose variation has a significant effect on fit, performance, service life, or manufacturability, and which therefore requires control.</t>
  </si>
  <si>
    <t xml:space="preserve">AS9100D clause 8.1.3 for critical items and key characteristics; AS9103 for key characteristic variation management; MIL-STD-1916 and legacy quality standards</t>
  </si>
  <si>
    <t xml:space="preserve">Industry standard and military standard</t>
  </si>
  <si>
    <t xml:space="preserve">Aerospace, defense and space manufacturing quality systems. Widely flowed down by contract.</t>
  </si>
  <si>
    <t xml:space="preserve">Design organization, flowed to the supplier through drawing and specification</t>
  </si>
  <si>
    <t xml:space="preserve">Attaches to a feature, not to a unit. Control is exercised through one hundred percent verification or demonstrated process capability.</t>
  </si>
  <si>
    <t xml:space="preserve">Yes. Lot or batch acceptance records plus variation data are the primary evidence.</t>
  </si>
  <si>
    <t xml:space="preserve">Note that the AS9100 term critical item is deliberately broader than safety and includes producibility, service life, form, fit and function. Do not treat an AS9100 critical item as equivalent to a safety critical designation without checking why it was flagged.</t>
  </si>
  <si>
    <t xml:space="preserve">(a) for the parent part</t>
  </si>
  <si>
    <t xml:space="preserve">Attaches to a feature or process parameter, not an item, and is controlled within the parent CI's documentation. Strong evidence the parent part is a (b) candidate. Screen the part, not the characteristic. Note the AS9100 'critical item' term is deliberately broader than safety and includes producibility, service life and form/fit/function; check why it was flagged before treating it as safety-critical.</t>
  </si>
  <si>
    <t xml:space="preserve">C28</t>
  </si>
  <si>
    <t xml:space="preserve">Safety Critical Element (SCE)</t>
  </si>
  <si>
    <t xml:space="preserve">Consequence based element designation</t>
  </si>
  <si>
    <t xml:space="preserve">Plant element or system</t>
  </si>
  <si>
    <t xml:space="preserve">Parts of an installation, or plant, the failure of which could cause or contribute substantially to a major accident, or a purpose of which is to prevent or limit the effect of a major accident.</t>
  </si>
  <si>
    <t xml:space="preserve">UK offshore safety case and prevention of fire and explosion regulations, with verification through a written scheme; equivalent duty holder regimes elsewhere</t>
  </si>
  <si>
    <t xml:space="preserve">National regulation</t>
  </si>
  <si>
    <t xml:space="preserve">UK and comparable offshore installations. Also used onshore in major hazard industries.</t>
  </si>
  <si>
    <t xml:space="preserve">Duty holder, with independent competent person verification</t>
  </si>
  <si>
    <t xml:space="preserve">Elements are identified by asset tag in the register rather than by manufactured serial number.</t>
  </si>
  <si>
    <t xml:space="preserve">Applies through general procurement practice, not through SCE status.</t>
  </si>
  <si>
    <t xml:space="preserve">Performance based rather than list based. Each element carries a written performance standard, and an independent verification scheme confirms suitability and continued performance. No source approval concept at all, which is the opposite pole from CSI.</t>
  </si>
  <si>
    <t xml:space="preserve">Element-level and performance-standard based, identified by asset tag rather than part number. Fits where the element is a manufactured item satisfying an end-use function. The written scheme of verification is an independent assurance mechanism, not a configuration designation, and does not substitute for one.</t>
  </si>
  <si>
    <t xml:space="preserve">C29</t>
  </si>
  <si>
    <t xml:space="preserve">Unique Device Identification, implantable and life-supporting devices</t>
  </si>
  <si>
    <t xml:space="preserve">Risk class driven marking</t>
  </si>
  <si>
    <t xml:space="preserve">Device unit</t>
  </si>
  <si>
    <t xml:space="preserve">A device identifier plus production identifiers, where the production identifier may be a serial number, lot or batch number, expiration date, or manufacturing date. Implantable, life supporting and life sustaining devices additionally require direct marking on the device itself.</t>
  </si>
  <si>
    <t xml:space="preserve">21 CFR Part 830 and 21 CFR 801.45; device risk classification under 21 CFR Part 860</t>
  </si>
  <si>
    <t xml:space="preserve">US medical devices.</t>
  </si>
  <si>
    <t xml:space="preserve">Device manufacturer, under FDA regulation</t>
  </si>
  <si>
    <t xml:space="preserve">Serial or lot as the production identifier, at the manufacturer's choice within the rule, with direct part marking additionally required for the highest risk categories.</t>
  </si>
  <si>
    <t xml:space="preserve">Yes, as an accepted alternative to serialization within the UDI production identifier structure.</t>
  </si>
  <si>
    <t xml:space="preserve">The only regime in this register where the risk classification itself, rather than a life limit or an inspection history, drives unique marking. Useful as a contrast case.</t>
  </si>
  <si>
    <t xml:space="preserve">(e), (g)</t>
  </si>
  <si>
    <t xml:space="preserve">Risk classification drives the marking, not a consequence screen of the item's failure, so it does not itself satisfy (b). In practice the device is the end item and therefore the top-level CI in its own right. Useful contrast case: the only regime here where the classification itself compels unique marking.</t>
  </si>
  <si>
    <t xml:space="preserve">C30</t>
  </si>
  <si>
    <t xml:space="preserve">Premium Selection Material (elevated design values)</t>
  </si>
  <si>
    <t xml:space="preserve">Material basis designation</t>
  </si>
  <si>
    <t xml:space="preserve">Individual part</t>
  </si>
  <si>
    <t xml:space="preserve">A part for which greater material design values are used, on the condition that a premium selection of the material is made. A specimen of each individual item is tested before use to determine that the actual strength properties of that particular item equal or exceed those used in design.</t>
  </si>
  <si>
    <t xml:space="preserve">14 CFR 25.613(e); AC 25.613-1, paragraph 7.c; parallel provision for normal category airplanes at 14 CFR 23.2260(f)</t>
  </si>
  <si>
    <t xml:space="preserve">Civil transport category structure where design values exceed the statistically based values of 25.613(b).</t>
  </si>
  <si>
    <t xml:space="preserve">Type certificate holder, through the design drawing</t>
  </si>
  <si>
    <t xml:space="preserve">Required in effect. Neither 25.613(e) nor AC 25.613-1 names serialization. Each test result must tie to one part, from specimen through acceptance to installation, so each part needs a unique identifier. 14 CFR 45.15(c) marking applies only if the part also carries an ALS entry.</t>
  </si>
  <si>
    <t xml:space="preserve">Yes, in addition. Heat and lot traceability, plus a record that correlates each specimen to its part.</t>
  </si>
  <si>
    <t xml:space="preserve">The record is fixed at acceptance. It does not grow in service, unlike a life-limited part. AC 25.613-1 says the test procedures and acceptance criteria should be specified on the design drawing, and testing should account for anisotropy where the material is anisotropic. The drawing note is the control. Removing it or changing the acceptance criteria changes the certification basis. The main exposure is substitution: an untested part looks identical and is under strength for this design. Flow the requirement to spares, repairs, PMA, and MRB. In typical practice the specimen is an integral coupon or prolongation processed with the part, including the same heat treat load. Use design values, not design limits, when describing this row.</t>
  </si>
  <si>
    <t xml:space="preserve">The label describes a material acceptance basis, not a consequence. It attaches to a discrete part, so it passes the object test. Whether it meets (b) depends on what that part does. Screen the part on its own consequence. Elevated values are usually sought where margins are tight, so screen these parts with care.</t>
  </si>
  <si>
    <t xml:space="preserve">Cross-cutting record keeping drivers</t>
  </si>
  <si>
    <t xml:space="preserve">These impose serialization or lot recording independently of any criticality designation. Check each one separately for every item, because an item with no criticality label can still be serialized, and a catastrophic-severity item can legitimately be lot controlled.</t>
  </si>
  <si>
    <t xml:space="preserve">Driver</t>
  </si>
  <si>
    <t xml:space="preserve">Source</t>
  </si>
  <si>
    <t xml:space="preserve">Trigger</t>
  </si>
  <si>
    <t xml:space="preserve">Record structure imposed</t>
  </si>
  <si>
    <t xml:space="preserve">Item Unique Identification (IUID)</t>
  </si>
  <si>
    <t xml:space="preserve">DFARS 211.274-2 and 252.211-7003; DoDI 8320.04 (2024); marking per MIL-STD-130</t>
  </si>
  <si>
    <t xml:space="preserve">Unit acquisition cost of $5,000 or more; mission essential or controlled inventory status as determined by the requiring activity; or, regardless of value, DoD serially managed status. Under DoDI 8320.04 (2024), the populations identified as DoD serially managed include critical safety items, capital asset equipment, relocatable facilities, controlled inventory items, depot level repairable items, and certain special tooling and test equipment.</t>
  </si>
  <si>
    <t xml:space="preserve">Serialization</t>
  </si>
  <si>
    <t xml:space="preserve">The real serialization driver for most DoD hardware. It is mostly independent of criticality, with one exception. Since the 2024 reissue of DoDI 8320.04, aviation and ship CSI status itself triggers DoD serially managed status, and so IUID. A non critical item over the cost threshold is marked too. The contractor obligation arrives through DFARS 252.211-7003 in the contract.</t>
  </si>
  <si>
    <t xml:space="preserve">ALS or ICA limitation marking</t>
  </si>
  <si>
    <t xml:space="preserve">14 CFR 45.15(c), formerly 45.14</t>
  </si>
  <si>
    <t xml:space="preserve">A replacement time, inspection interval, or related procedure is specified in the Airworthiness Limitations Section of the maintenance manual or ICA.</t>
  </si>
  <si>
    <t xml:space="preserve">The practical trigger for most civil serialization. Work from what is actually in the ALS rather than from the criticality label. A part can be called critical and carry no ALS entry.</t>
  </si>
  <si>
    <t xml:space="preserve">Cycle or hour based life limit</t>
  </si>
  <si>
    <t xml:space="preserve">14 CFR 43.10; type certificate holder service management plan</t>
  </si>
  <si>
    <t xml:space="preserve">Approved life is expressed in flight cycles, engine cycles, or operating hours.</t>
  </si>
  <si>
    <t xml:space="preserve">Remaining life is a per unit quantity, so the unit must be individually identifiable. Back to birth records and part transfer documentation depend on it.</t>
  </si>
  <si>
    <t xml:space="preserve">Shelf life, cure date, or storage age limit</t>
  </si>
  <si>
    <t xml:space="preserve">DoD shelf life management policy; SAE and industry practice for elastomers and adhesives</t>
  </si>
  <si>
    <t xml:space="preserve">Approved life is expressed as time from manufacture or cure rather than time in service.</t>
  </si>
  <si>
    <t xml:space="preserve">Lot or batch</t>
  </si>
  <si>
    <t xml:space="preserve">Same phrase, life limited, produces the opposite record structure. The limit attaches to the manufacturing lot, so lot identity plus a date code is the correct control and serialization adds cost without adding assurance.</t>
  </si>
  <si>
    <t xml:space="preserve">Material and process traceability</t>
  </si>
  <si>
    <t xml:space="preserve">Program specifications; MIL-STD-1530 process controls; NQA-1</t>
  </si>
  <si>
    <t xml:space="preserve">Fracture control, damage tolerance, or nuclear safety related status places reliance on material properties and process condition.</t>
  </si>
  <si>
    <t xml:space="preserve">Lot or batch, at heat level</t>
  </si>
  <si>
    <t xml:space="preserve">Runs underneath serialization rather than instead of it. A serialized fracture critical part still needs its heat and lot chain.</t>
  </si>
  <si>
    <t xml:space="preserve">Commercial grade dedication</t>
  </si>
  <si>
    <t xml:space="preserve">10 CFR Part 50 Appendix B; ASME NQA-1; EPRI guidance</t>
  </si>
  <si>
    <t xml:space="preserve">A commercial item is accepted for safety related service in a nuclear application.</t>
  </si>
  <si>
    <t xml:space="preserve">Acceptance is against identified critical characteristics on a lot basis. This is the mechanism by which a catastrophic consequence item is legitimately lot controlled rather than serialized.</t>
  </si>
  <si>
    <t xml:space="preserve">Counterfeit avoidance</t>
  </si>
  <si>
    <t xml:space="preserve">SAE AS5553 and AS6081; DFARS 252.246-7007 and 252.246-7008</t>
  </si>
  <si>
    <t xml:space="preserve">Electronic parts procurement, or contractor counterfeit detection and avoidance system requirements.</t>
  </si>
  <si>
    <t xml:space="preserve">Lot or batch, with source chain</t>
  </si>
  <si>
    <t xml:space="preserve">Drives traceability to the original component manufacturer rather than unit level identity. Often mistaken for a serialization requirement.</t>
  </si>
  <si>
    <t xml:space="preserve">Software and electronic hardware configuration</t>
  </si>
  <si>
    <t xml:space="preserve">DO-178C and DO-254 configuration management objectives</t>
  </si>
  <si>
    <t xml:space="preserve">Any airborne software or complex electronic hardware development.</t>
  </si>
  <si>
    <t xml:space="preserve">Configuration identification</t>
  </si>
  <si>
    <t xml:space="preserve">Unique identity attaches to the loadable part number and baseline, not to a physical unit. Do not record these as serialization obligations in a compliance matrix.</t>
  </si>
  <si>
    <t xml:space="preserve">UDI production identifier</t>
  </si>
  <si>
    <t xml:space="preserve">21 CFR Part 830 and 21 CFR 801.45</t>
  </si>
  <si>
    <t xml:space="preserve">Medical device subject to UDI, with additional direct marking for implantable, life supporting and life sustaining devices.</t>
  </si>
  <si>
    <t xml:space="preserve">Serialization or lot, at manufacturer election</t>
  </si>
  <si>
    <t xml:space="preserve">One of the few rules that explicitly offers the choice between the two and treats them as equivalent for the purpose.</t>
  </si>
  <si>
    <t xml:space="preserve">How the designation types differ</t>
  </si>
  <si>
    <t xml:space="preserve">Use these axes to decide whether two labels on the same item are duplicative or genuinely additive. Two designations sharing an axis position are usually redundant. Two designations differing on the obligation axis always are not.</t>
  </si>
  <si>
    <t xml:space="preserve">Axis</t>
  </si>
  <si>
    <t xml:space="preserve">Question it answers</t>
  </si>
  <si>
    <t xml:space="preserve">Range of positions</t>
  </si>
  <si>
    <t xml:space="preserve">Worked contrast</t>
  </si>
  <si>
    <t xml:space="preserve">What actually carries the label.</t>
  </si>
  <si>
    <t xml:space="preserve">Part number, structural element or location, feature or characteristic, function, software or hardware baseline, plant element.</t>
  </si>
  <si>
    <t xml:space="preserve">CSI labels a part number. A critical characteristic labels a feature on that part. A DAL labels the function the part serves. All three can coexist on one drawing without overlapping.</t>
  </si>
  <si>
    <t xml:space="preserve">Attachment condition</t>
  </si>
  <si>
    <t xml:space="preserve">What has to be true for the label to attach.</t>
  </si>
  <si>
    <t xml:space="preserve">Consequence only; consequence plus likelihood; consequence plus controllability and exposure; consequence plus redundancy state; failure mechanism.</t>
  </si>
  <si>
    <t xml:space="preserve">CSI and engine critical part are consequence only. ASIL adds exposure and controllability. NASA criticality adds redundancy state. Fracture critical narrows to a mechanism.</t>
  </si>
  <si>
    <t xml:space="preserve">Does architecture relieve it</t>
  </si>
  <si>
    <t xml:space="preserve">Whether redundancy or independence can remove or reduce the label.</t>
  </si>
  <si>
    <t xml:space="preserve">No relief; partial relief through decomposition; full relief through architecture.</t>
  </si>
  <si>
    <t xml:space="preserve">No relief for CSI, engine critical part, or fracture critical. Partial relief for ASIL through decomposition. Substantial relief for DAL through independence and architecture.</t>
  </si>
  <si>
    <t xml:space="preserve">Obligation type</t>
  </si>
  <si>
    <t xml:space="preserve">What the label actually makes you do.</t>
  </si>
  <si>
    <t xml:space="preserve">Source control and supply chain integrity; design and development process rigor; quality assurance program and dedication; fracture control and inspection; feature verification; written performance standard and independent verification.</t>
  </si>
  <si>
    <t xml:space="preserve">This is the axis that most often gets flattened in a compliance matrix. Two labels with the same severity and different obligations need two rows, not one.</t>
  </si>
  <si>
    <t xml:space="preserve">Who assigns it</t>
  </si>
  <si>
    <t xml:space="preserve">Where the authority to designate sits.</t>
  </si>
  <si>
    <t xml:space="preserve">Customer or government activity; design approval holder subject to authority acceptance; duty holder; cataloging activity.</t>
  </si>
  <si>
    <t xml:space="preserve">CSI is assigned by the government engineering support activity. Every civil critical part designation is assigned by the design approval holder and accepted by the authority. This changes who you negotiate with when a designation is disputed.</t>
  </si>
  <si>
    <t xml:space="preserve">Legal force</t>
  </si>
  <si>
    <t xml:space="preserve">What kind of instrument creates the obligation.</t>
  </si>
  <si>
    <t xml:space="preserve">Statute; federal regulation; certification specification; bilateral agreement; military standard; consensus standard; handbook or guidance; contract only.</t>
  </si>
  <si>
    <t xml:space="preserve">CSI rests on statute. Engine critical part rests on regulation and certification specification. Critical influencing part rests on OEM approved data and contract only, with no independent regulatory definition.</t>
  </si>
  <si>
    <t xml:space="preserve">Lifecycle reach</t>
  </si>
  <si>
    <t xml:space="preserve">How far past certification or delivery the obligation extends.</t>
  </si>
  <si>
    <t xml:space="preserve">Design and certification only; through production; through spares, overhaul and disposal.</t>
  </si>
  <si>
    <t xml:space="preserve">DAL and ASIL are largely spent at certification. CSI and nuclear safety related reach deepest into procurement, spares and sustainment. Critical influencing part status matters almost exclusively at overhaul.</t>
  </si>
  <si>
    <t xml:space="preserve">Record structure</t>
  </si>
  <si>
    <t xml:space="preserve">Whether continued airworthiness depends on this specific unit.</t>
  </si>
  <si>
    <t xml:space="preserve">Per unit history required; lot or batch acceptance sufficient; configuration baseline only; no item level record.</t>
  </si>
  <si>
    <t xml:space="preserve">The single test: if the approved basis for continued service depends on what happened to this individual unit, serialize. If the basis is only that it was made correctly by an approved source, lot control satisfies it.</t>
  </si>
  <si>
    <t xml:space="preserve">Source documents cited</t>
  </si>
  <si>
    <t xml:space="preserve">Definitions in the Register are paraphrased, not quoted. Verify wording against the current issue of the governing document before citing it in a certification or contractual deliverable.</t>
  </si>
  <si>
    <t xml:space="preserve">Citation</t>
  </si>
  <si>
    <t xml:space="preserve">Full title</t>
  </si>
  <si>
    <t xml:space="preserve">Issuing body</t>
  </si>
  <si>
    <t xml:space="preserve">Used for</t>
  </si>
  <si>
    <t xml:space="preserve">PL 108-136 Sec. 802</t>
  </si>
  <si>
    <t xml:space="preserve">National Defense Authorization Act for Fiscal Year 2004, Section 802, Quality control in procurement of aviation critical safety items and related services</t>
  </si>
  <si>
    <t xml:space="preserve">US Congress</t>
  </si>
  <si>
    <t xml:space="preserve">DFARS 209.270 and PGI 209.270</t>
  </si>
  <si>
    <t xml:space="preserve">Defense Federal Acquisition Regulation Supplement, Aviation and ship critical safety items</t>
  </si>
  <si>
    <t xml:space="preserve">US Department of Defense</t>
  </si>
  <si>
    <t xml:space="preserve">C01, C02</t>
  </si>
  <si>
    <t xml:space="preserve">SD-19</t>
  </si>
  <si>
    <t xml:space="preserve">Joint Aeronautical Commanders Group Aviation Critical Safety Item Management Handbook</t>
  </si>
  <si>
    <t xml:space="preserve">Joint service aeronautical commanders</t>
  </si>
  <si>
    <t xml:space="preserve">DFARS 252.211-7003</t>
  </si>
  <si>
    <t xml:space="preserve">Item Unique Identification and Valuation</t>
  </si>
  <si>
    <t xml:space="preserve">C01, C02, Recording Rules</t>
  </si>
  <si>
    <t xml:space="preserve">MIL-STD-130</t>
  </si>
  <si>
    <t xml:space="preserve">Identification Marking of US Military Property</t>
  </si>
  <si>
    <t xml:space="preserve">14 CFR 33.70</t>
  </si>
  <si>
    <t xml:space="preserve">Airworthiness standards, aircraft engines, Engine life-limited parts</t>
  </si>
  <si>
    <t xml:space="preserve">FAA</t>
  </si>
  <si>
    <t xml:space="preserve">14 CFR 45.15(c)</t>
  </si>
  <si>
    <t xml:space="preserve">Marking requirements for PMA articles, TSO articles, and Critical parts, paragraph (c) Critical parts. Formerly 14 CFR 45.14, Identification of critical components</t>
  </si>
  <si>
    <t xml:space="preserve">C05, C06, C09, C10, C12, C14, C30, Recording Rules</t>
  </si>
  <si>
    <t xml:space="preserve">14 CFR 43.10</t>
  </si>
  <si>
    <t xml:space="preserve">Disposition of life-limited aircraft parts</t>
  </si>
  <si>
    <t xml:space="preserve">C06, C14, Recording Rules</t>
  </si>
  <si>
    <t xml:space="preserve">14 CFR 27.602 and 29.602</t>
  </si>
  <si>
    <t xml:space="preserve">Airworthiness standards, normal and transport category rotorcraft, Critical parts</t>
  </si>
  <si>
    <t xml:space="preserve">14 CFR 25.571</t>
  </si>
  <si>
    <t xml:space="preserve">Damage tolerance and fatigue evaluation of structure</t>
  </si>
  <si>
    <t xml:space="preserve">14 CFR 25.1529 and Part 25 Appendix H</t>
  </si>
  <si>
    <t xml:space="preserve">Instructions for Continued Airworthiness, including the Airworthiness Limitations Section</t>
  </si>
  <si>
    <t xml:space="preserve">AC 25-19A</t>
  </si>
  <si>
    <t xml:space="preserve">Certification Maintenance Requirements</t>
  </si>
  <si>
    <t xml:space="preserve">CS-E 510 and CS-E 515</t>
  </si>
  <si>
    <t xml:space="preserve">Certification Specifications for Engines, Safety analysis and Engine critical parts</t>
  </si>
  <si>
    <t xml:space="preserve">EASA</t>
  </si>
  <si>
    <t xml:space="preserve">CS-P 15, CS-P 150 and CS-P 160</t>
  </si>
  <si>
    <t xml:space="preserve">Certification Specifications for Propellers, terminology, safety analysis and propeller critical parts integrity</t>
  </si>
  <si>
    <t xml:space="preserve">CS-APU 150 and CS-APU 210</t>
  </si>
  <si>
    <t xml:space="preserve">Certification Specifications for Auxiliary Power Units</t>
  </si>
  <si>
    <t xml:space="preserve">CS 27.602 and CS 29.602</t>
  </si>
  <si>
    <t xml:space="preserve">Certification Specifications for Small and Large Rotorcraft, Critical parts</t>
  </si>
  <si>
    <t xml:space="preserve">EASA FAQ 19013</t>
  </si>
  <si>
    <t xml:space="preserve">What is the definition of Critical parts</t>
  </si>
  <si>
    <t xml:space="preserve">C05, C09, C10</t>
  </si>
  <si>
    <t xml:space="preserve">EU-US BASA and TIP</t>
  </si>
  <si>
    <t xml:space="preserve">Bilateral Aviation Safety Agreement and Technical Implementation Procedures</t>
  </si>
  <si>
    <t xml:space="preserve">FAA and EASA</t>
  </si>
  <si>
    <t xml:space="preserve">MIL-STD-1530D w/Change 1</t>
  </si>
  <si>
    <t xml:space="preserve">Department of Defense Standard Practice, Aircraft Structural Integrity Program (ASIP)</t>
  </si>
  <si>
    <t xml:space="preserve">US Air Force</t>
  </si>
  <si>
    <t xml:space="preserve">C15, C16</t>
  </si>
  <si>
    <t xml:space="preserve">MIL-HDBK-1783B w/Change 2</t>
  </si>
  <si>
    <t xml:space="preserve">Department of Defense Handbook, Engine Structural Integrity Program (ENSIP). Supersedes the cancelled MIL-STD-1783</t>
  </si>
  <si>
    <t xml:space="preserve">MIL-STD-882E</t>
  </si>
  <si>
    <t xml:space="preserve">Department of Defense Standard Practice, System Safety</t>
  </si>
  <si>
    <t xml:space="preserve">NASA-STD-5019</t>
  </si>
  <si>
    <t xml:space="preserve">Fracture Control Requirements for Spaceflight Hardware</t>
  </si>
  <si>
    <t xml:space="preserve">NASA</t>
  </si>
  <si>
    <t xml:space="preserve">NASA-STD-8729.1</t>
  </si>
  <si>
    <t xml:space="preserve">Reliability and Maintainability standard for spaceflight and support systems, FMEA and CIL practice</t>
  </si>
  <si>
    <t xml:space="preserve">10 CFR Part 50 Appendix B</t>
  </si>
  <si>
    <t xml:space="preserve">Quality Assurance Criteria for Nuclear Power Plants and Fuel Reprocessing Plants</t>
  </si>
  <si>
    <t xml:space="preserve">US NRC</t>
  </si>
  <si>
    <t xml:space="preserve">10 CFR Part 21</t>
  </si>
  <si>
    <t xml:space="preserve">Reporting of Defects and Noncompliance</t>
  </si>
  <si>
    <t xml:space="preserve">ASME NQA-1</t>
  </si>
  <si>
    <t xml:space="preserve">Quality Assurance Requirements for Nuclear Facility Applications</t>
  </si>
  <si>
    <t xml:space="preserve">ASME</t>
  </si>
  <si>
    <t xml:space="preserve">C21, Recording Rules</t>
  </si>
  <si>
    <t xml:space="preserve">ARP4754B</t>
  </si>
  <si>
    <t xml:space="preserve">Guidelines for Development of Civil Aircraft and Systems</t>
  </si>
  <si>
    <t xml:space="preserve">SAE International</t>
  </si>
  <si>
    <t xml:space="preserve">ARP4761A</t>
  </si>
  <si>
    <t xml:space="preserve">Guidelines and Methods for Conducting the Safety Assessment Process on Civil Airborne Systems and Equipment</t>
  </si>
  <si>
    <t xml:space="preserve">DO-178C</t>
  </si>
  <si>
    <t xml:space="preserve">Software Considerations in Airborne Systems and Equipment Certification</t>
  </si>
  <si>
    <t xml:space="preserve">RTCA</t>
  </si>
  <si>
    <t xml:space="preserve">C23, Recording Rules</t>
  </si>
  <si>
    <t xml:space="preserve">DO-254</t>
  </si>
  <si>
    <t xml:space="preserve">Design Assurance Guidance for Airborne Electronic Hardware</t>
  </si>
  <si>
    <t xml:space="preserve">ISO 26262</t>
  </si>
  <si>
    <t xml:space="preserve">Road vehicles, Functional safety</t>
  </si>
  <si>
    <t xml:space="preserve">ISO</t>
  </si>
  <si>
    <t xml:space="preserve">IEC 61508 and IEC 61511</t>
  </si>
  <si>
    <t xml:space="preserve">Functional safety of electrical, electronic and programmable electronic safety-related systems; and Functional safety, safety instrumented systems for the process industry sector</t>
  </si>
  <si>
    <t xml:space="preserve">IEC</t>
  </si>
  <si>
    <t xml:space="preserve">EN 50126, 50128, 50129</t>
  </si>
  <si>
    <t xml:space="preserve">Railway applications, RAMS, software and safety related electronic systems for signalling</t>
  </si>
  <si>
    <t xml:space="preserve">CENELEC</t>
  </si>
  <si>
    <t xml:space="preserve">IEC 62304</t>
  </si>
  <si>
    <t xml:space="preserve">Medical device software, Software life cycle processes</t>
  </si>
  <si>
    <t xml:space="preserve">AS9100D clause 8.1.3</t>
  </si>
  <si>
    <t xml:space="preserve">Quality Management Systems, Requirements for Aviation, Space and Defense Organizations, Operational risk management and critical items</t>
  </si>
  <si>
    <t xml:space="preserve">AS9103</t>
  </si>
  <si>
    <t xml:space="preserve">Variation Management of Key Characteristics</t>
  </si>
  <si>
    <t xml:space="preserve">MIL-STD-1916</t>
  </si>
  <si>
    <t xml:space="preserve">DoD Preferred Methods for Acceptance of Product</t>
  </si>
  <si>
    <t xml:space="preserve">AS5553 and AS6081</t>
  </si>
  <si>
    <t xml:space="preserve">Counterfeit Electronic Parts, Avoidance, Detection, Mitigation and Disposition standards</t>
  </si>
  <si>
    <t xml:space="preserve">Recording Rules</t>
  </si>
  <si>
    <t xml:space="preserve">DFARS 252.246-7007 and 252.246-7008</t>
  </si>
  <si>
    <t xml:space="preserve">Contractor Counterfeit Electronic Part Detection and Avoidance System; Sources of Electronic Parts</t>
  </si>
  <si>
    <t xml:space="preserve">Unique Device Identification, and Devices that must be directly marked with a unique device identifier</t>
  </si>
  <si>
    <t xml:space="preserve">US FDA</t>
  </si>
  <si>
    <t xml:space="preserve">C29, Recording Rules</t>
  </si>
  <si>
    <t xml:space="preserve">23 CFR Part 650 Subpart C</t>
  </si>
  <si>
    <t xml:space="preserve">National Bridge Inspection Standards</t>
  </si>
  <si>
    <t xml:space="preserve">FHWA</t>
  </si>
  <si>
    <t xml:space="preserve">UK offshore safety case regulations</t>
  </si>
  <si>
    <t xml:space="preserve">Offshore Installations (Offshore Safety Directive) (Safety Case etc.) Regulations, and Prevention of Fire and Explosion, and Emergency Response Regulations</t>
  </si>
  <si>
    <t xml:space="preserve">UK Health and Safety Executive</t>
  </si>
  <si>
    <t xml:space="preserve">PL 109-364 Sec. 130</t>
  </si>
  <si>
    <t xml:space="preserve">John Warner National Defense Authorization Act for Fiscal Year 2007, Section 130. Statutory basis for ship critical safety items, implemented at DFARS 209.270</t>
  </si>
  <si>
    <t xml:space="preserve">DoDI 8320.04 (November 29, 2024)</t>
  </si>
  <si>
    <t xml:space="preserve">DoD Serially Managed Items of Tangible Personal Property and Item Unique Identification 2.0 Standards. Reissues and cancels the 2015 IUID Standards instruction</t>
  </si>
  <si>
    <t xml:space="preserve">C01, C02, C03, Recording Rules</t>
  </si>
  <si>
    <t xml:space="preserve">DFARS 211.274-2</t>
  </si>
  <si>
    <t xml:space="preserve">Policy for item unique identification</t>
  </si>
  <si>
    <t xml:space="preserve">DFARS 252.209-7010</t>
  </si>
  <si>
    <t xml:space="preserve">Critical Safety Items (contract clause prescribed at DFARS 209.270-5)</t>
  </si>
  <si>
    <t xml:space="preserve">DoDM 4140.01 Volume 11</t>
  </si>
  <si>
    <t xml:space="preserve">DoD Supply Chain Materiel Management Procedures: Inventory Accountability and Special Management and Handling. Includes the DoD Aviation CSI/FSCAP program</t>
  </si>
  <si>
    <t xml:space="preserve">C01, C03</t>
  </si>
  <si>
    <t xml:space="preserve">14 CFR 25.613 and AC 25.613-1</t>
  </si>
  <si>
    <t xml:space="preserve">Material strength properties and material design values; and the associated advisory circular dated August 6, 2003</t>
  </si>
  <si>
    <t xml:space="preserve">14 CFR 23.2260</t>
  </si>
  <si>
    <t xml:space="preserve">Airworthiness standards, normal category airplanes, Materials and processes</t>
  </si>
  <si>
    <t xml:space="preserve">14 CFR 91.417</t>
  </si>
  <si>
    <t xml:space="preserve">Maintenance records</t>
  </si>
  <si>
    <t xml:space="preserve">FAA Chief Counsel letter to MacLeod, July 18, 2009</t>
  </si>
  <si>
    <t xml:space="preserve">Determining Life Status of Life-Limited Parts. Legal interpretation stating that back-to-birth records are not required to establish life status</t>
  </si>
  <si>
    <t xml:space="preserve">FAA Office of the Chief Counsel</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</si>
</sst>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CE4D6"/>
        <bgColor rgb="FFFFF2CC"/>
      </patternFill>
    </fill>
    <fill>
      <patternFill patternType="solid">
        <fgColor rgb="FFFFF2CC"/>
        <bgColor rgb="FFFCE4D6"/>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 collapsed="false" customWidth="true" hidden="false" outlineLevel="0" max="2" min="2" style="1" width="12"/>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15" hidden="false" customHeight="true" outlineLevel="0" collapsed="false">
      <c r="A8" s="4" t="s">
        <v>5</v>
      </c>
    </row>
    <row r="9" customFormat="false" ht="23.2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row>
    <row r="13" customFormat="false" ht="15" hidden="false" customHeight="true" outlineLevel="0" collapsed="false">
      <c r="A13" s="5" t="s">
        <v>9</v>
      </c>
    </row>
    <row r="14" customFormat="false" ht="57.75" hidden="false" customHeight="true" outlineLevel="0" collapsed="false">
      <c r="A14" s="4" t="s">
        <v>10</v>
      </c>
    </row>
    <row r="15" customFormat="false" ht="15" hidden="false" customHeight="true" outlineLevel="0" collapsed="false">
      <c r="A15" s="4"/>
    </row>
    <row r="16" customFormat="false" ht="15" hidden="false" customHeight="true" outlineLevel="0" collapsed="false">
      <c r="A16" s="5" t="s">
        <v>11</v>
      </c>
    </row>
    <row r="17" customFormat="false" ht="70.5" hidden="false" customHeight="true" outlineLevel="0" collapsed="false">
      <c r="A17" s="4" t="s">
        <v>12</v>
      </c>
    </row>
    <row r="18" customFormat="false" ht="45.75" hidden="false" customHeight="true" outlineLevel="0" collapsed="false">
      <c r="A18" s="4" t="s">
        <v>13</v>
      </c>
    </row>
    <row r="19" customFormat="false" ht="15" hidden="false" customHeight="true" outlineLevel="0" collapsed="false">
      <c r="A19" s="4"/>
    </row>
    <row r="20" customFormat="false" ht="15" hidden="false" customHeight="true" outlineLevel="0" collapsed="false">
      <c r="A20" s="5" t="s">
        <v>14</v>
      </c>
    </row>
    <row r="21" customFormat="false" ht="45" hidden="false" customHeight="true" outlineLevel="0" collapsed="false">
      <c r="A21" s="4" t="s">
        <v>15</v>
      </c>
    </row>
    <row r="22" customFormat="false" ht="15" hidden="false" customHeight="true" outlineLevel="0" collapsed="false">
      <c r="A22" s="4"/>
    </row>
    <row r="23" customFormat="false" ht="15" hidden="false" customHeight="true" outlineLevel="0" collapsed="false">
      <c r="A23" s="5" t="s">
        <v>16</v>
      </c>
    </row>
    <row r="24" customFormat="false" ht="15" hidden="false" customHeight="true" outlineLevel="0" collapsed="false">
      <c r="A24" s="6"/>
    </row>
    <row r="25" customFormat="false" ht="15" hidden="false" customHeight="true" outlineLevel="0" collapsed="false">
      <c r="A25" s="4" t="s">
        <v>17</v>
      </c>
      <c r="B25" s="7" t="n">
        <f aca="false">COUNTA(Register!B3:B60)</f>
        <v>30</v>
      </c>
    </row>
    <row r="26" customFormat="false" ht="15" hidden="false" customHeight="true" outlineLevel="0" collapsed="false">
      <c r="A26" s="4" t="s">
        <v>18</v>
      </c>
      <c r="B26" s="7" t="n">
        <f aca="false">COUNTIF(Register!J3:J60,"Required")</f>
        <v>10</v>
      </c>
    </row>
    <row r="27" customFormat="false" ht="15" hidden="false" customHeight="true" outlineLevel="0" collapsed="false">
      <c r="A27" s="4" t="s">
        <v>19</v>
      </c>
      <c r="B27" s="7" t="n">
        <f aca="false">COUNTIF(Register!J3:J60,"Conditional")</f>
        <v>8</v>
      </c>
    </row>
    <row r="28" customFormat="false" ht="15" hidden="false" customHeight="true" outlineLevel="0" collapsed="false">
      <c r="A28" s="4" t="s">
        <v>20</v>
      </c>
      <c r="B28" s="7" t="n">
        <f aca="false">COUNTIF(Register!J3:J60,"Not required")</f>
        <v>5</v>
      </c>
    </row>
    <row r="29" customFormat="false" ht="15" hidden="false" customHeight="true" outlineLevel="0" collapsed="false">
      <c r="A29" s="4" t="s">
        <v>21</v>
      </c>
      <c r="B29" s="7" t="n">
        <f aca="false">COUNTIF(Register!J3:J60,"Not applicable")</f>
        <v>7</v>
      </c>
    </row>
    <row r="30" customFormat="false" ht="15" hidden="false" customHeight="true" outlineLevel="0" collapsed="false">
      <c r="A30" s="4" t="s">
        <v>22</v>
      </c>
      <c r="B30" s="7" t="n">
        <f aca="false">COUNTIF(Register!N3:N60,"Verify")</f>
        <v>4</v>
      </c>
    </row>
    <row r="31" customFormat="false" ht="15" hidden="false" customHeight="true" outlineLevel="0" collapsed="false">
      <c r="A31" s="4" t="s">
        <v>23</v>
      </c>
      <c r="B31" s="7" t="n">
        <f aca="false">COUNTIF(Register!O3:O60,"Direct")</f>
        <v>14</v>
      </c>
    </row>
    <row r="32" customFormat="false" ht="15" hidden="false" customHeight="true" outlineLevel="0" collapsed="false">
      <c r="A32" s="4" t="s">
        <v>24</v>
      </c>
      <c r="B32" s="7" t="n">
        <f aca="false">COUNTIF(Register!O3:O60,"Conditional")</f>
        <v>9</v>
      </c>
    </row>
    <row r="33" customFormat="false" ht="15" hidden="false" customHeight="true" outlineLevel="0" collapsed="false">
      <c r="A33" s="4" t="s">
        <v>25</v>
      </c>
      <c r="B33" s="7" t="n">
        <f aca="false">COUNTIF(Register!O3:O60,"No")</f>
        <v>7</v>
      </c>
    </row>
    <row r="35" customFormat="false" ht="15" hidden="false" customHeight="true" outlineLevel="0" collapsed="false">
      <c r="A35" s="5" t="s">
        <v>26</v>
      </c>
    </row>
    <row r="36" customFormat="false" ht="45.75" hidden="false" customHeight="true" outlineLevel="0" collapsed="false">
      <c r="A36" s="4" t="s">
        <v>27</v>
      </c>
    </row>
    <row r="37" customFormat="false" ht="57" hidden="false" customHeight="true" outlineLevel="0" collapsed="false">
      <c r="A37" s="4" t="s">
        <v>28</v>
      </c>
    </row>
    <row r="38" customFormat="false" ht="45.75" hidden="false" customHeight="true" outlineLevel="0" collapsed="false">
      <c r="A38" s="4" t="s">
        <v>29</v>
      </c>
    </row>
    <row r="39" customFormat="false" ht="15" hidden="false" customHeight="true" outlineLevel="0" collapsed="false">
      <c r="A39" s="5" t="s">
        <v>30</v>
      </c>
    </row>
    <row r="40" customFormat="false" ht="45.75" hidden="false" customHeight="true" outlineLevel="0" collapsed="false">
      <c r="A40" s="4" t="s">
        <v>31</v>
      </c>
    </row>
    <row r="41" customFormat="false" ht="45.75" hidden="false" customHeight="true" outlineLevel="0" collapsed="false">
      <c r="A41" s="4" t="s">
        <v>32</v>
      </c>
    </row>
    <row r="42" customFormat="false" ht="45.75" hidden="false" customHeight="true" outlineLevel="0" collapsed="false">
      <c r="A42" s="4" t="s">
        <v>33</v>
      </c>
    </row>
    <row r="44" customFormat="false" ht="15" hidden="false" customHeight="true" outlineLevel="0" collapsed="false">
      <c r="A44" s="5" t="s">
        <v>34</v>
      </c>
    </row>
    <row r="45" customFormat="false" ht="31.5" hidden="false" customHeight="true" outlineLevel="0" collapsed="false">
      <c r="A45" s="4" t="s">
        <v>35</v>
      </c>
    </row>
    <row r="46" customFormat="false" ht="31.5" hidden="false" customHeight="true" outlineLevel="0" collapsed="false">
      <c r="A46" s="4" t="s">
        <v>36</v>
      </c>
    </row>
    <row r="47" customFormat="false" ht="31.5" hidden="false" customHeight="true" outlineLevel="0" collapsed="false">
      <c r="A47" s="4" t="s">
        <v>37</v>
      </c>
    </row>
    <row r="48" customFormat="false" ht="31.5" hidden="false" customHeight="true" outlineLevel="0" collapsed="false">
      <c r="A48"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2"/>
    <col collapsed="false" customWidth="true" hidden="false" outlineLevel="0" max="4" min="4" style="1" width="18"/>
    <col collapsed="false" customWidth="true" hidden="false" outlineLevel="0" max="5" min="5" style="1" width="62"/>
    <col collapsed="false" customWidth="true" hidden="false" outlineLevel="0" max="6" min="6" style="1" width="40"/>
    <col collapsed="false" customWidth="true" hidden="false" outlineLevel="0" max="7" min="7" style="1" width="20"/>
    <col collapsed="false" customWidth="true" hidden="false" outlineLevel="0" max="8" min="8" style="1" width="32"/>
    <col collapsed="false" customWidth="true" hidden="false" outlineLevel="0" max="9" min="9" style="1" width="24"/>
    <col collapsed="false" customWidth="true" hidden="false" outlineLevel="0" max="10" min="10" style="1" width="15"/>
    <col collapsed="false" customWidth="true" hidden="false" outlineLevel="0" max="11" min="11" style="1" width="40"/>
    <col collapsed="false" customWidth="true" hidden="false" outlineLevel="0" max="12" min="12" style="1" width="38"/>
    <col collapsed="false" customWidth="true" hidden="false" outlineLevel="0" max="13" min="13" style="1" width="52"/>
    <col collapsed="false" customWidth="true" hidden="false" outlineLevel="0" max="14" min="14" style="1" width="12"/>
    <col collapsed="false" customWidth="true" hidden="false" outlineLevel="0" max="15" min="15" style="1" width="20"/>
    <col collapsed="false" customWidth="true" hidden="false" outlineLevel="0" max="16" min="16" style="1" width="24"/>
    <col collapsed="false" customWidth="true" hidden="false" outlineLevel="0" max="17" min="17" style="1" width="62"/>
  </cols>
  <sheetData>
    <row r="1" customFormat="false" ht="17.25" hidden="false" customHeight="true" outlineLevel="0" collapsed="false">
      <c r="A1" s="8" t="s">
        <v>39</v>
      </c>
      <c r="B1" s="8"/>
      <c r="C1" s="8"/>
      <c r="D1" s="8"/>
      <c r="E1" s="8"/>
      <c r="F1" s="8"/>
      <c r="G1" s="8"/>
      <c r="H1" s="8"/>
      <c r="I1" s="8"/>
      <c r="J1" s="8"/>
      <c r="K1" s="8"/>
      <c r="L1" s="8"/>
      <c r="M1" s="8"/>
      <c r="N1" s="8"/>
    </row>
    <row r="2" customFormat="false" ht="33.75" hidden="false" customHeight="true" outlineLevel="0" collapsed="false">
      <c r="A2" s="9" t="s">
        <v>40</v>
      </c>
      <c r="B2" s="9" t="s">
        <v>41</v>
      </c>
      <c r="C2" s="9" t="s">
        <v>42</v>
      </c>
      <c r="D2" s="9" t="s">
        <v>43</v>
      </c>
      <c r="E2" s="9" t="s">
        <v>44</v>
      </c>
      <c r="F2" s="9" t="s">
        <v>45</v>
      </c>
      <c r="G2" s="9" t="s">
        <v>46</v>
      </c>
      <c r="H2" s="9" t="s">
        <v>47</v>
      </c>
      <c r="I2" s="9" t="s">
        <v>48</v>
      </c>
      <c r="J2" s="9" t="s">
        <v>49</v>
      </c>
      <c r="K2" s="9" t="s">
        <v>50</v>
      </c>
      <c r="L2" s="9" t="s">
        <v>51</v>
      </c>
      <c r="M2" s="9" t="s">
        <v>52</v>
      </c>
      <c r="N2" s="9" t="s">
        <v>53</v>
      </c>
      <c r="O2" s="9" t="s">
        <v>54</v>
      </c>
      <c r="P2" s="9" t="s">
        <v>55</v>
      </c>
      <c r="Q2" s="9" t="s">
        <v>56</v>
      </c>
    </row>
    <row r="3" customFormat="false" ht="177" hidden="false" customHeight="true" outlineLevel="0" collapsed="false">
      <c r="A3" s="10" t="s">
        <v>57</v>
      </c>
      <c r="B3" s="11" t="s">
        <v>58</v>
      </c>
      <c r="C3" s="10" t="s">
        <v>59</v>
      </c>
      <c r="D3" s="10" t="s">
        <v>60</v>
      </c>
      <c r="E3" s="10" t="s">
        <v>61</v>
      </c>
      <c r="F3" s="10" t="s">
        <v>62</v>
      </c>
      <c r="G3" s="10" t="s">
        <v>63</v>
      </c>
      <c r="H3" s="10" t="s">
        <v>64</v>
      </c>
      <c r="I3" s="10" t="s">
        <v>65</v>
      </c>
      <c r="J3" s="12" t="s">
        <v>66</v>
      </c>
      <c r="K3" s="10" t="s">
        <v>67</v>
      </c>
      <c r="L3" s="10" t="s">
        <v>68</v>
      </c>
      <c r="M3" s="10" t="s">
        <v>69</v>
      </c>
      <c r="N3" s="13" t="s">
        <v>70</v>
      </c>
      <c r="O3" s="13" t="s">
        <v>71</v>
      </c>
      <c r="P3" s="14" t="s">
        <v>72</v>
      </c>
      <c r="Q3" s="10" t="s">
        <v>73</v>
      </c>
    </row>
    <row r="4" customFormat="false" ht="108" hidden="false" customHeight="true" outlineLevel="0" collapsed="false">
      <c r="A4" s="15" t="s">
        <v>74</v>
      </c>
      <c r="B4" s="16" t="s">
        <v>75</v>
      </c>
      <c r="C4" s="15" t="s">
        <v>59</v>
      </c>
      <c r="D4" s="15" t="s">
        <v>60</v>
      </c>
      <c r="E4" s="15" t="s">
        <v>76</v>
      </c>
      <c r="F4" s="15" t="s">
        <v>77</v>
      </c>
      <c r="G4" s="15" t="s">
        <v>63</v>
      </c>
      <c r="H4" s="15" t="s">
        <v>78</v>
      </c>
      <c r="I4" s="15" t="s">
        <v>79</v>
      </c>
      <c r="J4" s="12" t="s">
        <v>66</v>
      </c>
      <c r="K4" s="15" t="s">
        <v>80</v>
      </c>
      <c r="L4" s="15" t="s">
        <v>81</v>
      </c>
      <c r="M4" s="15" t="s">
        <v>82</v>
      </c>
      <c r="N4" s="17" t="s">
        <v>83</v>
      </c>
      <c r="O4" s="18" t="s">
        <v>71</v>
      </c>
      <c r="P4" s="19" t="s">
        <v>72</v>
      </c>
      <c r="Q4" s="15" t="s">
        <v>84</v>
      </c>
    </row>
    <row r="5" customFormat="false" ht="108" hidden="false" customHeight="true" outlineLevel="0" collapsed="false">
      <c r="A5" s="10" t="s">
        <v>85</v>
      </c>
      <c r="B5" s="11" t="s">
        <v>86</v>
      </c>
      <c r="C5" s="10" t="s">
        <v>59</v>
      </c>
      <c r="D5" s="10" t="s">
        <v>60</v>
      </c>
      <c r="E5" s="10" t="s">
        <v>87</v>
      </c>
      <c r="F5" s="10" t="s">
        <v>88</v>
      </c>
      <c r="G5" s="10" t="s">
        <v>89</v>
      </c>
      <c r="H5" s="10" t="s">
        <v>90</v>
      </c>
      <c r="I5" s="10" t="s">
        <v>91</v>
      </c>
      <c r="J5" s="20" t="s">
        <v>92</v>
      </c>
      <c r="K5" s="10" t="s">
        <v>93</v>
      </c>
      <c r="L5" s="10" t="s">
        <v>94</v>
      </c>
      <c r="M5" s="10" t="s">
        <v>95</v>
      </c>
      <c r="N5" s="21" t="s">
        <v>83</v>
      </c>
      <c r="O5" s="13" t="s">
        <v>71</v>
      </c>
      <c r="P5" s="14" t="s">
        <v>96</v>
      </c>
      <c r="Q5" s="10" t="s">
        <v>97</v>
      </c>
    </row>
    <row r="6" customFormat="false" ht="108" hidden="false" customHeight="true" outlineLevel="0" collapsed="false">
      <c r="A6" s="15" t="s">
        <v>98</v>
      </c>
      <c r="B6" s="16" t="s">
        <v>99</v>
      </c>
      <c r="C6" s="15" t="s">
        <v>100</v>
      </c>
      <c r="D6" s="15" t="s">
        <v>101</v>
      </c>
      <c r="E6" s="15" t="s">
        <v>102</v>
      </c>
      <c r="F6" s="15" t="s">
        <v>103</v>
      </c>
      <c r="G6" s="15" t="s">
        <v>104</v>
      </c>
      <c r="H6" s="15" t="s">
        <v>105</v>
      </c>
      <c r="I6" s="15" t="s">
        <v>106</v>
      </c>
      <c r="J6" s="20" t="s">
        <v>92</v>
      </c>
      <c r="K6" s="15" t="s">
        <v>107</v>
      </c>
      <c r="L6" s="15" t="s">
        <v>108</v>
      </c>
      <c r="M6" s="15" t="s">
        <v>109</v>
      </c>
      <c r="N6" s="17" t="s">
        <v>83</v>
      </c>
      <c r="O6" s="18" t="s">
        <v>92</v>
      </c>
      <c r="P6" s="19" t="s">
        <v>110</v>
      </c>
      <c r="Q6" s="15" t="s">
        <v>111</v>
      </c>
    </row>
    <row r="7" customFormat="false" ht="108" hidden="false" customHeight="true" outlineLevel="0" collapsed="false">
      <c r="A7" s="10" t="s">
        <v>112</v>
      </c>
      <c r="B7" s="11" t="s">
        <v>113</v>
      </c>
      <c r="C7" s="10" t="s">
        <v>59</v>
      </c>
      <c r="D7" s="10" t="s">
        <v>60</v>
      </c>
      <c r="E7" s="10" t="s">
        <v>114</v>
      </c>
      <c r="F7" s="10" t="s">
        <v>115</v>
      </c>
      <c r="G7" s="10" t="s">
        <v>116</v>
      </c>
      <c r="H7" s="10" t="s">
        <v>117</v>
      </c>
      <c r="I7" s="10" t="s">
        <v>118</v>
      </c>
      <c r="J7" s="12" t="s">
        <v>66</v>
      </c>
      <c r="K7" s="10" t="s">
        <v>119</v>
      </c>
      <c r="L7" s="10" t="s">
        <v>120</v>
      </c>
      <c r="M7" s="10" t="s">
        <v>121</v>
      </c>
      <c r="N7" s="13" t="s">
        <v>70</v>
      </c>
      <c r="O7" s="13" t="s">
        <v>71</v>
      </c>
      <c r="P7" s="14" t="s">
        <v>122</v>
      </c>
      <c r="Q7" s="10" t="s">
        <v>123</v>
      </c>
    </row>
    <row r="8" customFormat="false" ht="108" hidden="false" customHeight="true" outlineLevel="0" collapsed="false">
      <c r="A8" s="15" t="s">
        <v>124</v>
      </c>
      <c r="B8" s="16" t="s">
        <v>125</v>
      </c>
      <c r="C8" s="15" t="s">
        <v>59</v>
      </c>
      <c r="D8" s="15" t="s">
        <v>60</v>
      </c>
      <c r="E8" s="15" t="s">
        <v>126</v>
      </c>
      <c r="F8" s="15" t="s">
        <v>127</v>
      </c>
      <c r="G8" s="15" t="s">
        <v>128</v>
      </c>
      <c r="H8" s="15" t="s">
        <v>129</v>
      </c>
      <c r="I8" s="15" t="s">
        <v>130</v>
      </c>
      <c r="J8" s="12" t="s">
        <v>66</v>
      </c>
      <c r="K8" s="15" t="s">
        <v>131</v>
      </c>
      <c r="L8" s="15" t="s">
        <v>132</v>
      </c>
      <c r="M8" s="15" t="s">
        <v>133</v>
      </c>
      <c r="N8" s="18" t="s">
        <v>70</v>
      </c>
      <c r="O8" s="18" t="s">
        <v>71</v>
      </c>
      <c r="P8" s="19" t="s">
        <v>122</v>
      </c>
      <c r="Q8" s="15" t="s">
        <v>134</v>
      </c>
    </row>
    <row r="9" customFormat="false" ht="108" hidden="false" customHeight="true" outlineLevel="0" collapsed="false">
      <c r="A9" s="10" t="s">
        <v>135</v>
      </c>
      <c r="B9" s="11" t="s">
        <v>136</v>
      </c>
      <c r="C9" s="10" t="s">
        <v>59</v>
      </c>
      <c r="D9" s="10" t="s">
        <v>60</v>
      </c>
      <c r="E9" s="10" t="s">
        <v>137</v>
      </c>
      <c r="F9" s="10" t="s">
        <v>138</v>
      </c>
      <c r="G9" s="10" t="s">
        <v>116</v>
      </c>
      <c r="H9" s="10" t="s">
        <v>139</v>
      </c>
      <c r="I9" s="10" t="s">
        <v>140</v>
      </c>
      <c r="J9" s="12" t="s">
        <v>66</v>
      </c>
      <c r="K9" s="10" t="s">
        <v>141</v>
      </c>
      <c r="L9" s="10" t="s">
        <v>142</v>
      </c>
      <c r="M9" s="10" t="s">
        <v>143</v>
      </c>
      <c r="N9" s="13" t="s">
        <v>70</v>
      </c>
      <c r="O9" s="13" t="s">
        <v>71</v>
      </c>
      <c r="P9" s="14" t="s">
        <v>122</v>
      </c>
      <c r="Q9" s="10" t="s">
        <v>144</v>
      </c>
    </row>
    <row r="10" customFormat="false" ht="108" hidden="false" customHeight="true" outlineLevel="0" collapsed="false">
      <c r="A10" s="15" t="s">
        <v>145</v>
      </c>
      <c r="B10" s="16" t="s">
        <v>146</v>
      </c>
      <c r="C10" s="15" t="s">
        <v>59</v>
      </c>
      <c r="D10" s="15" t="s">
        <v>60</v>
      </c>
      <c r="E10" s="15" t="s">
        <v>147</v>
      </c>
      <c r="F10" s="15" t="s">
        <v>148</v>
      </c>
      <c r="G10" s="15" t="s">
        <v>116</v>
      </c>
      <c r="H10" s="15" t="s">
        <v>149</v>
      </c>
      <c r="I10" s="15" t="s">
        <v>140</v>
      </c>
      <c r="J10" s="12" t="s">
        <v>66</v>
      </c>
      <c r="K10" s="15" t="s">
        <v>150</v>
      </c>
      <c r="L10" s="15" t="s">
        <v>142</v>
      </c>
      <c r="M10" s="15" t="s">
        <v>151</v>
      </c>
      <c r="N10" s="18" t="s">
        <v>152</v>
      </c>
      <c r="O10" s="18" t="s">
        <v>71</v>
      </c>
      <c r="P10" s="19" t="s">
        <v>153</v>
      </c>
      <c r="Q10" s="15" t="s">
        <v>154</v>
      </c>
    </row>
    <row r="11" customFormat="false" ht="108" hidden="false" customHeight="true" outlineLevel="0" collapsed="false">
      <c r="A11" s="10" t="s">
        <v>155</v>
      </c>
      <c r="B11" s="11" t="s">
        <v>156</v>
      </c>
      <c r="C11" s="10" t="s">
        <v>59</v>
      </c>
      <c r="D11" s="10" t="s">
        <v>60</v>
      </c>
      <c r="E11" s="10" t="s">
        <v>157</v>
      </c>
      <c r="F11" s="10" t="s">
        <v>158</v>
      </c>
      <c r="G11" s="10" t="s">
        <v>159</v>
      </c>
      <c r="H11" s="10" t="s">
        <v>160</v>
      </c>
      <c r="I11" s="10" t="s">
        <v>161</v>
      </c>
      <c r="J11" s="20" t="s">
        <v>92</v>
      </c>
      <c r="K11" s="10" t="s">
        <v>162</v>
      </c>
      <c r="L11" s="10" t="s">
        <v>163</v>
      </c>
      <c r="M11" s="10" t="s">
        <v>164</v>
      </c>
      <c r="N11" s="13" t="s">
        <v>70</v>
      </c>
      <c r="O11" s="13" t="s">
        <v>71</v>
      </c>
      <c r="P11" s="14" t="s">
        <v>122</v>
      </c>
      <c r="Q11" s="10" t="s">
        <v>165</v>
      </c>
    </row>
    <row r="12" customFormat="false" ht="108" hidden="false" customHeight="true" outlineLevel="0" collapsed="false">
      <c r="A12" s="15" t="s">
        <v>166</v>
      </c>
      <c r="B12" s="16" t="s">
        <v>167</v>
      </c>
      <c r="C12" s="15" t="s">
        <v>59</v>
      </c>
      <c r="D12" s="15" t="s">
        <v>60</v>
      </c>
      <c r="E12" s="15" t="s">
        <v>168</v>
      </c>
      <c r="F12" s="15" t="s">
        <v>169</v>
      </c>
      <c r="G12" s="15" t="s">
        <v>170</v>
      </c>
      <c r="H12" s="15" t="s">
        <v>171</v>
      </c>
      <c r="I12" s="15" t="s">
        <v>172</v>
      </c>
      <c r="J12" s="12" t="s">
        <v>66</v>
      </c>
      <c r="K12" s="15" t="s">
        <v>173</v>
      </c>
      <c r="L12" s="15" t="s">
        <v>142</v>
      </c>
      <c r="M12" s="15" t="s">
        <v>174</v>
      </c>
      <c r="N12" s="18" t="s">
        <v>70</v>
      </c>
      <c r="O12" s="18" t="s">
        <v>92</v>
      </c>
      <c r="P12" s="19" t="s">
        <v>72</v>
      </c>
      <c r="Q12" s="15" t="s">
        <v>175</v>
      </c>
    </row>
    <row r="13" customFormat="false" ht="108" hidden="false" customHeight="true" outlineLevel="0" collapsed="false">
      <c r="A13" s="10" t="s">
        <v>176</v>
      </c>
      <c r="B13" s="11" t="s">
        <v>177</v>
      </c>
      <c r="C13" s="10" t="s">
        <v>178</v>
      </c>
      <c r="D13" s="10" t="s">
        <v>60</v>
      </c>
      <c r="E13" s="10" t="s">
        <v>179</v>
      </c>
      <c r="F13" s="10" t="s">
        <v>180</v>
      </c>
      <c r="G13" s="10" t="s">
        <v>181</v>
      </c>
      <c r="H13" s="10" t="s">
        <v>182</v>
      </c>
      <c r="I13" s="10" t="s">
        <v>183</v>
      </c>
      <c r="J13" s="22" t="s">
        <v>184</v>
      </c>
      <c r="K13" s="10" t="s">
        <v>185</v>
      </c>
      <c r="L13" s="10" t="s">
        <v>186</v>
      </c>
      <c r="M13" s="10" t="s">
        <v>187</v>
      </c>
      <c r="N13" s="13" t="s">
        <v>70</v>
      </c>
      <c r="O13" s="13" t="s">
        <v>188</v>
      </c>
      <c r="P13" s="14" t="s">
        <v>189</v>
      </c>
      <c r="Q13" s="10" t="s">
        <v>190</v>
      </c>
    </row>
    <row r="14" customFormat="false" ht="108" hidden="false" customHeight="true" outlineLevel="0" collapsed="false">
      <c r="A14" s="15" t="s">
        <v>191</v>
      </c>
      <c r="B14" s="16" t="s">
        <v>192</v>
      </c>
      <c r="C14" s="15" t="s">
        <v>193</v>
      </c>
      <c r="D14" s="15" t="s">
        <v>194</v>
      </c>
      <c r="E14" s="15" t="s">
        <v>195</v>
      </c>
      <c r="F14" s="15" t="s">
        <v>196</v>
      </c>
      <c r="G14" s="15" t="s">
        <v>128</v>
      </c>
      <c r="H14" s="15" t="s">
        <v>197</v>
      </c>
      <c r="I14" s="15" t="s">
        <v>198</v>
      </c>
      <c r="J14" s="20" t="s">
        <v>92</v>
      </c>
      <c r="K14" s="15" t="s">
        <v>199</v>
      </c>
      <c r="L14" s="15" t="s">
        <v>200</v>
      </c>
      <c r="M14" s="15" t="s">
        <v>201</v>
      </c>
      <c r="N14" s="18" t="s">
        <v>70</v>
      </c>
      <c r="O14" s="18" t="s">
        <v>92</v>
      </c>
      <c r="P14" s="19" t="s">
        <v>122</v>
      </c>
      <c r="Q14" s="15" t="s">
        <v>202</v>
      </c>
    </row>
    <row r="15" customFormat="false" ht="108" hidden="false" customHeight="true" outlineLevel="0" collapsed="false">
      <c r="A15" s="10" t="s">
        <v>203</v>
      </c>
      <c r="B15" s="11" t="s">
        <v>204</v>
      </c>
      <c r="C15" s="10" t="s">
        <v>193</v>
      </c>
      <c r="D15" s="10" t="s">
        <v>205</v>
      </c>
      <c r="E15" s="10" t="s">
        <v>206</v>
      </c>
      <c r="F15" s="10" t="s">
        <v>207</v>
      </c>
      <c r="G15" s="10" t="s">
        <v>208</v>
      </c>
      <c r="H15" s="10" t="s">
        <v>209</v>
      </c>
      <c r="I15" s="10" t="s">
        <v>198</v>
      </c>
      <c r="J15" s="13" t="s">
        <v>210</v>
      </c>
      <c r="K15" s="10" t="s">
        <v>211</v>
      </c>
      <c r="L15" s="10" t="s">
        <v>212</v>
      </c>
      <c r="M15" s="10" t="s">
        <v>213</v>
      </c>
      <c r="N15" s="13" t="s">
        <v>70</v>
      </c>
      <c r="O15" s="13" t="s">
        <v>188</v>
      </c>
      <c r="P15" s="14" t="s">
        <v>110</v>
      </c>
      <c r="Q15" s="10" t="s">
        <v>214</v>
      </c>
    </row>
    <row r="16" customFormat="false" ht="163.5" hidden="false" customHeight="true" outlineLevel="0" collapsed="false">
      <c r="A16" s="15" t="s">
        <v>215</v>
      </c>
      <c r="B16" s="16" t="s">
        <v>216</v>
      </c>
      <c r="C16" s="15" t="s">
        <v>217</v>
      </c>
      <c r="D16" s="15" t="s">
        <v>218</v>
      </c>
      <c r="E16" s="15" t="s">
        <v>219</v>
      </c>
      <c r="F16" s="15" t="s">
        <v>220</v>
      </c>
      <c r="G16" s="15" t="s">
        <v>128</v>
      </c>
      <c r="H16" s="15" t="s">
        <v>221</v>
      </c>
      <c r="I16" s="15" t="s">
        <v>222</v>
      </c>
      <c r="J16" s="20" t="s">
        <v>92</v>
      </c>
      <c r="K16" s="15" t="s">
        <v>223</v>
      </c>
      <c r="L16" s="15" t="s">
        <v>224</v>
      </c>
      <c r="M16" s="15" t="s">
        <v>225</v>
      </c>
      <c r="N16" s="18" t="s">
        <v>70</v>
      </c>
      <c r="O16" s="18" t="s">
        <v>92</v>
      </c>
      <c r="P16" s="19" t="s">
        <v>226</v>
      </c>
      <c r="Q16" s="15" t="s">
        <v>227</v>
      </c>
    </row>
    <row r="17" customFormat="false" ht="108" hidden="false" customHeight="true" outlineLevel="0" collapsed="false">
      <c r="A17" s="10" t="s">
        <v>228</v>
      </c>
      <c r="B17" s="11" t="s">
        <v>229</v>
      </c>
      <c r="C17" s="10" t="s">
        <v>230</v>
      </c>
      <c r="D17" s="10" t="s">
        <v>231</v>
      </c>
      <c r="E17" s="10" t="s">
        <v>232</v>
      </c>
      <c r="F17" s="10" t="s">
        <v>233</v>
      </c>
      <c r="G17" s="10" t="s">
        <v>234</v>
      </c>
      <c r="H17" s="10" t="s">
        <v>235</v>
      </c>
      <c r="I17" s="10" t="s">
        <v>236</v>
      </c>
      <c r="J17" s="20" t="s">
        <v>92</v>
      </c>
      <c r="K17" s="10" t="s">
        <v>237</v>
      </c>
      <c r="L17" s="10" t="s">
        <v>238</v>
      </c>
      <c r="M17" s="10" t="s">
        <v>239</v>
      </c>
      <c r="N17" s="13" t="s">
        <v>70</v>
      </c>
      <c r="O17" s="13" t="s">
        <v>71</v>
      </c>
      <c r="P17" s="14" t="s">
        <v>240</v>
      </c>
      <c r="Q17" s="10" t="s">
        <v>241</v>
      </c>
    </row>
    <row r="18" customFormat="false" ht="108" hidden="false" customHeight="true" outlineLevel="0" collapsed="false">
      <c r="A18" s="15" t="s">
        <v>242</v>
      </c>
      <c r="B18" s="16" t="s">
        <v>243</v>
      </c>
      <c r="C18" s="15" t="s">
        <v>230</v>
      </c>
      <c r="D18" s="15" t="s">
        <v>231</v>
      </c>
      <c r="E18" s="15" t="s">
        <v>244</v>
      </c>
      <c r="F18" s="15" t="s">
        <v>245</v>
      </c>
      <c r="G18" s="15" t="s">
        <v>234</v>
      </c>
      <c r="H18" s="15" t="s">
        <v>246</v>
      </c>
      <c r="I18" s="15" t="s">
        <v>247</v>
      </c>
      <c r="J18" s="12" t="s">
        <v>66</v>
      </c>
      <c r="K18" s="15" t="s">
        <v>248</v>
      </c>
      <c r="L18" s="15" t="s">
        <v>249</v>
      </c>
      <c r="M18" s="15" t="s">
        <v>250</v>
      </c>
      <c r="N18" s="18" t="s">
        <v>70</v>
      </c>
      <c r="O18" s="18" t="s">
        <v>71</v>
      </c>
      <c r="P18" s="19" t="s">
        <v>122</v>
      </c>
      <c r="Q18" s="15" t="s">
        <v>251</v>
      </c>
    </row>
    <row r="19" customFormat="false" ht="108" hidden="false" customHeight="true" outlineLevel="0" collapsed="false">
      <c r="A19" s="10" t="s">
        <v>252</v>
      </c>
      <c r="B19" s="11" t="s">
        <v>253</v>
      </c>
      <c r="C19" s="10" t="s">
        <v>230</v>
      </c>
      <c r="D19" s="10" t="s">
        <v>254</v>
      </c>
      <c r="E19" s="10" t="s">
        <v>255</v>
      </c>
      <c r="F19" s="10" t="s">
        <v>256</v>
      </c>
      <c r="G19" s="10" t="s">
        <v>257</v>
      </c>
      <c r="H19" s="10" t="s">
        <v>258</v>
      </c>
      <c r="I19" s="10" t="s">
        <v>259</v>
      </c>
      <c r="J19" s="20" t="s">
        <v>92</v>
      </c>
      <c r="K19" s="10" t="s">
        <v>260</v>
      </c>
      <c r="L19" s="10" t="s">
        <v>261</v>
      </c>
      <c r="M19" s="10" t="s">
        <v>262</v>
      </c>
      <c r="N19" s="13" t="s">
        <v>70</v>
      </c>
      <c r="O19" s="13" t="s">
        <v>71</v>
      </c>
      <c r="P19" s="14" t="s">
        <v>263</v>
      </c>
      <c r="Q19" s="10" t="s">
        <v>264</v>
      </c>
    </row>
    <row r="20" customFormat="false" ht="108" hidden="false" customHeight="true" outlineLevel="0" collapsed="false">
      <c r="A20" s="15" t="s">
        <v>265</v>
      </c>
      <c r="B20" s="16" t="s">
        <v>266</v>
      </c>
      <c r="C20" s="15" t="s">
        <v>230</v>
      </c>
      <c r="D20" s="15" t="s">
        <v>267</v>
      </c>
      <c r="E20" s="15" t="s">
        <v>268</v>
      </c>
      <c r="F20" s="15" t="s">
        <v>269</v>
      </c>
      <c r="G20" s="15" t="s">
        <v>270</v>
      </c>
      <c r="H20" s="15" t="s">
        <v>271</v>
      </c>
      <c r="I20" s="15" t="s">
        <v>272</v>
      </c>
      <c r="J20" s="12" t="s">
        <v>66</v>
      </c>
      <c r="K20" s="15" t="s">
        <v>273</v>
      </c>
      <c r="L20" s="15" t="s">
        <v>274</v>
      </c>
      <c r="M20" s="15" t="s">
        <v>275</v>
      </c>
      <c r="N20" s="18" t="s">
        <v>70</v>
      </c>
      <c r="O20" s="18" t="s">
        <v>71</v>
      </c>
      <c r="P20" s="19" t="s">
        <v>240</v>
      </c>
      <c r="Q20" s="15" t="s">
        <v>276</v>
      </c>
    </row>
    <row r="21" customFormat="false" ht="108" hidden="false" customHeight="true" outlineLevel="0" collapsed="false">
      <c r="A21" s="10" t="s">
        <v>277</v>
      </c>
      <c r="B21" s="11" t="s">
        <v>278</v>
      </c>
      <c r="C21" s="10" t="s">
        <v>230</v>
      </c>
      <c r="D21" s="10" t="s">
        <v>279</v>
      </c>
      <c r="E21" s="10" t="s">
        <v>280</v>
      </c>
      <c r="F21" s="10" t="s">
        <v>281</v>
      </c>
      <c r="G21" s="10" t="s">
        <v>128</v>
      </c>
      <c r="H21" s="10" t="s">
        <v>282</v>
      </c>
      <c r="I21" s="10" t="s">
        <v>283</v>
      </c>
      <c r="J21" s="13" t="s">
        <v>210</v>
      </c>
      <c r="K21" s="10" t="s">
        <v>284</v>
      </c>
      <c r="L21" s="10" t="s">
        <v>285</v>
      </c>
      <c r="M21" s="10" t="s">
        <v>286</v>
      </c>
      <c r="N21" s="21" t="s">
        <v>83</v>
      </c>
      <c r="O21" s="13" t="s">
        <v>188</v>
      </c>
      <c r="P21" s="14" t="s">
        <v>110</v>
      </c>
      <c r="Q21" s="10" t="s">
        <v>287</v>
      </c>
    </row>
    <row r="22" customFormat="false" ht="108" hidden="false" customHeight="true" outlineLevel="0" collapsed="false">
      <c r="A22" s="15" t="s">
        <v>288</v>
      </c>
      <c r="B22" s="16" t="s">
        <v>289</v>
      </c>
      <c r="C22" s="15" t="s">
        <v>290</v>
      </c>
      <c r="D22" s="15" t="s">
        <v>291</v>
      </c>
      <c r="E22" s="15" t="s">
        <v>292</v>
      </c>
      <c r="F22" s="15" t="s">
        <v>293</v>
      </c>
      <c r="G22" s="15" t="s">
        <v>294</v>
      </c>
      <c r="H22" s="15" t="s">
        <v>295</v>
      </c>
      <c r="I22" s="15" t="s">
        <v>296</v>
      </c>
      <c r="J22" s="22" t="s">
        <v>184</v>
      </c>
      <c r="K22" s="15" t="s">
        <v>297</v>
      </c>
      <c r="L22" s="15" t="s">
        <v>298</v>
      </c>
      <c r="M22" s="15" t="s">
        <v>299</v>
      </c>
      <c r="N22" s="18" t="s">
        <v>152</v>
      </c>
      <c r="O22" s="18" t="s">
        <v>92</v>
      </c>
      <c r="P22" s="19" t="s">
        <v>263</v>
      </c>
      <c r="Q22" s="15" t="s">
        <v>300</v>
      </c>
    </row>
    <row r="23" customFormat="false" ht="108" hidden="false" customHeight="true" outlineLevel="0" collapsed="false">
      <c r="A23" s="10" t="s">
        <v>301</v>
      </c>
      <c r="B23" s="11" t="s">
        <v>302</v>
      </c>
      <c r="C23" s="10" t="s">
        <v>303</v>
      </c>
      <c r="D23" s="10" t="s">
        <v>304</v>
      </c>
      <c r="E23" s="10" t="s">
        <v>305</v>
      </c>
      <c r="F23" s="10" t="s">
        <v>306</v>
      </c>
      <c r="G23" s="10" t="s">
        <v>307</v>
      </c>
      <c r="H23" s="10" t="s">
        <v>308</v>
      </c>
      <c r="I23" s="10" t="s">
        <v>309</v>
      </c>
      <c r="J23" s="22" t="s">
        <v>184</v>
      </c>
      <c r="K23" s="10" t="s">
        <v>310</v>
      </c>
      <c r="L23" s="10" t="s">
        <v>311</v>
      </c>
      <c r="M23" s="10" t="s">
        <v>312</v>
      </c>
      <c r="N23" s="13" t="s">
        <v>70</v>
      </c>
      <c r="O23" s="13" t="s">
        <v>71</v>
      </c>
      <c r="P23" s="14" t="s">
        <v>122</v>
      </c>
      <c r="Q23" s="10" t="s">
        <v>313</v>
      </c>
    </row>
    <row r="24" customFormat="false" ht="108" hidden="false" customHeight="true" outlineLevel="0" collapsed="false">
      <c r="A24" s="15" t="s">
        <v>314</v>
      </c>
      <c r="B24" s="16" t="s">
        <v>315</v>
      </c>
      <c r="C24" s="15" t="s">
        <v>316</v>
      </c>
      <c r="D24" s="15" t="s">
        <v>317</v>
      </c>
      <c r="E24" s="15" t="s">
        <v>318</v>
      </c>
      <c r="F24" s="15" t="s">
        <v>319</v>
      </c>
      <c r="G24" s="15" t="s">
        <v>234</v>
      </c>
      <c r="H24" s="15" t="s">
        <v>320</v>
      </c>
      <c r="I24" s="15" t="s">
        <v>321</v>
      </c>
      <c r="J24" s="22" t="s">
        <v>184</v>
      </c>
      <c r="K24" s="15" t="s">
        <v>322</v>
      </c>
      <c r="L24" s="15" t="s">
        <v>323</v>
      </c>
      <c r="M24" s="15" t="s">
        <v>324</v>
      </c>
      <c r="N24" s="18" t="s">
        <v>70</v>
      </c>
      <c r="O24" s="18" t="s">
        <v>71</v>
      </c>
      <c r="P24" s="19" t="s">
        <v>325</v>
      </c>
      <c r="Q24" s="15" t="s">
        <v>326</v>
      </c>
    </row>
    <row r="25" customFormat="false" ht="108" hidden="false" customHeight="true" outlineLevel="0" collapsed="false">
      <c r="A25" s="10" t="s">
        <v>327</v>
      </c>
      <c r="B25" s="11" t="s">
        <v>328</v>
      </c>
      <c r="C25" s="10" t="s">
        <v>329</v>
      </c>
      <c r="D25" s="10" t="s">
        <v>330</v>
      </c>
      <c r="E25" s="10" t="s">
        <v>331</v>
      </c>
      <c r="F25" s="10" t="s">
        <v>332</v>
      </c>
      <c r="G25" s="10" t="s">
        <v>333</v>
      </c>
      <c r="H25" s="10" t="s">
        <v>334</v>
      </c>
      <c r="I25" s="10" t="s">
        <v>335</v>
      </c>
      <c r="J25" s="13" t="s">
        <v>210</v>
      </c>
      <c r="K25" s="10" t="s">
        <v>336</v>
      </c>
      <c r="L25" s="10" t="s">
        <v>212</v>
      </c>
      <c r="M25" s="10" t="s">
        <v>337</v>
      </c>
      <c r="N25" s="13" t="s">
        <v>70</v>
      </c>
      <c r="O25" s="13" t="s">
        <v>188</v>
      </c>
      <c r="P25" s="14" t="s">
        <v>338</v>
      </c>
      <c r="Q25" s="10" t="s">
        <v>339</v>
      </c>
    </row>
    <row r="26" customFormat="false" ht="108" hidden="false" customHeight="true" outlineLevel="0" collapsed="false">
      <c r="A26" s="15" t="s">
        <v>340</v>
      </c>
      <c r="B26" s="16" t="s">
        <v>341</v>
      </c>
      <c r="C26" s="15" t="s">
        <v>342</v>
      </c>
      <c r="D26" s="15" t="s">
        <v>343</v>
      </c>
      <c r="E26" s="15" t="s">
        <v>344</v>
      </c>
      <c r="F26" s="15" t="s">
        <v>345</v>
      </c>
      <c r="G26" s="15" t="s">
        <v>346</v>
      </c>
      <c r="H26" s="15" t="s">
        <v>347</v>
      </c>
      <c r="I26" s="15" t="s">
        <v>348</v>
      </c>
      <c r="J26" s="18" t="s">
        <v>210</v>
      </c>
      <c r="K26" s="15" t="s">
        <v>349</v>
      </c>
      <c r="L26" s="15" t="s">
        <v>350</v>
      </c>
      <c r="M26" s="15" t="s">
        <v>351</v>
      </c>
      <c r="N26" s="18" t="s">
        <v>70</v>
      </c>
      <c r="O26" s="18" t="s">
        <v>188</v>
      </c>
      <c r="P26" s="19" t="s">
        <v>110</v>
      </c>
      <c r="Q26" s="15" t="s">
        <v>352</v>
      </c>
    </row>
    <row r="27" customFormat="false" ht="108" hidden="false" customHeight="true" outlineLevel="0" collapsed="false">
      <c r="A27" s="10" t="s">
        <v>353</v>
      </c>
      <c r="B27" s="11" t="s">
        <v>354</v>
      </c>
      <c r="C27" s="10" t="s">
        <v>342</v>
      </c>
      <c r="D27" s="10" t="s">
        <v>355</v>
      </c>
      <c r="E27" s="10" t="s">
        <v>356</v>
      </c>
      <c r="F27" s="10" t="s">
        <v>357</v>
      </c>
      <c r="G27" s="10" t="s">
        <v>346</v>
      </c>
      <c r="H27" s="10" t="s">
        <v>358</v>
      </c>
      <c r="I27" s="10" t="s">
        <v>359</v>
      </c>
      <c r="J27" s="13" t="s">
        <v>210</v>
      </c>
      <c r="K27" s="10" t="s">
        <v>360</v>
      </c>
      <c r="L27" s="10" t="s">
        <v>361</v>
      </c>
      <c r="M27" s="10" t="s">
        <v>362</v>
      </c>
      <c r="N27" s="13" t="s">
        <v>70</v>
      </c>
      <c r="O27" s="13" t="s">
        <v>188</v>
      </c>
      <c r="P27" s="14" t="s">
        <v>110</v>
      </c>
      <c r="Q27" s="10" t="s">
        <v>363</v>
      </c>
    </row>
    <row r="28" customFormat="false" ht="108" hidden="false" customHeight="true" outlineLevel="0" collapsed="false">
      <c r="A28" s="15" t="s">
        <v>364</v>
      </c>
      <c r="B28" s="16" t="s">
        <v>365</v>
      </c>
      <c r="C28" s="15" t="s">
        <v>342</v>
      </c>
      <c r="D28" s="15" t="s">
        <v>366</v>
      </c>
      <c r="E28" s="15" t="s">
        <v>367</v>
      </c>
      <c r="F28" s="15" t="s">
        <v>368</v>
      </c>
      <c r="G28" s="15" t="s">
        <v>346</v>
      </c>
      <c r="H28" s="15" t="s">
        <v>369</v>
      </c>
      <c r="I28" s="15" t="s">
        <v>370</v>
      </c>
      <c r="J28" s="18" t="s">
        <v>210</v>
      </c>
      <c r="K28" s="15" t="s">
        <v>371</v>
      </c>
      <c r="L28" s="15" t="s">
        <v>372</v>
      </c>
      <c r="M28" s="15" t="s">
        <v>373</v>
      </c>
      <c r="N28" s="18" t="s">
        <v>152</v>
      </c>
      <c r="O28" s="18" t="s">
        <v>92</v>
      </c>
      <c r="P28" s="19" t="s">
        <v>338</v>
      </c>
      <c r="Q28" s="15" t="s">
        <v>374</v>
      </c>
    </row>
    <row r="29" customFormat="false" ht="108" hidden="false" customHeight="true" outlineLevel="0" collapsed="false">
      <c r="A29" s="10" t="s">
        <v>375</v>
      </c>
      <c r="B29" s="11" t="s">
        <v>376</v>
      </c>
      <c r="C29" s="10" t="s">
        <v>377</v>
      </c>
      <c r="D29" s="10" t="s">
        <v>378</v>
      </c>
      <c r="E29" s="10" t="s">
        <v>379</v>
      </c>
      <c r="F29" s="10" t="s">
        <v>380</v>
      </c>
      <c r="G29" s="10" t="s">
        <v>381</v>
      </c>
      <c r="H29" s="10" t="s">
        <v>382</v>
      </c>
      <c r="I29" s="10" t="s">
        <v>383</v>
      </c>
      <c r="J29" s="22" t="s">
        <v>184</v>
      </c>
      <c r="K29" s="10" t="s">
        <v>384</v>
      </c>
      <c r="L29" s="10" t="s">
        <v>385</v>
      </c>
      <c r="M29" s="10" t="s">
        <v>386</v>
      </c>
      <c r="N29" s="13" t="s">
        <v>70</v>
      </c>
      <c r="O29" s="13" t="s">
        <v>188</v>
      </c>
      <c r="P29" s="14" t="s">
        <v>387</v>
      </c>
      <c r="Q29" s="10" t="s">
        <v>388</v>
      </c>
    </row>
    <row r="30" customFormat="false" ht="108" hidden="false" customHeight="true" outlineLevel="0" collapsed="false">
      <c r="A30" s="15" t="s">
        <v>389</v>
      </c>
      <c r="B30" s="16" t="s">
        <v>390</v>
      </c>
      <c r="C30" s="15" t="s">
        <v>391</v>
      </c>
      <c r="D30" s="15" t="s">
        <v>392</v>
      </c>
      <c r="E30" s="15" t="s">
        <v>393</v>
      </c>
      <c r="F30" s="15" t="s">
        <v>394</v>
      </c>
      <c r="G30" s="15" t="s">
        <v>395</v>
      </c>
      <c r="H30" s="15" t="s">
        <v>396</v>
      </c>
      <c r="I30" s="15" t="s">
        <v>397</v>
      </c>
      <c r="J30" s="18" t="s">
        <v>210</v>
      </c>
      <c r="K30" s="15" t="s">
        <v>398</v>
      </c>
      <c r="L30" s="15" t="s">
        <v>399</v>
      </c>
      <c r="M30" s="15" t="s">
        <v>400</v>
      </c>
      <c r="N30" s="18" t="s">
        <v>152</v>
      </c>
      <c r="O30" s="18" t="s">
        <v>92</v>
      </c>
      <c r="P30" s="19" t="s">
        <v>122</v>
      </c>
      <c r="Q30" s="15" t="s">
        <v>401</v>
      </c>
    </row>
    <row r="31" customFormat="false" ht="108" hidden="false" customHeight="true" outlineLevel="0" collapsed="false">
      <c r="A31" s="10" t="s">
        <v>402</v>
      </c>
      <c r="B31" s="11" t="s">
        <v>403</v>
      </c>
      <c r="C31" s="10" t="s">
        <v>404</v>
      </c>
      <c r="D31" s="10" t="s">
        <v>405</v>
      </c>
      <c r="E31" s="10" t="s">
        <v>406</v>
      </c>
      <c r="F31" s="10" t="s">
        <v>407</v>
      </c>
      <c r="G31" s="10" t="s">
        <v>128</v>
      </c>
      <c r="H31" s="10" t="s">
        <v>408</v>
      </c>
      <c r="I31" s="10" t="s">
        <v>409</v>
      </c>
      <c r="J31" s="20" t="s">
        <v>92</v>
      </c>
      <c r="K31" s="10" t="s">
        <v>410</v>
      </c>
      <c r="L31" s="10" t="s">
        <v>411</v>
      </c>
      <c r="M31" s="10" t="s">
        <v>412</v>
      </c>
      <c r="N31" s="13" t="s">
        <v>152</v>
      </c>
      <c r="O31" s="13" t="s">
        <v>92</v>
      </c>
      <c r="P31" s="14" t="s">
        <v>413</v>
      </c>
      <c r="Q31" s="10" t="s">
        <v>414</v>
      </c>
    </row>
    <row r="32" customFormat="false" ht="177" hidden="false" customHeight="true" outlineLevel="0" collapsed="false">
      <c r="A32" s="15" t="s">
        <v>415</v>
      </c>
      <c r="B32" s="16" t="s">
        <v>416</v>
      </c>
      <c r="C32" s="15" t="s">
        <v>417</v>
      </c>
      <c r="D32" s="15" t="s">
        <v>418</v>
      </c>
      <c r="E32" s="15" t="s">
        <v>419</v>
      </c>
      <c r="F32" s="15" t="s">
        <v>420</v>
      </c>
      <c r="G32" s="15" t="s">
        <v>128</v>
      </c>
      <c r="H32" s="15" t="s">
        <v>421</v>
      </c>
      <c r="I32" s="15" t="s">
        <v>422</v>
      </c>
      <c r="J32" s="12" t="s">
        <v>66</v>
      </c>
      <c r="K32" s="15" t="s">
        <v>423</v>
      </c>
      <c r="L32" s="15" t="s">
        <v>424</v>
      </c>
      <c r="M32" s="15" t="s">
        <v>425</v>
      </c>
      <c r="N32" s="18" t="s">
        <v>70</v>
      </c>
      <c r="O32" s="18" t="s">
        <v>92</v>
      </c>
      <c r="P32" s="19" t="s">
        <v>110</v>
      </c>
      <c r="Q32" s="15" t="s">
        <v>426</v>
      </c>
    </row>
  </sheetData>
  <autoFilter ref="A2:Q32"/>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46"/>
    <col collapsed="false" customWidth="true" hidden="false" outlineLevel="0" max="4" min="4" style="1" width="22"/>
    <col collapsed="false" customWidth="true" hidden="false" outlineLevel="0" max="5" min="5" style="1" width="60"/>
  </cols>
  <sheetData>
    <row r="1" customFormat="false" ht="17.25" hidden="false" customHeight="true" outlineLevel="0" collapsed="false">
      <c r="A1" s="2" t="s">
        <v>427</v>
      </c>
    </row>
    <row r="2" customFormat="false" ht="15" hidden="false" customHeight="true" outlineLevel="0" collapsed="false">
      <c r="A2" s="23" t="s">
        <v>428</v>
      </c>
      <c r="B2" s="23"/>
      <c r="C2" s="23"/>
      <c r="D2" s="23"/>
      <c r="E2" s="23"/>
    </row>
    <row r="4" customFormat="false" ht="30" hidden="false" customHeight="true" outlineLevel="0" collapsed="false">
      <c r="A4" s="9" t="s">
        <v>429</v>
      </c>
      <c r="B4" s="9" t="s">
        <v>430</v>
      </c>
      <c r="C4" s="9" t="s">
        <v>431</v>
      </c>
      <c r="D4" s="9" t="s">
        <v>432</v>
      </c>
      <c r="E4" s="9" t="s">
        <v>52</v>
      </c>
    </row>
    <row r="5" customFormat="false" ht="150" hidden="false" customHeight="true" outlineLevel="0" collapsed="false">
      <c r="A5" s="11" t="s">
        <v>433</v>
      </c>
      <c r="B5" s="10" t="s">
        <v>434</v>
      </c>
      <c r="C5" s="10" t="s">
        <v>435</v>
      </c>
      <c r="D5" s="24" t="s">
        <v>436</v>
      </c>
      <c r="E5" s="10" t="s">
        <v>437</v>
      </c>
    </row>
    <row r="6" customFormat="false" ht="85.5" hidden="false" customHeight="true" outlineLevel="0" collapsed="false">
      <c r="A6" s="16" t="s">
        <v>438</v>
      </c>
      <c r="B6" s="15" t="s">
        <v>439</v>
      </c>
      <c r="C6" s="15" t="s">
        <v>440</v>
      </c>
      <c r="D6" s="24" t="s">
        <v>436</v>
      </c>
      <c r="E6" s="15" t="s">
        <v>441</v>
      </c>
    </row>
    <row r="7" customFormat="false" ht="85.5" hidden="false" customHeight="true" outlineLevel="0" collapsed="false">
      <c r="A7" s="11" t="s">
        <v>442</v>
      </c>
      <c r="B7" s="10" t="s">
        <v>443</v>
      </c>
      <c r="C7" s="10" t="s">
        <v>444</v>
      </c>
      <c r="D7" s="24" t="s">
        <v>436</v>
      </c>
      <c r="E7" s="10" t="s">
        <v>445</v>
      </c>
    </row>
    <row r="8" customFormat="false" ht="85.5" hidden="false" customHeight="true" outlineLevel="0" collapsed="false">
      <c r="A8" s="16" t="s">
        <v>446</v>
      </c>
      <c r="B8" s="15" t="s">
        <v>447</v>
      </c>
      <c r="C8" s="15" t="s">
        <v>448</v>
      </c>
      <c r="D8" s="22" t="s">
        <v>449</v>
      </c>
      <c r="E8" s="15" t="s">
        <v>450</v>
      </c>
    </row>
    <row r="9" customFormat="false" ht="85.5" hidden="false" customHeight="true" outlineLevel="0" collapsed="false">
      <c r="A9" s="11" t="s">
        <v>451</v>
      </c>
      <c r="B9" s="10" t="s">
        <v>452</v>
      </c>
      <c r="C9" s="10" t="s">
        <v>453</v>
      </c>
      <c r="D9" s="22" t="s">
        <v>454</v>
      </c>
      <c r="E9" s="10" t="s">
        <v>455</v>
      </c>
    </row>
    <row r="10" customFormat="false" ht="85.5" hidden="false" customHeight="true" outlineLevel="0" collapsed="false">
      <c r="A10" s="16" t="s">
        <v>456</v>
      </c>
      <c r="B10" s="15" t="s">
        <v>457</v>
      </c>
      <c r="C10" s="15" t="s">
        <v>458</v>
      </c>
      <c r="D10" s="22" t="s">
        <v>449</v>
      </c>
      <c r="E10" s="15" t="s">
        <v>459</v>
      </c>
    </row>
    <row r="11" customFormat="false" ht="85.5" hidden="false" customHeight="true" outlineLevel="0" collapsed="false">
      <c r="A11" s="11" t="s">
        <v>460</v>
      </c>
      <c r="B11" s="10" t="s">
        <v>461</v>
      </c>
      <c r="C11" s="10" t="s">
        <v>462</v>
      </c>
      <c r="D11" s="22" t="s">
        <v>463</v>
      </c>
      <c r="E11" s="10" t="s">
        <v>464</v>
      </c>
    </row>
    <row r="12" customFormat="false" ht="85.5" hidden="false" customHeight="true" outlineLevel="0" collapsed="false">
      <c r="A12" s="16" t="s">
        <v>465</v>
      </c>
      <c r="B12" s="15" t="s">
        <v>466</v>
      </c>
      <c r="C12" s="15" t="s">
        <v>467</v>
      </c>
      <c r="D12" s="20" t="s">
        <v>468</v>
      </c>
      <c r="E12" s="15" t="s">
        <v>469</v>
      </c>
    </row>
    <row r="13" customFormat="false" ht="85.5" hidden="false" customHeight="true" outlineLevel="0" collapsed="false">
      <c r="A13" s="11" t="s">
        <v>470</v>
      </c>
      <c r="B13" s="10" t="s">
        <v>471</v>
      </c>
      <c r="C13" s="10" t="s">
        <v>472</v>
      </c>
      <c r="D13" s="24" t="s">
        <v>473</v>
      </c>
      <c r="E13" s="10" t="s">
        <v>474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4"/>
    <col collapsed="false" customWidth="true" hidden="false" outlineLevel="0" max="4" min="3" style="1" width="62"/>
  </cols>
  <sheetData>
    <row r="1" customFormat="false" ht="17.25" hidden="false" customHeight="true" outlineLevel="0" collapsed="false">
      <c r="A1" s="2" t="s">
        <v>475</v>
      </c>
    </row>
    <row r="2" customFormat="false" ht="15" hidden="false" customHeight="true" outlineLevel="0" collapsed="false">
      <c r="A2" s="23" t="s">
        <v>476</v>
      </c>
      <c r="B2" s="23"/>
      <c r="C2" s="23"/>
      <c r="D2" s="23"/>
    </row>
    <row r="4" customFormat="false" ht="25.5" hidden="false" customHeight="true" outlineLevel="0" collapsed="false">
      <c r="A4" s="9" t="s">
        <v>477</v>
      </c>
      <c r="B4" s="9" t="s">
        <v>478</v>
      </c>
      <c r="C4" s="9" t="s">
        <v>479</v>
      </c>
      <c r="D4" s="9" t="s">
        <v>480</v>
      </c>
    </row>
    <row r="5" customFormat="false" ht="87.75" hidden="false" customHeight="true" outlineLevel="0" collapsed="false">
      <c r="A5" s="11" t="s">
        <v>43</v>
      </c>
      <c r="B5" s="10" t="s">
        <v>481</v>
      </c>
      <c r="C5" s="10" t="s">
        <v>482</v>
      </c>
      <c r="D5" s="10" t="s">
        <v>483</v>
      </c>
    </row>
    <row r="6" customFormat="false" ht="87.75" hidden="false" customHeight="true" outlineLevel="0" collapsed="false">
      <c r="A6" s="16" t="s">
        <v>484</v>
      </c>
      <c r="B6" s="15" t="s">
        <v>485</v>
      </c>
      <c r="C6" s="15" t="s">
        <v>486</v>
      </c>
      <c r="D6" s="15" t="s">
        <v>487</v>
      </c>
    </row>
    <row r="7" customFormat="false" ht="87.75" hidden="false" customHeight="true" outlineLevel="0" collapsed="false">
      <c r="A7" s="11" t="s">
        <v>488</v>
      </c>
      <c r="B7" s="10" t="s">
        <v>489</v>
      </c>
      <c r="C7" s="10" t="s">
        <v>490</v>
      </c>
      <c r="D7" s="10" t="s">
        <v>491</v>
      </c>
    </row>
    <row r="8" customFormat="false" ht="87.75" hidden="false" customHeight="true" outlineLevel="0" collapsed="false">
      <c r="A8" s="16" t="s">
        <v>492</v>
      </c>
      <c r="B8" s="15" t="s">
        <v>493</v>
      </c>
      <c r="C8" s="15" t="s">
        <v>494</v>
      </c>
      <c r="D8" s="15" t="s">
        <v>495</v>
      </c>
    </row>
    <row r="9" customFormat="false" ht="87.75" hidden="false" customHeight="true" outlineLevel="0" collapsed="false">
      <c r="A9" s="11" t="s">
        <v>496</v>
      </c>
      <c r="B9" s="10" t="s">
        <v>497</v>
      </c>
      <c r="C9" s="10" t="s">
        <v>498</v>
      </c>
      <c r="D9" s="10" t="s">
        <v>499</v>
      </c>
    </row>
    <row r="10" customFormat="false" ht="87.75" hidden="false" customHeight="true" outlineLevel="0" collapsed="false">
      <c r="A10" s="16" t="s">
        <v>500</v>
      </c>
      <c r="B10" s="15" t="s">
        <v>501</v>
      </c>
      <c r="C10" s="15" t="s">
        <v>502</v>
      </c>
      <c r="D10" s="15" t="s">
        <v>503</v>
      </c>
    </row>
    <row r="11" customFormat="false" ht="87.75" hidden="false" customHeight="true" outlineLevel="0" collapsed="false">
      <c r="A11" s="11" t="s">
        <v>504</v>
      </c>
      <c r="B11" s="10" t="s">
        <v>505</v>
      </c>
      <c r="C11" s="10" t="s">
        <v>506</v>
      </c>
      <c r="D11" s="10" t="s">
        <v>507</v>
      </c>
    </row>
    <row r="12" customFormat="false" ht="87.75" hidden="false" customHeight="true" outlineLevel="0" collapsed="false">
      <c r="A12" s="16" t="s">
        <v>508</v>
      </c>
      <c r="B12" s="15" t="s">
        <v>509</v>
      </c>
      <c r="C12" s="15" t="s">
        <v>510</v>
      </c>
      <c r="D12" s="15" t="s">
        <v>511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26"/>
    <col collapsed="false" customWidth="true" hidden="false" outlineLevel="0" max="4" min="4" style="1" width="44"/>
  </cols>
  <sheetData>
    <row r="1" customFormat="false" ht="17.25" hidden="false" customHeight="true" outlineLevel="0" collapsed="false">
      <c r="A1" s="2" t="s">
        <v>512</v>
      </c>
    </row>
    <row r="2" customFormat="false" ht="15" hidden="false" customHeight="true" outlineLevel="0" collapsed="false">
      <c r="A2" s="23" t="s">
        <v>513</v>
      </c>
      <c r="B2" s="23"/>
      <c r="C2" s="23"/>
      <c r="D2" s="23"/>
    </row>
    <row r="4" customFormat="false" ht="24" hidden="false" customHeight="true" outlineLevel="0" collapsed="false">
      <c r="A4" s="9" t="s">
        <v>514</v>
      </c>
      <c r="B4" s="9" t="s">
        <v>515</v>
      </c>
      <c r="C4" s="9" t="s">
        <v>516</v>
      </c>
      <c r="D4" s="9" t="s">
        <v>517</v>
      </c>
    </row>
    <row r="5" customFormat="false" ht="31.5" hidden="false" customHeight="true" outlineLevel="0" collapsed="false">
      <c r="A5" s="11" t="s">
        <v>518</v>
      </c>
      <c r="B5" s="10" t="s">
        <v>519</v>
      </c>
      <c r="C5" s="10" t="s">
        <v>520</v>
      </c>
      <c r="D5" s="10" t="s">
        <v>57</v>
      </c>
    </row>
    <row r="6" customFormat="false" ht="31.5" hidden="false" customHeight="true" outlineLevel="0" collapsed="false">
      <c r="A6" s="16" t="s">
        <v>521</v>
      </c>
      <c r="B6" s="15" t="s">
        <v>522</v>
      </c>
      <c r="C6" s="15" t="s">
        <v>523</v>
      </c>
      <c r="D6" s="15" t="s">
        <v>524</v>
      </c>
    </row>
    <row r="7" customFormat="false" ht="31.5" hidden="false" customHeight="true" outlineLevel="0" collapsed="false">
      <c r="A7" s="11" t="s">
        <v>525</v>
      </c>
      <c r="B7" s="10" t="s">
        <v>526</v>
      </c>
      <c r="C7" s="10" t="s">
        <v>527</v>
      </c>
      <c r="D7" s="10" t="s">
        <v>57</v>
      </c>
    </row>
    <row r="8" customFormat="false" ht="31.5" hidden="false" customHeight="true" outlineLevel="0" collapsed="false">
      <c r="A8" s="16" t="s">
        <v>528</v>
      </c>
      <c r="B8" s="15" t="s">
        <v>529</v>
      </c>
      <c r="C8" s="15" t="s">
        <v>523</v>
      </c>
      <c r="D8" s="15" t="s">
        <v>530</v>
      </c>
    </row>
    <row r="9" customFormat="false" ht="31.5" hidden="false" customHeight="true" outlineLevel="0" collapsed="false">
      <c r="A9" s="11" t="s">
        <v>531</v>
      </c>
      <c r="B9" s="10" t="s">
        <v>532</v>
      </c>
      <c r="C9" s="10" t="s">
        <v>523</v>
      </c>
      <c r="D9" s="10" t="s">
        <v>530</v>
      </c>
    </row>
    <row r="10" customFormat="false" ht="31.5" hidden="false" customHeight="true" outlineLevel="0" collapsed="false">
      <c r="A10" s="16" t="s">
        <v>533</v>
      </c>
      <c r="B10" s="15" t="s">
        <v>534</v>
      </c>
      <c r="C10" s="15" t="s">
        <v>535</v>
      </c>
      <c r="D10" s="15" t="s">
        <v>124</v>
      </c>
    </row>
    <row r="11" customFormat="false" ht="31.5" hidden="false" customHeight="true" outlineLevel="0" collapsed="false">
      <c r="A11" s="11" t="s">
        <v>536</v>
      </c>
      <c r="B11" s="10" t="s">
        <v>537</v>
      </c>
      <c r="C11" s="10" t="s">
        <v>535</v>
      </c>
      <c r="D11" s="10" t="s">
        <v>538</v>
      </c>
    </row>
    <row r="12" customFormat="false" ht="31.5" hidden="false" customHeight="true" outlineLevel="0" collapsed="false">
      <c r="A12" s="16" t="s">
        <v>539</v>
      </c>
      <c r="B12" s="15" t="s">
        <v>540</v>
      </c>
      <c r="C12" s="15" t="s">
        <v>535</v>
      </c>
      <c r="D12" s="15" t="s">
        <v>541</v>
      </c>
    </row>
    <row r="13" customFormat="false" ht="31.5" hidden="false" customHeight="true" outlineLevel="0" collapsed="false">
      <c r="A13" s="11" t="s">
        <v>542</v>
      </c>
      <c r="B13" s="10" t="s">
        <v>543</v>
      </c>
      <c r="C13" s="10" t="s">
        <v>535</v>
      </c>
      <c r="D13" s="10" t="s">
        <v>155</v>
      </c>
    </row>
    <row r="14" customFormat="false" ht="31.5" hidden="false" customHeight="true" outlineLevel="0" collapsed="false">
      <c r="A14" s="16" t="s">
        <v>544</v>
      </c>
      <c r="B14" s="15" t="s">
        <v>545</v>
      </c>
      <c r="C14" s="15" t="s">
        <v>535</v>
      </c>
      <c r="D14" s="15" t="s">
        <v>215</v>
      </c>
    </row>
    <row r="15" customFormat="false" ht="31.5" hidden="false" customHeight="true" outlineLevel="0" collapsed="false">
      <c r="A15" s="11" t="s">
        <v>546</v>
      </c>
      <c r="B15" s="10" t="s">
        <v>547</v>
      </c>
      <c r="C15" s="10" t="s">
        <v>535</v>
      </c>
      <c r="D15" s="10" t="s">
        <v>191</v>
      </c>
    </row>
    <row r="16" customFormat="false" ht="31.5" hidden="false" customHeight="true" outlineLevel="0" collapsed="false">
      <c r="A16" s="16" t="s">
        <v>548</v>
      </c>
      <c r="B16" s="15" t="s">
        <v>549</v>
      </c>
      <c r="C16" s="15" t="s">
        <v>535</v>
      </c>
      <c r="D16" s="15" t="s">
        <v>203</v>
      </c>
    </row>
    <row r="17" customFormat="false" ht="31.5" hidden="false" customHeight="true" outlineLevel="0" collapsed="false">
      <c r="A17" s="11" t="s">
        <v>550</v>
      </c>
      <c r="B17" s="10" t="s">
        <v>551</v>
      </c>
      <c r="C17" s="10" t="s">
        <v>552</v>
      </c>
      <c r="D17" s="10" t="s">
        <v>112</v>
      </c>
    </row>
    <row r="18" customFormat="false" ht="31.5" hidden="false" customHeight="true" outlineLevel="0" collapsed="false">
      <c r="A18" s="16" t="s">
        <v>553</v>
      </c>
      <c r="B18" s="15" t="s">
        <v>554</v>
      </c>
      <c r="C18" s="15" t="s">
        <v>552</v>
      </c>
      <c r="D18" s="15" t="s">
        <v>135</v>
      </c>
    </row>
    <row r="19" customFormat="false" ht="31.5" hidden="false" customHeight="true" outlineLevel="0" collapsed="false">
      <c r="A19" s="11" t="s">
        <v>555</v>
      </c>
      <c r="B19" s="10" t="s">
        <v>556</v>
      </c>
      <c r="C19" s="10" t="s">
        <v>552</v>
      </c>
      <c r="D19" s="10" t="s">
        <v>145</v>
      </c>
    </row>
    <row r="20" customFormat="false" ht="31.5" hidden="false" customHeight="true" outlineLevel="0" collapsed="false">
      <c r="A20" s="16" t="s">
        <v>557</v>
      </c>
      <c r="B20" s="15" t="s">
        <v>558</v>
      </c>
      <c r="C20" s="15" t="s">
        <v>552</v>
      </c>
      <c r="D20" s="15" t="s">
        <v>155</v>
      </c>
    </row>
    <row r="21" customFormat="false" ht="31.5" hidden="false" customHeight="true" outlineLevel="0" collapsed="false">
      <c r="A21" s="11" t="s">
        <v>559</v>
      </c>
      <c r="B21" s="10" t="s">
        <v>560</v>
      </c>
      <c r="C21" s="10" t="s">
        <v>552</v>
      </c>
      <c r="D21" s="10" t="s">
        <v>561</v>
      </c>
    </row>
    <row r="22" customFormat="false" ht="31.5" hidden="false" customHeight="true" outlineLevel="0" collapsed="false">
      <c r="A22" s="16" t="s">
        <v>562</v>
      </c>
      <c r="B22" s="15" t="s">
        <v>563</v>
      </c>
      <c r="C22" s="15" t="s">
        <v>564</v>
      </c>
      <c r="D22" s="15" t="s">
        <v>166</v>
      </c>
    </row>
    <row r="23" customFormat="false" ht="31.5" hidden="false" customHeight="true" outlineLevel="0" collapsed="false">
      <c r="A23" s="11" t="s">
        <v>565</v>
      </c>
      <c r="B23" s="10" t="s">
        <v>566</v>
      </c>
      <c r="C23" s="10" t="s">
        <v>567</v>
      </c>
      <c r="D23" s="10" t="s">
        <v>568</v>
      </c>
    </row>
    <row r="24" customFormat="false" ht="31.5" hidden="false" customHeight="true" outlineLevel="0" collapsed="false">
      <c r="A24" s="16" t="s">
        <v>569</v>
      </c>
      <c r="B24" s="15" t="s">
        <v>570</v>
      </c>
      <c r="C24" s="15" t="s">
        <v>567</v>
      </c>
      <c r="D24" s="15" t="s">
        <v>252</v>
      </c>
    </row>
    <row r="25" customFormat="false" ht="31.5" hidden="false" customHeight="true" outlineLevel="0" collapsed="false">
      <c r="A25" s="11" t="s">
        <v>571</v>
      </c>
      <c r="B25" s="10" t="s">
        <v>572</v>
      </c>
      <c r="C25" s="10" t="s">
        <v>523</v>
      </c>
      <c r="D25" s="10" t="s">
        <v>314</v>
      </c>
    </row>
    <row r="26" customFormat="false" ht="31.5" hidden="false" customHeight="true" outlineLevel="0" collapsed="false">
      <c r="A26" s="16" t="s">
        <v>573</v>
      </c>
      <c r="B26" s="15" t="s">
        <v>574</v>
      </c>
      <c r="C26" s="15" t="s">
        <v>575</v>
      </c>
      <c r="D26" s="15" t="s">
        <v>265</v>
      </c>
    </row>
    <row r="27" customFormat="false" ht="31.5" hidden="false" customHeight="true" outlineLevel="0" collapsed="false">
      <c r="A27" s="11" t="s">
        <v>576</v>
      </c>
      <c r="B27" s="10" t="s">
        <v>577</v>
      </c>
      <c r="C27" s="10" t="s">
        <v>575</v>
      </c>
      <c r="D27" s="10" t="s">
        <v>288</v>
      </c>
    </row>
    <row r="28" customFormat="false" ht="31.5" hidden="false" customHeight="true" outlineLevel="0" collapsed="false">
      <c r="A28" s="16" t="s">
        <v>578</v>
      </c>
      <c r="B28" s="15" t="s">
        <v>579</v>
      </c>
      <c r="C28" s="15" t="s">
        <v>580</v>
      </c>
      <c r="D28" s="15" t="s">
        <v>301</v>
      </c>
    </row>
    <row r="29" customFormat="false" ht="31.5" hidden="false" customHeight="true" outlineLevel="0" collapsed="false">
      <c r="A29" s="11" t="s">
        <v>581</v>
      </c>
      <c r="B29" s="10" t="s">
        <v>582</v>
      </c>
      <c r="C29" s="10" t="s">
        <v>580</v>
      </c>
      <c r="D29" s="10" t="s">
        <v>301</v>
      </c>
    </row>
    <row r="30" customFormat="false" ht="31.5" hidden="false" customHeight="true" outlineLevel="0" collapsed="false">
      <c r="A30" s="16" t="s">
        <v>583</v>
      </c>
      <c r="B30" s="15" t="s">
        <v>584</v>
      </c>
      <c r="C30" s="15" t="s">
        <v>585</v>
      </c>
      <c r="D30" s="15" t="s">
        <v>586</v>
      </c>
    </row>
    <row r="31" customFormat="false" ht="31.5" hidden="false" customHeight="true" outlineLevel="0" collapsed="false">
      <c r="A31" s="11" t="s">
        <v>587</v>
      </c>
      <c r="B31" s="10" t="s">
        <v>588</v>
      </c>
      <c r="C31" s="10" t="s">
        <v>589</v>
      </c>
      <c r="D31" s="10" t="s">
        <v>327</v>
      </c>
    </row>
    <row r="32" customFormat="false" ht="31.5" hidden="false" customHeight="true" outlineLevel="0" collapsed="false">
      <c r="A32" s="16" t="s">
        <v>590</v>
      </c>
      <c r="B32" s="15" t="s">
        <v>591</v>
      </c>
      <c r="C32" s="15" t="s">
        <v>589</v>
      </c>
      <c r="D32" s="15" t="s">
        <v>327</v>
      </c>
    </row>
    <row r="33" customFormat="false" ht="31.5" hidden="false" customHeight="true" outlineLevel="0" collapsed="false">
      <c r="A33" s="11" t="s">
        <v>592</v>
      </c>
      <c r="B33" s="10" t="s">
        <v>593</v>
      </c>
      <c r="C33" s="10" t="s">
        <v>594</v>
      </c>
      <c r="D33" s="10" t="s">
        <v>595</v>
      </c>
    </row>
    <row r="34" customFormat="false" ht="31.5" hidden="false" customHeight="true" outlineLevel="0" collapsed="false">
      <c r="A34" s="16" t="s">
        <v>596</v>
      </c>
      <c r="B34" s="15" t="s">
        <v>597</v>
      </c>
      <c r="C34" s="15" t="s">
        <v>594</v>
      </c>
      <c r="D34" s="15" t="s">
        <v>595</v>
      </c>
    </row>
    <row r="35" customFormat="false" ht="31.5" hidden="false" customHeight="true" outlineLevel="0" collapsed="false">
      <c r="A35" s="11" t="s">
        <v>598</v>
      </c>
      <c r="B35" s="10" t="s">
        <v>599</v>
      </c>
      <c r="C35" s="10" t="s">
        <v>600</v>
      </c>
      <c r="D35" s="10" t="s">
        <v>340</v>
      </c>
    </row>
    <row r="36" customFormat="false" ht="31.5" hidden="false" customHeight="true" outlineLevel="0" collapsed="false">
      <c r="A36" s="16" t="s">
        <v>601</v>
      </c>
      <c r="B36" s="15" t="s">
        <v>602</v>
      </c>
      <c r="C36" s="15" t="s">
        <v>603</v>
      </c>
      <c r="D36" s="15" t="s">
        <v>353</v>
      </c>
    </row>
    <row r="37" customFormat="false" ht="31.5" hidden="false" customHeight="true" outlineLevel="0" collapsed="false">
      <c r="A37" s="11" t="s">
        <v>604</v>
      </c>
      <c r="B37" s="10" t="s">
        <v>605</v>
      </c>
      <c r="C37" s="10" t="s">
        <v>606</v>
      </c>
      <c r="D37" s="10" t="s">
        <v>353</v>
      </c>
    </row>
    <row r="38" customFormat="false" ht="31.5" hidden="false" customHeight="true" outlineLevel="0" collapsed="false">
      <c r="A38" s="16" t="s">
        <v>607</v>
      </c>
      <c r="B38" s="15" t="s">
        <v>608</v>
      </c>
      <c r="C38" s="15" t="s">
        <v>603</v>
      </c>
      <c r="D38" s="15" t="s">
        <v>364</v>
      </c>
    </row>
    <row r="39" customFormat="false" ht="31.5" hidden="false" customHeight="true" outlineLevel="0" collapsed="false">
      <c r="A39" s="11" t="s">
        <v>609</v>
      </c>
      <c r="B39" s="10" t="s">
        <v>610</v>
      </c>
      <c r="C39" s="10" t="s">
        <v>589</v>
      </c>
      <c r="D39" s="10" t="s">
        <v>375</v>
      </c>
    </row>
    <row r="40" customFormat="false" ht="31.5" hidden="false" customHeight="true" outlineLevel="0" collapsed="false">
      <c r="A40" s="16" t="s">
        <v>611</v>
      </c>
      <c r="B40" s="15" t="s">
        <v>612</v>
      </c>
      <c r="C40" s="15" t="s">
        <v>589</v>
      </c>
      <c r="D40" s="15" t="s">
        <v>375</v>
      </c>
    </row>
    <row r="41" customFormat="false" ht="31.5" hidden="false" customHeight="true" outlineLevel="0" collapsed="false">
      <c r="A41" s="11" t="s">
        <v>613</v>
      </c>
      <c r="B41" s="10" t="s">
        <v>614</v>
      </c>
      <c r="C41" s="10" t="s">
        <v>523</v>
      </c>
      <c r="D41" s="10" t="s">
        <v>375</v>
      </c>
    </row>
    <row r="42" customFormat="false" ht="31.5" hidden="false" customHeight="true" outlineLevel="0" collapsed="false">
      <c r="A42" s="16" t="s">
        <v>615</v>
      </c>
      <c r="B42" s="15" t="s">
        <v>616</v>
      </c>
      <c r="C42" s="15" t="s">
        <v>589</v>
      </c>
      <c r="D42" s="15" t="s">
        <v>617</v>
      </c>
    </row>
    <row r="43" customFormat="false" ht="31.5" hidden="false" customHeight="true" outlineLevel="0" collapsed="false">
      <c r="A43" s="11" t="s">
        <v>618</v>
      </c>
      <c r="B43" s="10" t="s">
        <v>619</v>
      </c>
      <c r="C43" s="10" t="s">
        <v>523</v>
      </c>
      <c r="D43" s="10" t="s">
        <v>617</v>
      </c>
    </row>
    <row r="44" customFormat="false" ht="31.5" hidden="false" customHeight="true" outlineLevel="0" collapsed="false">
      <c r="A44" s="16" t="s">
        <v>471</v>
      </c>
      <c r="B44" s="15" t="s">
        <v>620</v>
      </c>
      <c r="C44" s="15" t="s">
        <v>621</v>
      </c>
      <c r="D44" s="15" t="s">
        <v>622</v>
      </c>
    </row>
    <row r="45" customFormat="false" ht="31.5" hidden="false" customHeight="true" outlineLevel="0" collapsed="false">
      <c r="A45" s="11" t="s">
        <v>623</v>
      </c>
      <c r="B45" s="10" t="s">
        <v>624</v>
      </c>
      <c r="C45" s="10" t="s">
        <v>625</v>
      </c>
      <c r="D45" s="10" t="s">
        <v>277</v>
      </c>
    </row>
    <row r="46" customFormat="false" ht="31.5" hidden="false" customHeight="true" outlineLevel="0" collapsed="false">
      <c r="A46" s="16" t="s">
        <v>626</v>
      </c>
      <c r="B46" s="15" t="s">
        <v>627</v>
      </c>
      <c r="C46" s="15" t="s">
        <v>628</v>
      </c>
      <c r="D46" s="15" t="s">
        <v>389</v>
      </c>
    </row>
    <row r="47" customFormat="false" ht="31.5" hidden="false" customHeight="true" outlineLevel="0" collapsed="false">
      <c r="A47" s="11" t="s">
        <v>629</v>
      </c>
      <c r="B47" s="10" t="s">
        <v>630</v>
      </c>
      <c r="C47" s="10" t="s">
        <v>520</v>
      </c>
      <c r="D47" s="10" t="s">
        <v>74</v>
      </c>
    </row>
    <row r="48" customFormat="false" ht="31.5" hidden="false" customHeight="true" outlineLevel="0" collapsed="false">
      <c r="A48" s="16" t="s">
        <v>631</v>
      </c>
      <c r="B48" s="15" t="s">
        <v>632</v>
      </c>
      <c r="C48" s="15" t="s">
        <v>523</v>
      </c>
      <c r="D48" s="15" t="s">
        <v>633</v>
      </c>
    </row>
    <row r="49" customFormat="false" ht="31.5" hidden="false" customHeight="true" outlineLevel="0" collapsed="false">
      <c r="A49" s="11" t="s">
        <v>634</v>
      </c>
      <c r="B49" s="10" t="s">
        <v>635</v>
      </c>
      <c r="C49" s="10" t="s">
        <v>523</v>
      </c>
      <c r="D49" s="10" t="s">
        <v>530</v>
      </c>
    </row>
    <row r="50" customFormat="false" ht="31.5" hidden="false" customHeight="true" outlineLevel="0" collapsed="false">
      <c r="A50" s="16" t="s">
        <v>636</v>
      </c>
      <c r="B50" s="15" t="s">
        <v>637</v>
      </c>
      <c r="C50" s="15" t="s">
        <v>523</v>
      </c>
      <c r="D50" s="15" t="s">
        <v>524</v>
      </c>
    </row>
    <row r="51" customFormat="false" ht="31.5" hidden="false" customHeight="true" outlineLevel="0" collapsed="false">
      <c r="A51" s="11" t="s">
        <v>638</v>
      </c>
      <c r="B51" s="10" t="s">
        <v>639</v>
      </c>
      <c r="C51" s="10" t="s">
        <v>523</v>
      </c>
      <c r="D51" s="10" t="s">
        <v>640</v>
      </c>
    </row>
    <row r="52" customFormat="false" ht="31.5" hidden="false" customHeight="true" outlineLevel="0" collapsed="false">
      <c r="A52" s="16" t="s">
        <v>641</v>
      </c>
      <c r="B52" s="15" t="s">
        <v>642</v>
      </c>
      <c r="C52" s="15" t="s">
        <v>535</v>
      </c>
      <c r="D52" s="15" t="s">
        <v>415</v>
      </c>
    </row>
    <row r="53" customFormat="false" ht="31.5" hidden="false" customHeight="true" outlineLevel="0" collapsed="false">
      <c r="A53" s="11" t="s">
        <v>643</v>
      </c>
      <c r="B53" s="10" t="s">
        <v>644</v>
      </c>
      <c r="C53" s="10" t="s">
        <v>535</v>
      </c>
      <c r="D53" s="10" t="s">
        <v>415</v>
      </c>
    </row>
    <row r="54" customFormat="false" ht="31.5" hidden="false" customHeight="true" outlineLevel="0" collapsed="false">
      <c r="A54" s="16" t="s">
        <v>645</v>
      </c>
      <c r="B54" s="15" t="s">
        <v>646</v>
      </c>
      <c r="C54" s="15" t="s">
        <v>535</v>
      </c>
      <c r="D54" s="15" t="s">
        <v>215</v>
      </c>
    </row>
    <row r="55" customFormat="false" ht="31.5" hidden="false" customHeight="true" outlineLevel="0" collapsed="false">
      <c r="A55" s="11" t="s">
        <v>647</v>
      </c>
      <c r="B55" s="10" t="s">
        <v>648</v>
      </c>
      <c r="C55" s="10" t="s">
        <v>649</v>
      </c>
      <c r="D55" s="10" t="s">
        <v>215</v>
      </c>
    </row>
  </sheetData>
  <autoFilter ref="A4:D55"/>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2026-08-21T00:40:09Z</dcterms:created>
  <dc:creator>openpyxl</dc:creator>
  <dc:description/>
  <dc:language>en-US</dc:language>
  <cp:lastModifiedBy/>
  <dcterms:modified xsi:type="dcterms:W3CDTF">2026-09-16T18:03:58Z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