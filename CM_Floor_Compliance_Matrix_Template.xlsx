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liance Matrix" sheetId="2" state="visible" r:id="rId4"/>
    <sheet name="Lists" sheetId="3" state="visible" r:id="rId5"/>
    <sheet name="Health Check Log" sheetId="4" state="visible" r:id="rId6"/>
    <sheet name="Gate Log" sheetId="5" state="visible" r:id="rId7"/>
    <sheet name="Dashboard" sheetId="6" state="visible" r:id="rId8"/>
  </sheets>
  <definedNames>
    <definedName function="false" hidden="true" localSheetId="1" name="_xlnm._FilterDatabase" vbProcedure="false">'Compliance Matrix'!$A$3:$Y$3</definedName>
    <definedName function="false" hidden="true" localSheetId="3" name="_xlnm._FilterDatabase" vbProcedure="false">'Health Check Log'!$A$1:$J$1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<sst xmlns="http://schemas.openxmlformats.org/spreadsheetml/2006/main" count="621" uniqueCount="307">
  <si>
    <t xml:space="preserve">Program CM Floor Compliance Matrix — Template</t>
  </si>
  <si>
    <t xml:space="preserve">The per-program instantiation of the CM Floor Register, per the CM Floor Operating Model and [XXX-CM-PROC-003] §5.1.1 and §6. One row per floor item; every row must carry a disposition — no silent omissions. Maintain under configuration control as structured data (this workbook or the equivalent PLM/CSA records); the CMP Appendix Q points here.</t>
  </si>
  <si>
    <t xml:space="preserve">Program header</t>
  </si>
  <si>
    <t xml:space="preserve">Complete the Program, CMP reference, and revision cells at the top of the 'Compliance Matrix' sheet.</t>
  </si>
  <si>
    <t xml:space="preserve">How to use</t>
  </si>
  <si>
    <t xml:space="preserve">•  Gray-shaded columns (A–K) are sourced from the enterprise CM Floor Register and role mapping — do not edit; update them only when the enterprise register revises.</t>
  </si>
  <si>
    <t xml:space="preserve">•  Yellow legend: program entries are made in columns L onward. Run the floor gate at CM planning/tailoring, at every CM-plan revision, and log each run on the 'Gate Log' sheet.</t>
  </si>
  <si>
    <t xml:space="preserve">•  Disposition doors: Performed (cite the CMP §7 statement and evidence), Equivalent control (describe it; record independent CM/Safety Assurance validation), or Risk-accepted (severity is pre-anchored — looked up, not re-rated; record the SM-0001 authority and acceptance reference). There is no fourth door.</t>
  </si>
  <si>
    <t xml:space="preserve">•  Health checks: for Performed and Equivalent items, define the check method and frequency; execute checks and log each execution on the 'Health Check Log' sheet; keep Last Performed / Next Due current on the matrix row. A degraded barrier is a finding, not a pass.</t>
  </si>
  <si>
    <t xml:space="preserve">•  Enter Last Performed, Next Due, and all log dates as actual date values (not text) — the Dashboard overdue formula compares dates and will silently miss text entries.</t>
  </si>
  <si>
    <t xml:space="preserve">•  Conditional items (e.g., F38 ICWG): if the condition does not exist, disposition = Performed with evidence 'Condition absent — [basis]'; re-evaluate when the condition arises.</t>
  </si>
  <si>
    <t xml:space="preserve">•  The Dashboard sheet computes health-check currency (the enterprise CM metric) and disposition counts by formula — do not overwrite formula cells.</t>
  </si>
  <si>
    <t xml:space="preserve">Sign-offs</t>
  </si>
  <si>
    <t xml:space="preserve">•  Program CM signs every row. Independent CM/Safety Assurance signs Equivalent-control validations and severity confirmations. The SM-0001 risk-acceptance authority signs Risk-accepted rows (VP severe, CEO catastrophic).</t>
  </si>
  <si>
    <t xml:space="preserve">Program:</t>
  </si>
  <si>
    <t xml:space="preserve">[Program]</t>
  </si>
  <si>
    <t xml:space="preserve">CMP Ref:</t>
  </si>
  <si>
    <t xml:space="preserve">[XXX-CMP-###, §7/App Q]</t>
  </si>
  <si>
    <t xml:space="preserve">Matrix Rev / Date:</t>
  </si>
  <si>
    <t xml:space="preserve">[Rev] / [Date]</t>
  </si>
  <si>
    <t xml:space="preserve">Floor ID</t>
  </si>
  <si>
    <t xml:space="preserve">Cluster</t>
  </si>
  <si>
    <t xml:space="preserve">EIA-649-1A Clause</t>
  </si>
  <si>
    <t xml:space="preserve">Requirement (paraphrased)</t>
  </si>
  <si>
    <t xml:space="preserve">Barrier(s)</t>
  </si>
  <si>
    <t xml:space="preserve">SM-0001 Hazard</t>
  </si>
  <si>
    <t xml:space="preserve">Inclusion</t>
  </si>
  <si>
    <t xml:space="preserve">Owner Tier</t>
  </si>
  <si>
    <t xml:space="preserve">Owner Code</t>
  </si>
  <si>
    <t xml:space="preserve">Min Credential</t>
  </si>
  <si>
    <t xml:space="preserve">Support Code(s)</t>
  </si>
  <si>
    <t xml:space="preserve">Disposition</t>
  </si>
  <si>
    <t xml:space="preserve">CMP §7 / Evidence Ref</t>
  </si>
  <si>
    <t xml:space="preserve">Equivalent Control Description</t>
  </si>
  <si>
    <t xml:space="preserve">Independent Validation (name/date)</t>
  </si>
  <si>
    <t xml:space="preserve">Pre-Anchored Severity</t>
  </si>
  <si>
    <t xml:space="preserve">Risk-Acceptance Authority</t>
  </si>
  <si>
    <t xml:space="preserve">Risk-Acceptance Ref</t>
  </si>
  <si>
    <t xml:space="preserve">Health Check Method</t>
  </si>
  <si>
    <t xml:space="preserve">Check Frequency</t>
  </si>
  <si>
    <t xml:space="preserve">Last Performed</t>
  </si>
  <si>
    <t xml:space="preserve">Next Due</t>
  </si>
  <si>
    <t xml:space="preserve">Latest Result</t>
  </si>
  <si>
    <t xml:space="preserve">Program CM Sign-off (name/date)</t>
  </si>
  <si>
    <t xml:space="preserve">Notes</t>
  </si>
  <si>
    <t xml:space="preserve">F01</t>
  </si>
  <si>
    <t xml:space="preserve">1. Hazard ID &amp; Critical-Item Recognition</t>
  </si>
  <si>
    <t xml:space="preserve">3.2.1(2)(b)</t>
  </si>
  <si>
    <t xml:space="preserve">Identify as a CI any item whose failure could cause serious injury, loss of life, or loss of primary system capability</t>
  </si>
  <si>
    <t xml:space="preserve">B1</t>
  </si>
  <si>
    <t xml:space="preserve">§6.2.1 Hazard identification</t>
  </si>
  <si>
    <t xml:space="preserve">Clean</t>
  </si>
  <si>
    <t xml:space="preserve">Tier 3</t>
  </si>
  <si>
    <t xml:space="preserve">2E</t>
  </si>
  <si>
    <t xml:space="preserve">B.S.E.</t>
  </si>
  <si>
    <t xml:space="preserve">2I</t>
  </si>
  <si>
    <t xml:space="preserve">F02</t>
  </si>
  <si>
    <t xml:space="preserve">3.3.1.2(1)</t>
  </si>
  <si>
    <t xml:space="preserve">Classify every engineering change as Major (Class I) or Minor (Class II)</t>
  </si>
  <si>
    <t xml:space="preserve">B2</t>
  </si>
  <si>
    <t xml:space="preserve">§6.2.2 Risk-acceptance authority</t>
  </si>
  <si>
    <t xml:space="preserve">F03</t>
  </si>
  <si>
    <t xml:space="preserve">3.3.1.2(2)(e)(6)(a)</t>
  </si>
  <si>
    <t xml:space="preserve">Treat changes affecting safety as Major (Class I)</t>
  </si>
  <si>
    <t xml:space="preserve">F04</t>
  </si>
  <si>
    <t xml:space="preserve">3.3(3)</t>
  </si>
  <si>
    <t xml:space="preserve">Support a joint Acquirer/Supplier Configuration Control Board</t>
  </si>
  <si>
    <t xml:space="preserve">Judgment</t>
  </si>
  <si>
    <t xml:space="preserve">2A</t>
  </si>
  <si>
    <t xml:space="preserve">F05</t>
  </si>
  <si>
    <t xml:space="preserve">3.3.1.8.1(1)</t>
  </si>
  <si>
    <t xml:space="preserve">Obtain Acquirer concurrence on Minor (Class II) classification</t>
  </si>
  <si>
    <t xml:space="preserve">F06</t>
  </si>
  <si>
    <t xml:space="preserve">2. Change Discipline &amp; Impact Assessment</t>
  </si>
  <si>
    <t xml:space="preserve">3.3(1)</t>
  </si>
  <si>
    <t xml:space="preserve">Apply configuration control to each CI, its components, and its documentation</t>
  </si>
  <si>
    <t xml:space="preserve">B3</t>
  </si>
  <si>
    <t xml:space="preserve">§6.2.1 Work not per approved data</t>
  </si>
  <si>
    <t xml:space="preserve">F07</t>
  </si>
  <si>
    <t xml:space="preserve">3.3(2)(c)</t>
  </si>
  <si>
    <t xml:space="preserve">Document, evaluate, disposition, record in CSA, and report changes and variances</t>
  </si>
  <si>
    <t xml:space="preserve">2I; 2D</t>
  </si>
  <si>
    <t xml:space="preserve">F08</t>
  </si>
  <si>
    <t xml:space="preserve">3.3(2)(e)</t>
  </si>
  <si>
    <t xml:space="preserve">Incorporate approved changes into all product configuration information and implement them</t>
  </si>
  <si>
    <t xml:space="preserve">Tier 2</t>
  </si>
  <si>
    <t xml:space="preserve">B.S.E.T.</t>
  </si>
  <si>
    <t xml:space="preserve">F09</t>
  </si>
  <si>
    <t xml:space="preserve">3.3(2)(f)</t>
  </si>
  <si>
    <t xml:space="preserve">Verify approved changes were incorporated</t>
  </si>
  <si>
    <t xml:space="preserve">F10</t>
  </si>
  <si>
    <t xml:space="preserve">3.3.1(1)</t>
  </si>
  <si>
    <t xml:space="preserve">Use an ECP to document baseline changes and submit to the change approval authority</t>
  </si>
  <si>
    <t xml:space="preserve">B2, B3</t>
  </si>
  <si>
    <t xml:space="preserve">F11</t>
  </si>
  <si>
    <t xml:space="preserve">3.3.1.1(1)(a)</t>
  </si>
  <si>
    <t xml:space="preserve">Define the need for each change</t>
  </si>
  <si>
    <t xml:space="preserve">F12</t>
  </si>
  <si>
    <t xml:space="preserve">3.3.1.1(1)(e)</t>
  </si>
  <si>
    <t xml:space="preserve">Incorporate the approved ECP into the configuration documentation</t>
  </si>
  <si>
    <t xml:space="preserve">F13</t>
  </si>
  <si>
    <t xml:space="preserve">3.3.1.1(1)(f)</t>
  </si>
  <si>
    <t xml:space="preserve">Implement and update documentation via a documented engineering release system</t>
  </si>
  <si>
    <t xml:space="preserve">F14</t>
  </si>
  <si>
    <t xml:space="preserve">3.3.1.1(1)(g)</t>
  </si>
  <si>
    <t xml:space="preserve">Record all changes in the CSA system</t>
  </si>
  <si>
    <t xml:space="preserve">Tier 1</t>
  </si>
  <si>
    <t xml:space="preserve">2D</t>
  </si>
  <si>
    <t xml:space="preserve">A.A.S.</t>
  </si>
  <si>
    <t xml:space="preserve">F15</t>
  </si>
  <si>
    <t xml:space="preserve">3.3.1.1(1)(h)</t>
  </si>
  <si>
    <t xml:space="preserve">Verify the approved change was implemented correctly</t>
  </si>
  <si>
    <t xml:space="preserve">F16</t>
  </si>
  <si>
    <t xml:space="preserve">3.3.1.4(1)</t>
  </si>
  <si>
    <t xml:space="preserve">Support each ECP with data to evaluate the change and its full impacts</t>
  </si>
  <si>
    <t xml:space="preserve">B4</t>
  </si>
  <si>
    <t xml:space="preserve">§6.2.3 Management of change</t>
  </si>
  <si>
    <t xml:space="preserve">F17</t>
  </si>
  <si>
    <t xml:space="preserve">3.3.1.4(3)</t>
  </si>
  <si>
    <t xml:space="preserve">Include a summary of testing validating new concepts or technology</t>
  </si>
  <si>
    <t xml:space="preserve">F18</t>
  </si>
  <si>
    <t xml:space="preserve">3.3.2(1)</t>
  </si>
  <si>
    <t xml:space="preserve">Obtain Acquirer approval for any non-conforming item via a Request for Variance</t>
  </si>
  <si>
    <t xml:space="preserve">B5</t>
  </si>
  <si>
    <t xml:space="preserve">§6.3.3 Continuous improvement</t>
  </si>
  <si>
    <t xml:space="preserve">2I; 2A</t>
  </si>
  <si>
    <t xml:space="preserve">F19</t>
  </si>
  <si>
    <t xml:space="preserve">3.3.2(2)</t>
  </si>
  <si>
    <t xml:space="preserve">Submit an ECP when a variance is determined permanently acceptable (recurring-to-permanent)</t>
  </si>
  <si>
    <t xml:space="preserve">Clean (core)</t>
  </si>
  <si>
    <t xml:space="preserve">F20</t>
  </si>
  <si>
    <t xml:space="preserve">3.3.1.1(1)(c)</t>
  </si>
  <si>
    <t xml:space="preserve">Prepare an ECP, NOR, and supporting technical data for the change</t>
  </si>
  <si>
    <t xml:space="preserve">B6</t>
  </si>
  <si>
    <t xml:space="preserve">§6.2.1 Inaccurate/incomplete data</t>
  </si>
  <si>
    <t xml:space="preserve">F21</t>
  </si>
  <si>
    <t xml:space="preserve">3.3.4(1)</t>
  </si>
  <si>
    <t xml:space="preserve">Submit a NOR for each document affected by an ECP</t>
  </si>
  <si>
    <t xml:space="preserve">F22</t>
  </si>
  <si>
    <t xml:space="preserve">3.3.4(2)</t>
  </si>
  <si>
    <t xml:space="preserve">Provide all information needed to disposition each NOR</t>
  </si>
  <si>
    <t xml:space="preserve">F23</t>
  </si>
  <si>
    <t xml:space="preserve">3.2.3.3(1)</t>
  </si>
  <si>
    <t xml:space="preserve">Create a new revision of approved documentation after change approval, with before/after traceability</t>
  </si>
  <si>
    <t xml:space="preserve">B7</t>
  </si>
  <si>
    <t xml:space="preserve">F24</t>
  </si>
  <si>
    <t xml:space="preserve">3. As-Designed to As-Built Reconciliation</t>
  </si>
  <si>
    <t xml:space="preserve">3.4(1)</t>
  </si>
  <si>
    <t xml:space="preserve">Maintain CSA legitimacy by storing valid data</t>
  </si>
  <si>
    <t xml:space="preserve">B8</t>
  </si>
  <si>
    <t xml:space="preserve">§6.2.1 Inaccurate manufacturing/maintenance data</t>
  </si>
  <si>
    <t xml:space="preserve">F25</t>
  </si>
  <si>
    <t xml:space="preserve">3.4.1(2)</t>
  </si>
  <si>
    <t xml:space="preserve">Capture, store, and maintain product configuration information</t>
  </si>
  <si>
    <t xml:space="preserve">F26</t>
  </si>
  <si>
    <t xml:space="preserve">3.4.1(3)(a)</t>
  </si>
  <si>
    <t xml:space="preserve">Capture and maintain currently approved configuration information by each CI's identification number</t>
  </si>
  <si>
    <t xml:space="preserve">B8, B11</t>
  </si>
  <si>
    <t xml:space="preserve">§6.2.1 / §6.3.2</t>
  </si>
  <si>
    <t xml:space="preserve">F27</t>
  </si>
  <si>
    <t xml:space="preserve">3.4.1(3)(c)</t>
  </si>
  <si>
    <t xml:space="preserve">Store and manage all product configuration information</t>
  </si>
  <si>
    <t xml:space="preserve">F28</t>
  </si>
  <si>
    <t xml:space="preserve">3.4.1(4)(c)</t>
  </si>
  <si>
    <t xml:space="preserve">Secure, safeguard, and retrieve recorded configuration information</t>
  </si>
  <si>
    <t xml:space="preserve">F29</t>
  </si>
  <si>
    <t xml:space="preserve">3.5.3(1)</t>
  </si>
  <si>
    <t xml:space="preserve">Conduct the PCA to verify product configuration documentation is consistent with the validated CI</t>
  </si>
  <si>
    <t xml:space="preserve">B9</t>
  </si>
  <si>
    <t xml:space="preserve">§6.2.1 Non-conformance / FOD</t>
  </si>
  <si>
    <t xml:space="preserve">F30</t>
  </si>
  <si>
    <t xml:space="preserve">3.5.3(2)</t>
  </si>
  <si>
    <t xml:space="preserve">Confirm the CI against the PPSL and verify proper parts are installed</t>
  </si>
  <si>
    <t xml:space="preserve">F31</t>
  </si>
  <si>
    <t xml:space="preserve">3.5.3(4)</t>
  </si>
  <si>
    <t xml:space="preserve">Document each PCA non-compliance and provide it to the Acquirer</t>
  </si>
  <si>
    <t xml:space="preserve">F32</t>
  </si>
  <si>
    <t xml:space="preserve">3.4.1(3)(b)</t>
  </si>
  <si>
    <t xml:space="preserve">Capture and maintain all historical configuration information with traceability from contract award to present</t>
  </si>
  <si>
    <t xml:space="preserve">B10</t>
  </si>
  <si>
    <t xml:space="preserve">§6.3.1 Continued airworthiness data</t>
  </si>
  <si>
    <t xml:space="preserve">F33</t>
  </si>
  <si>
    <t xml:space="preserve">3.4.1(6)</t>
  </si>
  <si>
    <t xml:space="preserve">Document the incorporation of all retrofit changes to units identified for retrofit</t>
  </si>
  <si>
    <t xml:space="preserve">B11</t>
  </si>
  <si>
    <t xml:space="preserve">§6.3.2 MoC effectiveness</t>
  </si>
  <si>
    <t xml:space="preserve">F34</t>
  </si>
  <si>
    <t xml:space="preserve">3.5.3.1(1)(b)</t>
  </si>
  <si>
    <t xml:space="preserve">Identify differences between the production CI and the development CI used for FCA</t>
  </si>
  <si>
    <t xml:space="preserve">B12</t>
  </si>
  <si>
    <t xml:space="preserve">§6.2.1 Quality escapes</t>
  </si>
  <si>
    <t xml:space="preserve">F35</t>
  </si>
  <si>
    <t xml:space="preserve">4. Supply Chain, Interfaces &amp; Verification</t>
  </si>
  <si>
    <t xml:space="preserve">3.2.5.1(1)</t>
  </si>
  <si>
    <t xml:space="preserve">Identify internal and external interface requirements</t>
  </si>
  <si>
    <t xml:space="preserve">B13</t>
  </si>
  <si>
    <t xml:space="preserve">§7.3.2 Interface management</t>
  </si>
  <si>
    <t xml:space="preserve">F36</t>
  </si>
  <si>
    <t xml:space="preserve">3.2.5.1(2)</t>
  </si>
  <si>
    <t xml:space="preserve">Incorporate interface information into the FCD/ACD/PCD</t>
  </si>
  <si>
    <t xml:space="preserve">F37</t>
  </si>
  <si>
    <t xml:space="preserve">3.2.5.1(3)</t>
  </si>
  <si>
    <t xml:space="preserve">Maintain configuration control of baselined interface requirements</t>
  </si>
  <si>
    <t xml:space="preserve">F38</t>
  </si>
  <si>
    <t xml:space="preserve">3.2.5.2(1)</t>
  </si>
  <si>
    <t xml:space="preserve">Provide a representative to the Acquirer's ICWG where one exists</t>
  </si>
  <si>
    <t xml:space="preserve">Conditional</t>
  </si>
  <si>
    <t xml:space="preserve">F39</t>
  </si>
  <si>
    <t xml:space="preserve">3.4.1(3)(j)</t>
  </si>
  <si>
    <t xml:space="preserve">Record and report sub-tier supplier data with traceability to the next higher assembly</t>
  </si>
  <si>
    <t xml:space="preserve">B14</t>
  </si>
  <si>
    <t xml:space="preserve">§6.2.1 Subcontractor disclosures</t>
  </si>
  <si>
    <t xml:space="preserve">F40</t>
  </si>
  <si>
    <t xml:space="preserve">3.(2)</t>
  </si>
  <si>
    <t xml:space="preserve">Require sub-suppliers to comply with or suitably tailor the same CM requirements imposed on the Supplier</t>
  </si>
  <si>
    <t xml:space="preserve">B15</t>
  </si>
  <si>
    <t xml:space="preserve">§6.2.1 + §7 Supply-chain</t>
  </si>
  <si>
    <t xml:space="preserve">F41</t>
  </si>
  <si>
    <t xml:space="preserve">3.(4)</t>
  </si>
  <si>
    <t xml:space="preserve">Support Acquirer audits of Supplier and sub-supplier CM</t>
  </si>
  <si>
    <t xml:space="preserve">§7 Interfaces</t>
  </si>
  <si>
    <t xml:space="preserve">Tier 4</t>
  </si>
  <si>
    <t xml:space="preserve">Advanced / SME</t>
  </si>
  <si>
    <t xml:space="preserve">F42</t>
  </si>
  <si>
    <t xml:space="preserve">3.5.2(2)</t>
  </si>
  <si>
    <t xml:space="preserve">Conduct the FCA to verify the CI meets performance requirements per approved FCD/ACD</t>
  </si>
  <si>
    <t xml:space="preserve">B16</t>
  </si>
  <si>
    <t xml:space="preserve">§6.3.1 Validate risk controls</t>
  </si>
  <si>
    <t xml:space="preserve">F43</t>
  </si>
  <si>
    <t xml:space="preserve">3.5.2(3)</t>
  </si>
  <si>
    <t xml:space="preserve">Document each FCA non-compliance and provide it to the Acquirer</t>
  </si>
  <si>
    <t xml:space="preserve">F44</t>
  </si>
  <si>
    <t xml:space="preserve">3.5.2.1(1)(c)</t>
  </si>
  <si>
    <t xml:space="preserve">Provide a requirements-to-test traceability matrix (each requirement maps to a test step)</t>
  </si>
  <si>
    <t xml:space="preserve">Severity</t>
  </si>
  <si>
    <t xml:space="preserve">Authority</t>
  </si>
  <si>
    <t xml:space="preserve">Frequency</t>
  </si>
  <si>
    <t xml:space="preserve">Result</t>
  </si>
  <si>
    <t xml:space="preserve">Gate Trigger</t>
  </si>
  <si>
    <t xml:space="preserve">Performed</t>
  </si>
  <si>
    <t xml:space="preserve">Catastrophic</t>
  </si>
  <si>
    <t xml:space="preserve">CEO (catastrophic)</t>
  </si>
  <si>
    <t xml:space="preserve">Monthly</t>
  </si>
  <si>
    <t xml:space="preserve">Effective</t>
  </si>
  <si>
    <t xml:space="preserve">Initial CM planning/tailoring</t>
  </si>
  <si>
    <t xml:space="preserve">Equivalent control</t>
  </si>
  <si>
    <t xml:space="preserve">Severe</t>
  </si>
  <si>
    <t xml:space="preserve">VP (severe)</t>
  </si>
  <si>
    <t xml:space="preserve">Quarterly</t>
  </si>
  <si>
    <t xml:space="preserve">Degraded (finding)</t>
  </si>
  <si>
    <t xml:space="preserve">CM-plan revision</t>
  </si>
  <si>
    <t xml:space="preserve">Risk-accepted</t>
  </si>
  <si>
    <t xml:space="preserve">Major</t>
  </si>
  <si>
    <t xml:space="preserve">N/A</t>
  </si>
  <si>
    <t xml:space="preserve">Semi-annual</t>
  </si>
  <si>
    <t xml:space="preserve">Not performed</t>
  </si>
  <si>
    <t xml:space="preserve">Contract change</t>
  </si>
  <si>
    <t xml:space="preserve">Open</t>
  </si>
  <si>
    <t xml:space="preserve">Minor</t>
  </si>
  <si>
    <t xml:space="preserve">Annual</t>
  </si>
  <si>
    <t xml:space="preserve">Register revision</t>
  </si>
  <si>
    <t xml:space="preserve">Per CM-plan revision</t>
  </si>
  <si>
    <t xml:space="preserve">Baseline sweep</t>
  </si>
  <si>
    <t xml:space="preserve">Event-driven</t>
  </si>
  <si>
    <t xml:space="preserve">Other</t>
  </si>
  <si>
    <t xml:space="preserve">Check ID</t>
  </si>
  <si>
    <t xml:space="preserve">Check Date</t>
  </si>
  <si>
    <t xml:space="preserve">Due Date</t>
  </si>
  <si>
    <t xml:space="preserve">Performed By</t>
  </si>
  <si>
    <t xml:space="preserve">Method Used</t>
  </si>
  <si>
    <t xml:space="preserve">Finding / RFA Ref (if degraded)</t>
  </si>
  <si>
    <t xml:space="preserve">Corrective Action Status</t>
  </si>
  <si>
    <t xml:space="preserve">HC-0001</t>
  </si>
  <si>
    <t xml:space="preserve">2026-06-30</t>
  </si>
  <si>
    <t xml:space="preserve">[name]</t>
  </si>
  <si>
    <t xml:space="preserve">CSA entry sample vs. release log</t>
  </si>
  <si>
    <t xml:space="preserve">Example row — replace</t>
  </si>
  <si>
    <t xml:space="preserve">HC-0002</t>
  </si>
  <si>
    <t xml:space="preserve">PPSL-vs-installed sample, unit 12</t>
  </si>
  <si>
    <t xml:space="preserve">RFA-0031</t>
  </si>
  <si>
    <t xml:space="preserve">Gate Run ID</t>
  </si>
  <si>
    <t xml:space="preserve">Date</t>
  </si>
  <si>
    <t xml:space="preserve">Trigger</t>
  </si>
  <si>
    <t xml:space="preserve">Run By (Program CM)</t>
  </si>
  <si>
    <t xml:space="preserve">Items Dispositioned / Changed (Floor IDs)</t>
  </si>
  <si>
    <t xml:space="preserve">Summary of Changes</t>
  </si>
  <si>
    <t xml:space="preserve">Independent CM/Safety Assurance (name/date)</t>
  </si>
  <si>
    <t xml:space="preserve">Risk Acceptances This Run (refs)</t>
  </si>
  <si>
    <t xml:space="preserve">GR-0001</t>
  </si>
  <si>
    <t xml:space="preserve">[date]</t>
  </si>
  <si>
    <t xml:space="preserve">F01–F44</t>
  </si>
  <si>
    <t xml:space="preserve">Initial dispositions recorded; [n] Performed, [n] Equivalent, [n] Risk-accepted</t>
  </si>
  <si>
    <t xml:space="preserve">[name/date]</t>
  </si>
  <si>
    <t xml:space="preserve">[refs or None]</t>
  </si>
  <si>
    <t xml:space="preserve">CM Floor Compliance Dashboard</t>
  </si>
  <si>
    <t xml:space="preserve">Formula-driven from 'Compliance Matrix' — do not overwrite column B. Reporting date drives currency.</t>
  </si>
  <si>
    <t xml:space="preserve">Reporting date:</t>
  </si>
  <si>
    <t xml:space="preserve">Total floor items</t>
  </si>
  <si>
    <t xml:space="preserve">Dispositioned — Performed</t>
  </si>
  <si>
    <t xml:space="preserve">Dispositioned — Equivalent control</t>
  </si>
  <si>
    <t xml:space="preserve">Dispositioned — Risk-accepted</t>
  </si>
  <si>
    <t xml:space="preserve">Open (undispositioned — must be zero)</t>
  </si>
  <si>
    <t xml:space="preserve">Items requiring health checks (Performed + Equivalent)</t>
  </si>
  <si>
    <t xml:space="preserve">Health checks overdue (Next Due &lt; reporting date)</t>
  </si>
  <si>
    <t xml:space="preserve">Health-check currency % (metric: due checks completed on time)</t>
  </si>
  <si>
    <t xml:space="preserve">Latest result — Degraded (finding)</t>
  </si>
  <si>
    <t xml:space="preserve">Note: currency counts overdue items at the reporting date. The per-period enterprise metric (checks due in period completed on time) is computed from the Health Check Log by filtering Check Date vs. Due Date over the reporting period.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</si>
</sst>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F0F7"/>
      </patternFill>
    </fill>
    <fill>
      <patternFill patternType="solid">
        <fgColor rgb="FF1F3864"/>
        <bgColor rgb="FF333399"/>
      </patternFill>
    </fill>
    <fill>
      <patternFill patternType="solid">
        <fgColor rgb="FFED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35.0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35.0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23.8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3" t="s">
        <v>12</v>
      </c>
    </row>
    <row r="16" customFormat="false" ht="23.8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26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8" min="17" style="0" width="14"/>
    <col collapsed="false" customWidth="true" hidden="false" outlineLevel="0" max="19" min="19" style="0" width="22"/>
    <col collapsed="false" customWidth="true" hidden="false" outlineLevel="0" max="20" min="20" style="0" width="11"/>
    <col collapsed="false" customWidth="true" hidden="false" outlineLevel="0" max="22" min="21" style="0" width="12"/>
    <col collapsed="false" customWidth="true" hidden="false" outlineLevel="0" max="23" min="23" style="0" width="11"/>
    <col collapsed="false" customWidth="true" hidden="false" outlineLevel="0" max="24" min="24" style="0" width="18"/>
    <col collapsed="false" customWidth="true" hidden="false" outlineLevel="0" max="25" min="25" style="0" width="24"/>
  </cols>
  <sheetData>
    <row r="1" customFormat="false" ht="15" hidden="false" customHeight="false" outlineLevel="0" collapsed="false">
      <c r="A1" s="4" t="s">
        <v>14</v>
      </c>
      <c r="B1" s="5" t="s">
        <v>15</v>
      </c>
      <c r="D1" s="4" t="s">
        <v>16</v>
      </c>
      <c r="E1" s="5" t="s">
        <v>17</v>
      </c>
      <c r="G1" s="4" t="s">
        <v>18</v>
      </c>
      <c r="H1" s="5" t="s">
        <v>19</v>
      </c>
    </row>
    <row r="3" customFormat="false" ht="35.0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6" t="s">
        <v>43</v>
      </c>
      <c r="Y3" s="6" t="s">
        <v>44</v>
      </c>
    </row>
    <row r="4" customFormat="false" ht="35.05" hidden="false" customHeight="false" outlineLevel="0" collapsed="false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customFormat="false" ht="23.85" hidden="false" customHeight="false" outlineLevel="0" collapsed="false">
      <c r="A5" s="7" t="s">
        <v>56</v>
      </c>
      <c r="B5" s="7" t="s">
        <v>46</v>
      </c>
      <c r="C5" s="7" t="s">
        <v>57</v>
      </c>
      <c r="D5" s="7" t="s">
        <v>58</v>
      </c>
      <c r="E5" s="7" t="s">
        <v>59</v>
      </c>
      <c r="F5" s="7" t="s">
        <v>60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customFormat="false" ht="23.85" hidden="false" customHeight="false" outlineLevel="0" collapsed="false">
      <c r="A6" s="7" t="s">
        <v>61</v>
      </c>
      <c r="B6" s="7" t="s">
        <v>46</v>
      </c>
      <c r="C6" s="7" t="s">
        <v>62</v>
      </c>
      <c r="D6" s="7" t="s">
        <v>63</v>
      </c>
      <c r="E6" s="7" t="s">
        <v>59</v>
      </c>
      <c r="F6" s="7" t="s">
        <v>60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customFormat="false" ht="23.85" hidden="false" customHeight="false" outlineLevel="0" collapsed="false">
      <c r="A7" s="7" t="s">
        <v>64</v>
      </c>
      <c r="B7" s="7" t="s">
        <v>46</v>
      </c>
      <c r="C7" s="7" t="s">
        <v>65</v>
      </c>
      <c r="D7" s="7" t="s">
        <v>66</v>
      </c>
      <c r="E7" s="7" t="s">
        <v>59</v>
      </c>
      <c r="F7" s="7" t="s">
        <v>60</v>
      </c>
      <c r="G7" s="7" t="s">
        <v>67</v>
      </c>
      <c r="H7" s="7" t="s">
        <v>52</v>
      </c>
      <c r="I7" s="7" t="s">
        <v>53</v>
      </c>
      <c r="J7" s="7" t="s">
        <v>54</v>
      </c>
      <c r="K7" s="7" t="s">
        <v>68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customFormat="false" ht="23.85" hidden="false" customHeight="false" outlineLevel="0" collapsed="false">
      <c r="A8" s="7" t="s">
        <v>69</v>
      </c>
      <c r="B8" s="7" t="s">
        <v>46</v>
      </c>
      <c r="C8" s="7" t="s">
        <v>70</v>
      </c>
      <c r="D8" s="7" t="s">
        <v>71</v>
      </c>
      <c r="E8" s="7" t="s">
        <v>59</v>
      </c>
      <c r="F8" s="7" t="s">
        <v>60</v>
      </c>
      <c r="G8" s="7" t="s">
        <v>67</v>
      </c>
      <c r="H8" s="7" t="s">
        <v>52</v>
      </c>
      <c r="I8" s="7" t="s">
        <v>53</v>
      </c>
      <c r="J8" s="7" t="s">
        <v>54</v>
      </c>
      <c r="K8" s="7" t="s">
        <v>68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customFormat="false" ht="23.85" hidden="false" customHeight="false" outlineLevel="0" collapsed="false">
      <c r="A9" s="7" t="s">
        <v>72</v>
      </c>
      <c r="B9" s="7" t="s">
        <v>73</v>
      </c>
      <c r="C9" s="7" t="s">
        <v>74</v>
      </c>
      <c r="D9" s="7" t="s">
        <v>75</v>
      </c>
      <c r="E9" s="7" t="s">
        <v>76</v>
      </c>
      <c r="F9" s="7" t="s">
        <v>77</v>
      </c>
      <c r="G9" s="7" t="s">
        <v>51</v>
      </c>
      <c r="H9" s="7" t="s">
        <v>52</v>
      </c>
      <c r="I9" s="7" t="s">
        <v>53</v>
      </c>
      <c r="J9" s="7" t="s">
        <v>54</v>
      </c>
      <c r="K9" s="7" t="s">
        <v>55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customFormat="false" ht="23.85" hidden="false" customHeight="false" outlineLevel="0" collapsed="false">
      <c r="A10" s="7" t="s">
        <v>78</v>
      </c>
      <c r="B10" s="7" t="s">
        <v>73</v>
      </c>
      <c r="C10" s="7" t="s">
        <v>79</v>
      </c>
      <c r="D10" s="7" t="s">
        <v>80</v>
      </c>
      <c r="E10" s="7" t="s">
        <v>76</v>
      </c>
      <c r="F10" s="7" t="s">
        <v>77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81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customFormat="false" ht="23.85" hidden="false" customHeight="false" outlineLevel="0" collapsed="false">
      <c r="A11" s="7" t="s">
        <v>82</v>
      </c>
      <c r="B11" s="7" t="s">
        <v>73</v>
      </c>
      <c r="C11" s="7" t="s">
        <v>83</v>
      </c>
      <c r="D11" s="7" t="s">
        <v>84</v>
      </c>
      <c r="E11" s="7" t="s">
        <v>76</v>
      </c>
      <c r="F11" s="7" t="s">
        <v>77</v>
      </c>
      <c r="G11" s="7" t="s">
        <v>51</v>
      </c>
      <c r="H11" s="7" t="s">
        <v>85</v>
      </c>
      <c r="I11" s="7" t="s">
        <v>55</v>
      </c>
      <c r="J11" s="7" t="s">
        <v>86</v>
      </c>
      <c r="K11" s="7" t="s">
        <v>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customFormat="false" ht="23.85" hidden="false" customHeight="false" outlineLevel="0" collapsed="false">
      <c r="A12" s="7" t="s">
        <v>87</v>
      </c>
      <c r="B12" s="7" t="s">
        <v>73</v>
      </c>
      <c r="C12" s="7" t="s">
        <v>88</v>
      </c>
      <c r="D12" s="7" t="s">
        <v>89</v>
      </c>
      <c r="E12" s="7" t="s">
        <v>76</v>
      </c>
      <c r="F12" s="7" t="s">
        <v>77</v>
      </c>
      <c r="G12" s="7" t="s">
        <v>51</v>
      </c>
      <c r="H12" s="7" t="s">
        <v>85</v>
      </c>
      <c r="I12" s="7" t="s">
        <v>55</v>
      </c>
      <c r="J12" s="7" t="s">
        <v>86</v>
      </c>
      <c r="K12" s="7" t="s">
        <v>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customFormat="false" ht="23.85" hidden="false" customHeight="false" outlineLevel="0" collapsed="false">
      <c r="A13" s="7" t="s">
        <v>90</v>
      </c>
      <c r="B13" s="7" t="s">
        <v>73</v>
      </c>
      <c r="C13" s="7" t="s">
        <v>91</v>
      </c>
      <c r="D13" s="7" t="s">
        <v>92</v>
      </c>
      <c r="E13" s="7" t="s">
        <v>93</v>
      </c>
      <c r="F13" s="7" t="s">
        <v>77</v>
      </c>
      <c r="G13" s="7" t="s">
        <v>51</v>
      </c>
      <c r="H13" s="7" t="s">
        <v>85</v>
      </c>
      <c r="I13" s="7" t="s">
        <v>55</v>
      </c>
      <c r="J13" s="7" t="s">
        <v>86</v>
      </c>
      <c r="K13" s="7" t="s">
        <v>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customFormat="false" ht="23.85" hidden="false" customHeight="false" outlineLevel="0" collapsed="false">
      <c r="A14" s="7" t="s">
        <v>94</v>
      </c>
      <c r="B14" s="7" t="s">
        <v>73</v>
      </c>
      <c r="C14" s="7" t="s">
        <v>95</v>
      </c>
      <c r="D14" s="7" t="s">
        <v>96</v>
      </c>
      <c r="E14" s="7" t="s">
        <v>76</v>
      </c>
      <c r="F14" s="7" t="s">
        <v>77</v>
      </c>
      <c r="G14" s="7" t="s">
        <v>67</v>
      </c>
      <c r="H14" s="7" t="s">
        <v>52</v>
      </c>
      <c r="I14" s="7" t="s">
        <v>53</v>
      </c>
      <c r="J14" s="7" t="s">
        <v>54</v>
      </c>
      <c r="K14" s="7" t="s">
        <v>55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customFormat="false" ht="23.85" hidden="false" customHeight="false" outlineLevel="0" collapsed="false">
      <c r="A15" s="7" t="s">
        <v>97</v>
      </c>
      <c r="B15" s="7" t="s">
        <v>73</v>
      </c>
      <c r="C15" s="7" t="s">
        <v>98</v>
      </c>
      <c r="D15" s="7" t="s">
        <v>99</v>
      </c>
      <c r="E15" s="7" t="s">
        <v>76</v>
      </c>
      <c r="F15" s="7" t="s">
        <v>77</v>
      </c>
      <c r="G15" s="7" t="s">
        <v>51</v>
      </c>
      <c r="H15" s="7" t="s">
        <v>85</v>
      </c>
      <c r="I15" s="7" t="s">
        <v>55</v>
      </c>
      <c r="J15" s="7" t="s">
        <v>86</v>
      </c>
      <c r="K15" s="7" t="s">
        <v>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customFormat="false" ht="23.85" hidden="false" customHeight="false" outlineLevel="0" collapsed="false">
      <c r="A16" s="7" t="s">
        <v>100</v>
      </c>
      <c r="B16" s="7" t="s">
        <v>73</v>
      </c>
      <c r="C16" s="7" t="s">
        <v>101</v>
      </c>
      <c r="D16" s="7" t="s">
        <v>102</v>
      </c>
      <c r="E16" s="7" t="s">
        <v>76</v>
      </c>
      <c r="F16" s="7" t="s">
        <v>77</v>
      </c>
      <c r="G16" s="7" t="s">
        <v>51</v>
      </c>
      <c r="H16" s="7" t="s">
        <v>85</v>
      </c>
      <c r="I16" s="7" t="s">
        <v>55</v>
      </c>
      <c r="J16" s="7" t="s">
        <v>86</v>
      </c>
      <c r="K16" s="7" t="s">
        <v>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customFormat="false" ht="23.85" hidden="false" customHeight="false" outlineLevel="0" collapsed="false">
      <c r="A17" s="7" t="s">
        <v>103</v>
      </c>
      <c r="B17" s="7" t="s">
        <v>73</v>
      </c>
      <c r="C17" s="7" t="s">
        <v>104</v>
      </c>
      <c r="D17" s="7" t="s">
        <v>105</v>
      </c>
      <c r="E17" s="7" t="s">
        <v>76</v>
      </c>
      <c r="F17" s="7" t="s">
        <v>77</v>
      </c>
      <c r="G17" s="7" t="s">
        <v>51</v>
      </c>
      <c r="H17" s="7" t="s">
        <v>106</v>
      </c>
      <c r="I17" s="7" t="s">
        <v>107</v>
      </c>
      <c r="J17" s="7" t="s">
        <v>108</v>
      </c>
      <c r="K17" s="7" t="s">
        <v>55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customFormat="false" ht="23.85" hidden="false" customHeight="false" outlineLevel="0" collapsed="false">
      <c r="A18" s="7" t="s">
        <v>109</v>
      </c>
      <c r="B18" s="7" t="s">
        <v>73</v>
      </c>
      <c r="C18" s="7" t="s">
        <v>110</v>
      </c>
      <c r="D18" s="7" t="s">
        <v>111</v>
      </c>
      <c r="E18" s="7" t="s">
        <v>76</v>
      </c>
      <c r="F18" s="7" t="s">
        <v>77</v>
      </c>
      <c r="G18" s="7" t="s">
        <v>51</v>
      </c>
      <c r="H18" s="7" t="s">
        <v>52</v>
      </c>
      <c r="I18" s="7" t="s">
        <v>53</v>
      </c>
      <c r="J18" s="7" t="s">
        <v>54</v>
      </c>
      <c r="K18" s="7" t="s">
        <v>55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customFormat="false" ht="23.85" hidden="false" customHeight="false" outlineLevel="0" collapsed="false">
      <c r="A19" s="7" t="s">
        <v>112</v>
      </c>
      <c r="B19" s="7" t="s">
        <v>73</v>
      </c>
      <c r="C19" s="7" t="s">
        <v>113</v>
      </c>
      <c r="D19" s="7" t="s">
        <v>114</v>
      </c>
      <c r="E19" s="7" t="s">
        <v>115</v>
      </c>
      <c r="F19" s="7" t="s">
        <v>116</v>
      </c>
      <c r="G19" s="7" t="s">
        <v>51</v>
      </c>
      <c r="H19" s="7" t="s">
        <v>52</v>
      </c>
      <c r="I19" s="7" t="s">
        <v>53</v>
      </c>
      <c r="J19" s="7" t="s">
        <v>54</v>
      </c>
      <c r="K19" s="7" t="s">
        <v>55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customFormat="false" ht="23.85" hidden="false" customHeight="false" outlineLevel="0" collapsed="false">
      <c r="A20" s="7" t="s">
        <v>117</v>
      </c>
      <c r="B20" s="7" t="s">
        <v>73</v>
      </c>
      <c r="C20" s="7" t="s">
        <v>118</v>
      </c>
      <c r="D20" s="7" t="s">
        <v>119</v>
      </c>
      <c r="E20" s="7" t="s">
        <v>115</v>
      </c>
      <c r="F20" s="7" t="s">
        <v>116</v>
      </c>
      <c r="G20" s="7" t="s">
        <v>51</v>
      </c>
      <c r="H20" s="7" t="s">
        <v>52</v>
      </c>
      <c r="I20" s="7" t="s">
        <v>53</v>
      </c>
      <c r="J20" s="7" t="s">
        <v>54</v>
      </c>
      <c r="K20" s="7" t="s">
        <v>55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customFormat="false" ht="23.85" hidden="false" customHeight="false" outlineLevel="0" collapsed="false">
      <c r="A21" s="7" t="s">
        <v>120</v>
      </c>
      <c r="B21" s="7" t="s">
        <v>73</v>
      </c>
      <c r="C21" s="7" t="s">
        <v>121</v>
      </c>
      <c r="D21" s="7" t="s">
        <v>122</v>
      </c>
      <c r="E21" s="7" t="s">
        <v>123</v>
      </c>
      <c r="F21" s="7" t="s">
        <v>124</v>
      </c>
      <c r="G21" s="7" t="s">
        <v>51</v>
      </c>
      <c r="H21" s="7" t="s">
        <v>52</v>
      </c>
      <c r="I21" s="7" t="s">
        <v>53</v>
      </c>
      <c r="J21" s="7" t="s">
        <v>54</v>
      </c>
      <c r="K21" s="7" t="s">
        <v>125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customFormat="false" ht="23.85" hidden="false" customHeight="false" outlineLevel="0" collapsed="false">
      <c r="A22" s="7" t="s">
        <v>126</v>
      </c>
      <c r="B22" s="7" t="s">
        <v>73</v>
      </c>
      <c r="C22" s="7" t="s">
        <v>127</v>
      </c>
      <c r="D22" s="7" t="s">
        <v>128</v>
      </c>
      <c r="E22" s="7" t="s">
        <v>123</v>
      </c>
      <c r="F22" s="7" t="s">
        <v>124</v>
      </c>
      <c r="G22" s="7" t="s">
        <v>129</v>
      </c>
      <c r="H22" s="7" t="s">
        <v>52</v>
      </c>
      <c r="I22" s="7" t="s">
        <v>53</v>
      </c>
      <c r="J22" s="7" t="s">
        <v>54</v>
      </c>
      <c r="K22" s="7" t="s">
        <v>55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customFormat="false" ht="35.05" hidden="false" customHeight="false" outlineLevel="0" collapsed="false">
      <c r="A23" s="7" t="s">
        <v>130</v>
      </c>
      <c r="B23" s="7" t="s">
        <v>73</v>
      </c>
      <c r="C23" s="7" t="s">
        <v>131</v>
      </c>
      <c r="D23" s="7" t="s">
        <v>132</v>
      </c>
      <c r="E23" s="7" t="s">
        <v>133</v>
      </c>
      <c r="F23" s="7" t="s">
        <v>134</v>
      </c>
      <c r="G23" s="7" t="s">
        <v>51</v>
      </c>
      <c r="H23" s="7" t="s">
        <v>85</v>
      </c>
      <c r="I23" s="7" t="s">
        <v>55</v>
      </c>
      <c r="J23" s="7" t="s">
        <v>86</v>
      </c>
      <c r="K23" s="7" t="s">
        <v>53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customFormat="false" ht="35.05" hidden="false" customHeight="false" outlineLevel="0" collapsed="false">
      <c r="A24" s="7" t="s">
        <v>135</v>
      </c>
      <c r="B24" s="7" t="s">
        <v>73</v>
      </c>
      <c r="C24" s="7" t="s">
        <v>136</v>
      </c>
      <c r="D24" s="7" t="s">
        <v>137</v>
      </c>
      <c r="E24" s="7" t="s">
        <v>133</v>
      </c>
      <c r="F24" s="7" t="s">
        <v>134</v>
      </c>
      <c r="G24" s="7" t="s">
        <v>51</v>
      </c>
      <c r="H24" s="7" t="s">
        <v>85</v>
      </c>
      <c r="I24" s="7" t="s">
        <v>55</v>
      </c>
      <c r="J24" s="7" t="s">
        <v>86</v>
      </c>
      <c r="K24" s="7" t="s">
        <v>53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customFormat="false" ht="35.05" hidden="false" customHeight="false" outlineLevel="0" collapsed="false">
      <c r="A25" s="7" t="s">
        <v>138</v>
      </c>
      <c r="B25" s="7" t="s">
        <v>73</v>
      </c>
      <c r="C25" s="7" t="s">
        <v>139</v>
      </c>
      <c r="D25" s="7" t="s">
        <v>140</v>
      </c>
      <c r="E25" s="7" t="s">
        <v>133</v>
      </c>
      <c r="F25" s="7" t="s">
        <v>134</v>
      </c>
      <c r="G25" s="7" t="s">
        <v>51</v>
      </c>
      <c r="H25" s="7" t="s">
        <v>85</v>
      </c>
      <c r="I25" s="7" t="s">
        <v>55</v>
      </c>
      <c r="J25" s="7" t="s">
        <v>86</v>
      </c>
      <c r="K25" s="7" t="s">
        <v>53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customFormat="false" ht="35.05" hidden="false" customHeight="false" outlineLevel="0" collapsed="false">
      <c r="A26" s="7" t="s">
        <v>141</v>
      </c>
      <c r="B26" s="7" t="s">
        <v>73</v>
      </c>
      <c r="C26" s="7" t="s">
        <v>142</v>
      </c>
      <c r="D26" s="7" t="s">
        <v>143</v>
      </c>
      <c r="E26" s="7" t="s">
        <v>144</v>
      </c>
      <c r="F26" s="7" t="s">
        <v>134</v>
      </c>
      <c r="G26" s="7" t="s">
        <v>51</v>
      </c>
      <c r="H26" s="7" t="s">
        <v>85</v>
      </c>
      <c r="I26" s="7" t="s">
        <v>55</v>
      </c>
      <c r="J26" s="7" t="s">
        <v>86</v>
      </c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customFormat="false" ht="35.05" hidden="false" customHeight="false" outlineLevel="0" collapsed="false">
      <c r="A27" s="7" t="s">
        <v>145</v>
      </c>
      <c r="B27" s="7" t="s">
        <v>146</v>
      </c>
      <c r="C27" s="7" t="s">
        <v>147</v>
      </c>
      <c r="D27" s="7" t="s">
        <v>148</v>
      </c>
      <c r="E27" s="7" t="s">
        <v>149</v>
      </c>
      <c r="F27" s="7" t="s">
        <v>150</v>
      </c>
      <c r="G27" s="7" t="s">
        <v>51</v>
      </c>
      <c r="H27" s="7" t="s">
        <v>85</v>
      </c>
      <c r="I27" s="7" t="s">
        <v>55</v>
      </c>
      <c r="J27" s="7" t="s">
        <v>86</v>
      </c>
      <c r="K27" s="7" t="s">
        <v>107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customFormat="false" ht="35.05" hidden="false" customHeight="false" outlineLevel="0" collapsed="false">
      <c r="A28" s="7" t="s">
        <v>151</v>
      </c>
      <c r="B28" s="7" t="s">
        <v>146</v>
      </c>
      <c r="C28" s="7" t="s">
        <v>152</v>
      </c>
      <c r="D28" s="7" t="s">
        <v>153</v>
      </c>
      <c r="E28" s="7" t="s">
        <v>149</v>
      </c>
      <c r="F28" s="7" t="s">
        <v>150</v>
      </c>
      <c r="G28" s="7" t="s">
        <v>51</v>
      </c>
      <c r="H28" s="7" t="s">
        <v>85</v>
      </c>
      <c r="I28" s="7" t="s">
        <v>55</v>
      </c>
      <c r="J28" s="7" t="s">
        <v>86</v>
      </c>
      <c r="K28" s="7" t="s">
        <v>107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customFormat="false" ht="35.05" hidden="false" customHeight="false" outlineLevel="0" collapsed="false">
      <c r="A29" s="7" t="s">
        <v>154</v>
      </c>
      <c r="B29" s="7" t="s">
        <v>146</v>
      </c>
      <c r="C29" s="7" t="s">
        <v>155</v>
      </c>
      <c r="D29" s="7" t="s">
        <v>156</v>
      </c>
      <c r="E29" s="7" t="s">
        <v>157</v>
      </c>
      <c r="F29" s="7" t="s">
        <v>158</v>
      </c>
      <c r="G29" s="7" t="s">
        <v>51</v>
      </c>
      <c r="H29" s="7" t="s">
        <v>85</v>
      </c>
      <c r="I29" s="7" t="s">
        <v>55</v>
      </c>
      <c r="J29" s="7" t="s">
        <v>86</v>
      </c>
      <c r="K29" s="7" t="s">
        <v>107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customFormat="false" ht="35.05" hidden="false" customHeight="false" outlineLevel="0" collapsed="false">
      <c r="A30" s="7" t="s">
        <v>159</v>
      </c>
      <c r="B30" s="7" t="s">
        <v>146</v>
      </c>
      <c r="C30" s="7" t="s">
        <v>160</v>
      </c>
      <c r="D30" s="7" t="s">
        <v>161</v>
      </c>
      <c r="E30" s="7" t="s">
        <v>149</v>
      </c>
      <c r="F30" s="7" t="s">
        <v>150</v>
      </c>
      <c r="G30" s="7" t="s">
        <v>67</v>
      </c>
      <c r="H30" s="7" t="s">
        <v>85</v>
      </c>
      <c r="I30" s="7" t="s">
        <v>55</v>
      </c>
      <c r="J30" s="7" t="s">
        <v>86</v>
      </c>
      <c r="K30" s="7" t="s">
        <v>53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customFormat="false" ht="35.05" hidden="false" customHeight="false" outlineLevel="0" collapsed="false">
      <c r="A31" s="7" t="s">
        <v>162</v>
      </c>
      <c r="B31" s="7" t="s">
        <v>146</v>
      </c>
      <c r="C31" s="7" t="s">
        <v>163</v>
      </c>
      <c r="D31" s="7" t="s">
        <v>164</v>
      </c>
      <c r="E31" s="7" t="s">
        <v>149</v>
      </c>
      <c r="F31" s="7" t="s">
        <v>150</v>
      </c>
      <c r="G31" s="7" t="s">
        <v>67</v>
      </c>
      <c r="H31" s="7" t="s">
        <v>85</v>
      </c>
      <c r="I31" s="7" t="s">
        <v>55</v>
      </c>
      <c r="J31" s="7" t="s">
        <v>86</v>
      </c>
      <c r="K31" s="7" t="s">
        <v>107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customFormat="false" ht="23.85" hidden="false" customHeight="false" outlineLevel="0" collapsed="false">
      <c r="A32" s="7" t="s">
        <v>165</v>
      </c>
      <c r="B32" s="7" t="s">
        <v>146</v>
      </c>
      <c r="C32" s="7" t="s">
        <v>166</v>
      </c>
      <c r="D32" s="7" t="s">
        <v>167</v>
      </c>
      <c r="E32" s="7" t="s">
        <v>168</v>
      </c>
      <c r="F32" s="7" t="s">
        <v>169</v>
      </c>
      <c r="G32" s="7" t="s">
        <v>51</v>
      </c>
      <c r="H32" s="7" t="s">
        <v>52</v>
      </c>
      <c r="I32" s="7" t="s">
        <v>53</v>
      </c>
      <c r="J32" s="7" t="s">
        <v>54</v>
      </c>
      <c r="K32" s="7" t="s">
        <v>55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customFormat="false" ht="23.85" hidden="false" customHeight="false" outlineLevel="0" collapsed="false">
      <c r="A33" s="7" t="s">
        <v>170</v>
      </c>
      <c r="B33" s="7" t="s">
        <v>146</v>
      </c>
      <c r="C33" s="7" t="s">
        <v>171</v>
      </c>
      <c r="D33" s="7" t="s">
        <v>172</v>
      </c>
      <c r="E33" s="7" t="s">
        <v>168</v>
      </c>
      <c r="F33" s="7" t="s">
        <v>169</v>
      </c>
      <c r="G33" s="7" t="s">
        <v>51</v>
      </c>
      <c r="H33" s="7" t="s">
        <v>52</v>
      </c>
      <c r="I33" s="7" t="s">
        <v>53</v>
      </c>
      <c r="J33" s="7" t="s">
        <v>54</v>
      </c>
      <c r="K33" s="7" t="s">
        <v>55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customFormat="false" ht="23.85" hidden="false" customHeight="false" outlineLevel="0" collapsed="false">
      <c r="A34" s="7" t="s">
        <v>173</v>
      </c>
      <c r="B34" s="7" t="s">
        <v>146</v>
      </c>
      <c r="C34" s="7" t="s">
        <v>174</v>
      </c>
      <c r="D34" s="7" t="s">
        <v>175</v>
      </c>
      <c r="E34" s="7" t="s">
        <v>168</v>
      </c>
      <c r="F34" s="7" t="s">
        <v>169</v>
      </c>
      <c r="G34" s="7" t="s">
        <v>51</v>
      </c>
      <c r="H34" s="7" t="s">
        <v>52</v>
      </c>
      <c r="I34" s="7" t="s">
        <v>53</v>
      </c>
      <c r="J34" s="7" t="s">
        <v>54</v>
      </c>
      <c r="K34" s="7" t="s">
        <v>125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customFormat="false" ht="35.05" hidden="false" customHeight="false" outlineLevel="0" collapsed="false">
      <c r="A35" s="7" t="s">
        <v>176</v>
      </c>
      <c r="B35" s="7" t="s">
        <v>146</v>
      </c>
      <c r="C35" s="7" t="s">
        <v>177</v>
      </c>
      <c r="D35" s="7" t="s">
        <v>178</v>
      </c>
      <c r="E35" s="7" t="s">
        <v>179</v>
      </c>
      <c r="F35" s="7" t="s">
        <v>180</v>
      </c>
      <c r="G35" s="7" t="s">
        <v>51</v>
      </c>
      <c r="H35" s="7" t="s">
        <v>85</v>
      </c>
      <c r="I35" s="7" t="s">
        <v>55</v>
      </c>
      <c r="J35" s="7" t="s">
        <v>86</v>
      </c>
      <c r="K35" s="7" t="s">
        <v>107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customFormat="false" ht="23.85" hidden="false" customHeight="false" outlineLevel="0" collapsed="false">
      <c r="A36" s="7" t="s">
        <v>181</v>
      </c>
      <c r="B36" s="7" t="s">
        <v>146</v>
      </c>
      <c r="C36" s="7" t="s">
        <v>182</v>
      </c>
      <c r="D36" s="7" t="s">
        <v>183</v>
      </c>
      <c r="E36" s="7" t="s">
        <v>184</v>
      </c>
      <c r="F36" s="7" t="s">
        <v>185</v>
      </c>
      <c r="G36" s="7" t="s">
        <v>51</v>
      </c>
      <c r="H36" s="7" t="s">
        <v>85</v>
      </c>
      <c r="I36" s="7" t="s">
        <v>55</v>
      </c>
      <c r="J36" s="7" t="s">
        <v>86</v>
      </c>
      <c r="K36" s="7" t="s">
        <v>107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customFormat="false" ht="23.85" hidden="false" customHeight="false" outlineLevel="0" collapsed="false">
      <c r="A37" s="7" t="s">
        <v>186</v>
      </c>
      <c r="B37" s="7" t="s">
        <v>146</v>
      </c>
      <c r="C37" s="7" t="s">
        <v>187</v>
      </c>
      <c r="D37" s="7" t="s">
        <v>188</v>
      </c>
      <c r="E37" s="7" t="s">
        <v>189</v>
      </c>
      <c r="F37" s="7" t="s">
        <v>190</v>
      </c>
      <c r="G37" s="7" t="s">
        <v>51</v>
      </c>
      <c r="H37" s="7" t="s">
        <v>52</v>
      </c>
      <c r="I37" s="7" t="s">
        <v>53</v>
      </c>
      <c r="J37" s="7" t="s">
        <v>54</v>
      </c>
      <c r="K37" s="7" t="s">
        <v>55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customFormat="false" ht="23.85" hidden="false" customHeight="false" outlineLevel="0" collapsed="false">
      <c r="A38" s="7" t="s">
        <v>191</v>
      </c>
      <c r="B38" s="7" t="s">
        <v>192</v>
      </c>
      <c r="C38" s="7" t="s">
        <v>193</v>
      </c>
      <c r="D38" s="7" t="s">
        <v>194</v>
      </c>
      <c r="E38" s="7" t="s">
        <v>195</v>
      </c>
      <c r="F38" s="7" t="s">
        <v>196</v>
      </c>
      <c r="G38" s="7" t="s">
        <v>51</v>
      </c>
      <c r="H38" s="7" t="s">
        <v>52</v>
      </c>
      <c r="I38" s="7" t="s">
        <v>53</v>
      </c>
      <c r="J38" s="7" t="s">
        <v>54</v>
      </c>
      <c r="K38" s="7" t="s">
        <v>55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customFormat="false" ht="23.85" hidden="false" customHeight="false" outlineLevel="0" collapsed="false">
      <c r="A39" s="7" t="s">
        <v>197</v>
      </c>
      <c r="B39" s="7" t="s">
        <v>192</v>
      </c>
      <c r="C39" s="7" t="s">
        <v>198</v>
      </c>
      <c r="D39" s="7" t="s">
        <v>199</v>
      </c>
      <c r="E39" s="7" t="s">
        <v>195</v>
      </c>
      <c r="F39" s="7" t="s">
        <v>196</v>
      </c>
      <c r="G39" s="7" t="s">
        <v>51</v>
      </c>
      <c r="H39" s="7" t="s">
        <v>85</v>
      </c>
      <c r="I39" s="7" t="s">
        <v>55</v>
      </c>
      <c r="J39" s="7" t="s">
        <v>86</v>
      </c>
      <c r="K39" s="7" t="s">
        <v>53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customFormat="false" ht="23.85" hidden="false" customHeight="false" outlineLevel="0" collapsed="false">
      <c r="A40" s="7" t="s">
        <v>200</v>
      </c>
      <c r="B40" s="7" t="s">
        <v>192</v>
      </c>
      <c r="C40" s="7" t="s">
        <v>201</v>
      </c>
      <c r="D40" s="7" t="s">
        <v>202</v>
      </c>
      <c r="E40" s="7" t="s">
        <v>195</v>
      </c>
      <c r="F40" s="7" t="s">
        <v>196</v>
      </c>
      <c r="G40" s="7" t="s">
        <v>51</v>
      </c>
      <c r="H40" s="7" t="s">
        <v>52</v>
      </c>
      <c r="I40" s="7" t="s">
        <v>53</v>
      </c>
      <c r="J40" s="7" t="s">
        <v>54</v>
      </c>
      <c r="K40" s="7" t="s">
        <v>55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customFormat="false" ht="23.85" hidden="false" customHeight="false" outlineLevel="0" collapsed="false">
      <c r="A41" s="7" t="s">
        <v>203</v>
      </c>
      <c r="B41" s="7" t="s">
        <v>192</v>
      </c>
      <c r="C41" s="7" t="s">
        <v>204</v>
      </c>
      <c r="D41" s="7" t="s">
        <v>205</v>
      </c>
      <c r="E41" s="7" t="s">
        <v>195</v>
      </c>
      <c r="F41" s="7" t="s">
        <v>196</v>
      </c>
      <c r="G41" s="7" t="s">
        <v>206</v>
      </c>
      <c r="H41" s="7" t="s">
        <v>52</v>
      </c>
      <c r="I41" s="7" t="s">
        <v>53</v>
      </c>
      <c r="J41" s="7" t="s">
        <v>54</v>
      </c>
      <c r="K41" s="7" t="s">
        <v>68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customFormat="false" ht="23.85" hidden="false" customHeight="false" outlineLevel="0" collapsed="false">
      <c r="A42" s="7" t="s">
        <v>207</v>
      </c>
      <c r="B42" s="7" t="s">
        <v>192</v>
      </c>
      <c r="C42" s="7" t="s">
        <v>208</v>
      </c>
      <c r="D42" s="7" t="s">
        <v>209</v>
      </c>
      <c r="E42" s="7" t="s">
        <v>210</v>
      </c>
      <c r="F42" s="7" t="s">
        <v>211</v>
      </c>
      <c r="G42" s="7" t="s">
        <v>51</v>
      </c>
      <c r="H42" s="7" t="s">
        <v>85</v>
      </c>
      <c r="I42" s="7" t="s">
        <v>55</v>
      </c>
      <c r="J42" s="7" t="s">
        <v>86</v>
      </c>
      <c r="K42" s="7" t="s">
        <v>107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customFormat="false" ht="35.05" hidden="false" customHeight="false" outlineLevel="0" collapsed="false">
      <c r="A43" s="7" t="s">
        <v>212</v>
      </c>
      <c r="B43" s="7" t="s">
        <v>192</v>
      </c>
      <c r="C43" s="7" t="s">
        <v>213</v>
      </c>
      <c r="D43" s="7" t="s">
        <v>214</v>
      </c>
      <c r="E43" s="7" t="s">
        <v>215</v>
      </c>
      <c r="F43" s="7" t="s">
        <v>216</v>
      </c>
      <c r="G43" s="7" t="s">
        <v>51</v>
      </c>
      <c r="H43" s="7" t="s">
        <v>52</v>
      </c>
      <c r="I43" s="7" t="s">
        <v>53</v>
      </c>
      <c r="J43" s="7" t="s">
        <v>54</v>
      </c>
      <c r="K43" s="7" t="s">
        <v>68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customFormat="false" ht="23.85" hidden="false" customHeight="false" outlineLevel="0" collapsed="false">
      <c r="A44" s="7" t="s">
        <v>217</v>
      </c>
      <c r="B44" s="7" t="s">
        <v>192</v>
      </c>
      <c r="C44" s="7" t="s">
        <v>218</v>
      </c>
      <c r="D44" s="7" t="s">
        <v>219</v>
      </c>
      <c r="E44" s="7" t="s">
        <v>215</v>
      </c>
      <c r="F44" s="7" t="s">
        <v>220</v>
      </c>
      <c r="G44" s="7" t="s">
        <v>67</v>
      </c>
      <c r="H44" s="7" t="s">
        <v>221</v>
      </c>
      <c r="I44" s="7" t="s">
        <v>68</v>
      </c>
      <c r="J44" s="7" t="s">
        <v>222</v>
      </c>
      <c r="K44" s="7" t="s">
        <v>53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customFormat="false" ht="35.05" hidden="false" customHeight="false" outlineLevel="0" collapsed="false">
      <c r="A45" s="7" t="s">
        <v>223</v>
      </c>
      <c r="B45" s="7" t="s">
        <v>192</v>
      </c>
      <c r="C45" s="7" t="s">
        <v>224</v>
      </c>
      <c r="D45" s="7" t="s">
        <v>225</v>
      </c>
      <c r="E45" s="7" t="s">
        <v>226</v>
      </c>
      <c r="F45" s="7" t="s">
        <v>227</v>
      </c>
      <c r="G45" s="7" t="s">
        <v>51</v>
      </c>
      <c r="H45" s="7" t="s">
        <v>52</v>
      </c>
      <c r="I45" s="7" t="s">
        <v>53</v>
      </c>
      <c r="J45" s="7" t="s">
        <v>54</v>
      </c>
      <c r="K45" s="7" t="s">
        <v>55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customFormat="false" ht="23.85" hidden="false" customHeight="false" outlineLevel="0" collapsed="false">
      <c r="A46" s="7" t="s">
        <v>228</v>
      </c>
      <c r="B46" s="7" t="s">
        <v>192</v>
      </c>
      <c r="C46" s="7" t="s">
        <v>229</v>
      </c>
      <c r="D46" s="7" t="s">
        <v>230</v>
      </c>
      <c r="E46" s="7" t="s">
        <v>226</v>
      </c>
      <c r="F46" s="7" t="s">
        <v>227</v>
      </c>
      <c r="G46" s="7" t="s">
        <v>51</v>
      </c>
      <c r="H46" s="7" t="s">
        <v>52</v>
      </c>
      <c r="I46" s="7" t="s">
        <v>53</v>
      </c>
      <c r="J46" s="7" t="s">
        <v>54</v>
      </c>
      <c r="K46" s="7" t="s">
        <v>125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customFormat="false" ht="23.85" hidden="false" customHeight="false" outlineLevel="0" collapsed="false">
      <c r="A47" s="7" t="s">
        <v>231</v>
      </c>
      <c r="B47" s="7" t="s">
        <v>192</v>
      </c>
      <c r="C47" s="7" t="s">
        <v>232</v>
      </c>
      <c r="D47" s="7" t="s">
        <v>233</v>
      </c>
      <c r="E47" s="7" t="s">
        <v>226</v>
      </c>
      <c r="F47" s="7" t="s">
        <v>227</v>
      </c>
      <c r="G47" s="7" t="s">
        <v>51</v>
      </c>
      <c r="H47" s="7" t="s">
        <v>52</v>
      </c>
      <c r="I47" s="7" t="s">
        <v>53</v>
      </c>
      <c r="J47" s="7" t="s">
        <v>54</v>
      </c>
      <c r="K47" s="7" t="s">
        <v>55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</sheetData>
  <autoFilter ref="A3:Y3"/>
  <dataValidations count="5">
    <dataValidation allowBlank="true" error="Select a value from the list (see Lists sheet)." errorStyle="stop" errorTitle="Invalid entry" operator="between" showDropDown="false" showErrorMessage="false" showInputMessage="false" sqref="L4:L47" type="list">
      <formula1>Lists!$A$2:$A$5</formula1>
      <formula2>0</formula2>
    </dataValidation>
    <dataValidation allowBlank="true" error="Select a value from the list (see Lists sheet)." errorStyle="stop" errorTitle="Invalid entry" operator="between" showDropDown="false" showErrorMessage="false" showInputMessage="false" sqref="P4:P47" type="list">
      <formula1>Lists!$B$2:$B$5</formula1>
      <formula2>0</formula2>
    </dataValidation>
    <dataValidation allowBlank="true" error="Select a value from the list (see Lists sheet)." errorStyle="stop" errorTitle="Invalid entry" operator="between" showDropDown="false" showErrorMessage="false" showInputMessage="false" sqref="Q4:Q47" type="list">
      <formula1>Lists!$C$2:$C$4</formula1>
      <formula2>0</formula2>
    </dataValidation>
    <dataValidation allowBlank="true" error="Select a value from the list (see Lists sheet)." errorStyle="stop" errorTitle="Invalid entry" operator="between" showDropDown="false" showErrorMessage="false" showInputMessage="false" sqref="T4:T47" type="list">
      <formula1>Lists!$D$2:$D$7</formula1>
      <formula2>0</formula2>
    </dataValidation>
    <dataValidation allowBlank="true" error="Select a value from the list (see Lists sheet)." errorStyle="stop" errorTitle="Invalid entry" operator="between" showDropDown="false" showErrorMessage="false" showInputMessage="false" sqref="W4:W47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9" t="s">
        <v>31</v>
      </c>
      <c r="B1" s="9" t="s">
        <v>234</v>
      </c>
      <c r="C1" s="9" t="s">
        <v>235</v>
      </c>
      <c r="D1" s="9" t="s">
        <v>236</v>
      </c>
      <c r="E1" s="9" t="s">
        <v>237</v>
      </c>
      <c r="F1" s="9" t="s">
        <v>238</v>
      </c>
    </row>
    <row r="2" customFormat="false" ht="15" hidden="false" customHeight="false" outlineLevel="0" collapsed="false">
      <c r="A2" s="10" t="s">
        <v>239</v>
      </c>
      <c r="B2" s="10" t="s">
        <v>240</v>
      </c>
      <c r="C2" s="10" t="s">
        <v>241</v>
      </c>
      <c r="D2" s="10" t="s">
        <v>242</v>
      </c>
      <c r="E2" s="10" t="s">
        <v>243</v>
      </c>
      <c r="F2" s="10" t="s">
        <v>244</v>
      </c>
    </row>
    <row r="3" customFormat="false" ht="15" hidden="false" customHeight="false" outlineLevel="0" collapsed="false">
      <c r="A3" s="10" t="s">
        <v>245</v>
      </c>
      <c r="B3" s="10" t="s">
        <v>246</v>
      </c>
      <c r="C3" s="10" t="s">
        <v>247</v>
      </c>
      <c r="D3" s="10" t="s">
        <v>248</v>
      </c>
      <c r="E3" s="10" t="s">
        <v>249</v>
      </c>
      <c r="F3" s="10" t="s">
        <v>250</v>
      </c>
    </row>
    <row r="4" customFormat="false" ht="15" hidden="false" customHeight="false" outlineLevel="0" collapsed="false">
      <c r="A4" s="10" t="s">
        <v>251</v>
      </c>
      <c r="B4" s="10" t="s">
        <v>252</v>
      </c>
      <c r="C4" s="10" t="s">
        <v>253</v>
      </c>
      <c r="D4" s="10" t="s">
        <v>254</v>
      </c>
      <c r="E4" s="10" t="s">
        <v>255</v>
      </c>
      <c r="F4" s="10" t="s">
        <v>256</v>
      </c>
    </row>
    <row r="5" customFormat="false" ht="15" hidden="false" customHeight="false" outlineLevel="0" collapsed="false">
      <c r="A5" s="10" t="s">
        <v>257</v>
      </c>
      <c r="B5" s="10" t="s">
        <v>258</v>
      </c>
      <c r="D5" s="10" t="s">
        <v>259</v>
      </c>
      <c r="E5" s="10" t="s">
        <v>253</v>
      </c>
      <c r="F5" s="10" t="s">
        <v>260</v>
      </c>
    </row>
    <row r="6" customFormat="false" ht="15" hidden="false" customHeight="false" outlineLevel="0" collapsed="false">
      <c r="D6" s="10" t="s">
        <v>261</v>
      </c>
      <c r="F6" s="10" t="s">
        <v>262</v>
      </c>
    </row>
    <row r="7" customFormat="false" ht="15" hidden="false" customHeight="false" outlineLevel="0" collapsed="false">
      <c r="D7" s="10" t="s">
        <v>263</v>
      </c>
      <c r="F7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23.85" hidden="false" customHeight="false" outlineLevel="0" collapsed="false">
      <c r="A1" s="6" t="s">
        <v>265</v>
      </c>
      <c r="B1" s="6" t="s">
        <v>20</v>
      </c>
      <c r="C1" s="6" t="s">
        <v>266</v>
      </c>
      <c r="D1" s="6" t="s">
        <v>267</v>
      </c>
      <c r="E1" s="6" t="s">
        <v>268</v>
      </c>
      <c r="F1" s="6" t="s">
        <v>269</v>
      </c>
      <c r="G1" s="6" t="s">
        <v>237</v>
      </c>
      <c r="H1" s="6" t="s">
        <v>270</v>
      </c>
      <c r="I1" s="6" t="s">
        <v>271</v>
      </c>
      <c r="J1" s="6" t="s">
        <v>44</v>
      </c>
    </row>
    <row r="2" customFormat="false" ht="23.85" hidden="false" customHeight="false" outlineLevel="0" collapsed="false">
      <c r="A2" s="11" t="s">
        <v>272</v>
      </c>
      <c r="B2" s="11" t="s">
        <v>103</v>
      </c>
      <c r="C2" s="11" t="s">
        <v>273</v>
      </c>
      <c r="D2" s="11" t="s">
        <v>273</v>
      </c>
      <c r="E2" s="11" t="s">
        <v>274</v>
      </c>
      <c r="F2" s="11" t="s">
        <v>275</v>
      </c>
      <c r="G2" s="11" t="s">
        <v>243</v>
      </c>
      <c r="H2" s="11"/>
      <c r="I2" s="11"/>
      <c r="J2" s="11" t="s">
        <v>276</v>
      </c>
    </row>
    <row r="3" customFormat="false" ht="23.85" hidden="false" customHeight="false" outlineLevel="0" collapsed="false">
      <c r="A3" s="11" t="s">
        <v>277</v>
      </c>
      <c r="B3" s="11" t="s">
        <v>170</v>
      </c>
      <c r="C3" s="11" t="s">
        <v>273</v>
      </c>
      <c r="D3" s="11" t="s">
        <v>273</v>
      </c>
      <c r="E3" s="11" t="s">
        <v>274</v>
      </c>
      <c r="F3" s="11" t="s">
        <v>278</v>
      </c>
      <c r="G3" s="11" t="s">
        <v>249</v>
      </c>
      <c r="H3" s="11" t="s">
        <v>279</v>
      </c>
      <c r="I3" s="11" t="s">
        <v>257</v>
      </c>
      <c r="J3" s="11" t="s">
        <v>276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</sheetData>
  <autoFilter ref="A1:J1"/>
  <dataValidations count="1">
    <dataValidation allowBlank="true" errorStyle="stop" operator="between" showDropDown="false" showErrorMessage="false" showInputMessage="false" sqref="G2:G200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6"/>
  </cols>
  <sheetData>
    <row r="1" customFormat="false" ht="23.85" hidden="false" customHeight="false" outlineLevel="0" collapsed="false">
      <c r="A1" s="6" t="s">
        <v>280</v>
      </c>
      <c r="B1" s="6" t="s">
        <v>281</v>
      </c>
      <c r="C1" s="6" t="s">
        <v>282</v>
      </c>
      <c r="D1" s="6" t="s">
        <v>283</v>
      </c>
      <c r="E1" s="6" t="s">
        <v>284</v>
      </c>
      <c r="F1" s="6" t="s">
        <v>285</v>
      </c>
      <c r="G1" s="6" t="s">
        <v>286</v>
      </c>
      <c r="H1" s="6" t="s">
        <v>287</v>
      </c>
      <c r="I1" s="6" t="s">
        <v>44</v>
      </c>
    </row>
    <row r="2" customFormat="false" ht="35.05" hidden="false" customHeight="false" outlineLevel="0" collapsed="false">
      <c r="A2" s="11" t="s">
        <v>288</v>
      </c>
      <c r="B2" s="11" t="s">
        <v>289</v>
      </c>
      <c r="C2" s="11" t="s">
        <v>244</v>
      </c>
      <c r="D2" s="11" t="s">
        <v>274</v>
      </c>
      <c r="E2" s="11" t="s">
        <v>290</v>
      </c>
      <c r="F2" s="11" t="s">
        <v>291</v>
      </c>
      <c r="G2" s="11" t="s">
        <v>292</v>
      </c>
      <c r="H2" s="11" t="s">
        <v>293</v>
      </c>
      <c r="I2" s="11" t="s">
        <v>276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</row>
  </sheetData>
  <dataValidations count="1">
    <dataValidation allowBlank="true" errorStyle="stop" operator="between" showDropDown="false" showErrorMessage="false" showInputMessage="false" sqref="C2:C100" type="list">
      <formula1>Lists!$F$2:$F$7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12" t="s">
        <v>295</v>
      </c>
    </row>
    <row r="4" customFormat="false" ht="15" hidden="false" customHeight="false" outlineLevel="0" collapsed="false">
      <c r="A4" s="4" t="s">
        <v>296</v>
      </c>
      <c r="B4" s="13" t="n">
        <f aca="true">TODAY()</f>
        <v>46221</v>
      </c>
    </row>
    <row r="5" customFormat="false" ht="15" hidden="false" customHeight="false" outlineLevel="0" collapsed="false">
      <c r="A5" s="10" t="s">
        <v>297</v>
      </c>
      <c r="B5" s="4" t="n">
        <f aca="false">COUNTA('Compliance Matrix'!$A$4:$A$47)</f>
        <v>44</v>
      </c>
    </row>
    <row r="6" customFormat="false" ht="15" hidden="false" customHeight="false" outlineLevel="0" collapsed="false">
      <c r="A6" s="10" t="s">
        <v>298</v>
      </c>
      <c r="B6" s="4" t="n">
        <f aca="false">COUNTIF('Compliance Matrix'!$L$4:$L$47,"Performed")</f>
        <v>0</v>
      </c>
    </row>
    <row r="7" customFormat="false" ht="15" hidden="false" customHeight="false" outlineLevel="0" collapsed="false">
      <c r="A7" s="10" t="s">
        <v>299</v>
      </c>
      <c r="B7" s="4" t="n">
        <f aca="false">COUNTIF('Compliance Matrix'!$L$4:$L$47,"Equivalent control")</f>
        <v>0</v>
      </c>
    </row>
    <row r="8" customFormat="false" ht="15" hidden="false" customHeight="false" outlineLevel="0" collapsed="false">
      <c r="A8" s="10" t="s">
        <v>300</v>
      </c>
      <c r="B8" s="4" t="n">
        <f aca="false">COUNTIF('Compliance Matrix'!$L$4:$L$47,"Risk-accepted")</f>
        <v>0</v>
      </c>
    </row>
    <row r="9" customFormat="false" ht="15" hidden="false" customHeight="false" outlineLevel="0" collapsed="false">
      <c r="A9" s="10" t="s">
        <v>301</v>
      </c>
      <c r="B9" s="4" t="n">
        <f aca="false">B5-COUNTIF('Compliance Matrix'!$L$4:$L$47,"Performed")-COUNTIF('Compliance Matrix'!$L$4:$L$47,"Equivalent control")-COUNTIF('Compliance Matrix'!$L$4:$L$47,"Risk-accepted")</f>
        <v>44</v>
      </c>
    </row>
    <row r="10" customFormat="false" ht="15" hidden="false" customHeight="false" outlineLevel="0" collapsed="false">
      <c r="A10" s="10" t="s">
        <v>302</v>
      </c>
      <c r="B10" s="4" t="n">
        <f aca="false">B6+B7</f>
        <v>0</v>
      </c>
    </row>
    <row r="11" customFormat="false" ht="15" hidden="false" customHeight="false" outlineLevel="0" collapsed="false">
      <c r="A11" s="10" t="s">
        <v>303</v>
      </c>
      <c r="B11" s="4" t="n">
        <f aca="false">SUMPRODUCT((('Compliance Matrix'!$L$4:$L$47="Performed")+('Compliance Matrix'!$L$4:$L$47="Equivalent control"))*('Compliance Matrix'!$V$4:$V$47&lt;&gt;"")*('Compliance Matrix'!$V$4:$V$47&lt;$B$4))</f>
        <v>0</v>
      </c>
    </row>
    <row r="12" customFormat="false" ht="15" hidden="false" customHeight="false" outlineLevel="0" collapsed="false">
      <c r="A12" s="10" t="s">
        <v>304</v>
      </c>
      <c r="B12" s="14" t="n">
        <f aca="false">IF(B10=0,1,1-B11/B10)</f>
        <v>1</v>
      </c>
    </row>
    <row r="13" customFormat="false" ht="15" hidden="false" customHeight="false" outlineLevel="0" collapsed="false">
      <c r="A13" s="10" t="s">
        <v>305</v>
      </c>
      <c r="B13" s="4" t="n">
        <f aca="false">COUNTIF('Compliance Matrix'!$W$4:$W$47,"Degraded (finding)")</f>
        <v>0</v>
      </c>
    </row>
    <row r="15" customFormat="false" ht="43.25" hidden="false" customHeight="false" outlineLevel="0" collapsed="false">
      <c r="A15" s="15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2026-07-18T03:19:55Z</dcterms:created>
  <dc:creator>openpyxl</dc:creator>
  <dc:description/>
  <dc:language>en-US</dc:language>
  <cp:lastModifiedBy/>
  <dcterms:modified xsi:type="dcterms:W3CDTF">2026-07-18T03:19:55Z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