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aluation Criteria" sheetId="2" state="visible" r:id="rId4"/>
    <sheet name="SDRL Receipt Log" sheetId="3" state="visible" r:id="rId5"/>
    <sheet name="Findings &amp; Escapes Log" sheetId="4" state="visible" r:id="rId6"/>
    <sheet name="Supplier Evaluation Record" sheetId="5" state="visible" r:id="rId7"/>
    <sheet name="Actions Log" sheetId="6" state="visible" r:id="rId8"/>
    <sheet name="Dashboard" sheetId="7" state="visible" r:id="rId9"/>
    <sheet name="Lists" sheetId="8" state="visible" r:id="rId10"/>
  </sheets>
  <definedNames>
    <definedName function="false" hidden="true" localSheetId="5" name="_xlnm._FilterDatabase" vbProcedure="false">'Actions Log'!$A$1:$L$1</definedName>
    <definedName function="false" hidden="true" localSheetId="1" name="_xlnm._FilterDatabase" vbProcedure="false">'Evaluation Criteria'!$A$1:$E$1</definedName>
    <definedName function="false" hidden="true" localSheetId="3" name="_xlnm._FilterDatabase" vbProcedure="false">'Findings &amp; Escapes Log'!$A$1:$M$1</definedName>
    <definedName function="false" hidden="true" localSheetId="2" name="_xlnm._FilterDatabase" vbProcedure="false">'SDRL Receipt Log'!$A$1:$N$1</definedName>
    <definedName function="false" hidden="true" localSheetId="4" name="_xlnm._FilterDatabase" vbProcedure="false">'Supplier Evaluation Record'!$A$1:$S$1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<sst xmlns="http://schemas.openxmlformats.org/spreadsheetml/2006/main" count="230" uniqueCount="181">
  <si>
    <t xml:space="preserve">Sub-Supplier CM Effectiveness Workbook — Template</t>
  </si>
  <si>
    <t xml:space="preserve">Implements [XXX-CM-PROC-003] §5.8 and Floor ID F40: the methods used to determine sub-supplier CM process effectiveness and the actions taken when a process is determined ineffective. Companion to the Sub-Supplier CM Flowdown Matrix (which defines what was imposed per supplier — the evaluation basis) and [XXX-CM-GUIDE-002].</t>
  </si>
  <si>
    <t xml:space="preserve">Operating model — continuous accrual, judgment roll-up</t>
  </si>
  <si>
    <t xml:space="preserve">•  Evidence accrues transaction by transaction: log every SDRL submittal on the 'SDRL Receipt Log' as it arrives and score it at review (first-pass accepted / accepted with comment / rejected, with defect codes). Log non-submittal events (escapes, unauthorized changes, traceability gaps, audit findings) on the 'Findings &amp; Escapes Log' as they occur.</t>
  </si>
  <si>
    <t xml:space="preserve">•  The 'Supplier Evaluation Record' rolls the logs up by supplier ID via formulas (submittal counts, first-pass rate, open findings, escape count) and holds the judgment fields: the determination, rationale, actions, and sign-offs. Formula cells are shaded — do not overwrite.</t>
  </si>
  <si>
    <t xml:space="preserve">•  Determinations are refreshed on a tiered cadence as a backstop (WT4/WT6 annual; WT1/WT2/WT7 annual–biennial per risk; WT5/WT8 event-driven) AND on trigger events: rejection streak, any escape classified safety-relevant, ineffective reconciliation evidence, audit finding, or a change relevant to [XXX-CM-PROC-002] Appendix C items C3–C5.</t>
  </si>
  <si>
    <t xml:space="preserve">Determination scale and actions (F40)</t>
  </si>
  <si>
    <t xml:space="preserve">•  Effective: imposed requirements are being met; routine surveillance continues.</t>
  </si>
  <si>
    <t xml:space="preserve">•  Conditionally effective: deficiencies with credible correction underway; actions ladder — increased surveillance, corrective action request (CAR), source inspection, elevated SDRL review.</t>
  </si>
  <si>
    <t xml:space="preserve">•  Ineffective: systemic failure to meet imposed requirements; actions ladder — CAR with executive engagement, source inspection/witness points, payment/delivery holds per contracts, new-award hold, and where warranted disqualification. Record all actions on the 'Actions Log' and track to closure.</t>
  </si>
  <si>
    <t xml:space="preserve">Outbound linkages</t>
  </si>
  <si>
    <t xml:space="preserve">•  An Ineffective (or safety-relevant Conditionally effective) determination: (1) triggers re-run of the [XXX-CM-PROC-002] Appendix C audit-designation assessment for CIs this supplier builds (items C4/C5/C7); (2) is reported as SM-0001 safety data where safety-relevant (subcontractor disclosures, work not per approved data); (3) triggers review of any CM floor equivalent control that relies on this supplier's process (program CM Floor Compliance Matrix).</t>
  </si>
  <si>
    <t xml:space="preserve">•  The Dashboard computes portfolio status by formula. Enter all dates as date values, not text.</t>
  </si>
  <si>
    <t xml:space="preserve">Criterion ID</t>
  </si>
  <si>
    <t xml:space="preserve">Evidence Stream</t>
  </si>
  <si>
    <t xml:space="preserve">What Effective Looks Like</t>
  </si>
  <si>
    <t xml:space="preserve">Source</t>
  </si>
  <si>
    <t xml:space="preserve">Applies To (Work Types)</t>
  </si>
  <si>
    <t xml:space="preserve">E-01</t>
  </si>
  <si>
    <t xml:space="preserve">CM plan adequacy (S-01)</t>
  </si>
  <si>
    <t xml:space="preserve">Plan accepted; implements the imposed requirement set including recursive sub-tier flowdown; kept current through revisions.</t>
  </si>
  <si>
    <t xml:space="preserve">SDRL Receipt Log (S-01)</t>
  </si>
  <si>
    <t xml:space="preserve">WT2–WT4, WT6, WT7</t>
  </si>
  <si>
    <t xml:space="preserve">E-02</t>
  </si>
  <si>
    <t xml:space="preserve">Reconciliation process capability (S-02)</t>
  </si>
  <si>
    <t xml:space="preserve">Documented as-designed/as-built (or as-maintained) reconciliation process accepted; method covers all deliverable configurations at scale.</t>
  </si>
  <si>
    <t xml:space="preserve">SDRL Receipt Log (S-02)</t>
  </si>
  <si>
    <t xml:space="preserve">WT1, WT2, WT4, WT6, WT7</t>
  </si>
  <si>
    <t xml:space="preserve">E-03</t>
  </si>
  <si>
    <t xml:space="preserve">Reconciliation report quality (S-08)</t>
  </si>
  <si>
    <t xml:space="preserve">Reports delivered per delivery/lot; deltas dispositioned, none aged past threshold; content expressed in PTR identifiers; zero deltas discovered by company receiving that the report missed.</t>
  </si>
  <si>
    <t xml:space="preserve">SDRL Receipt Log (S-08) + Findings Log</t>
  </si>
  <si>
    <t xml:space="preserve">E-04</t>
  </si>
  <si>
    <t xml:space="preserve">Part traceability completeness (S-06)</t>
  </si>
  <si>
    <t xml:space="preserve">PTRs complete on first pass: serials, lot/batch, life-limited designation with limits and life consumed, safety-critical and special-handling designations, NHA traceability (F39). Designation authorship per work type honored.</t>
  </si>
  <si>
    <t xml:space="preserve">SDRL Receipt Log (S-06)</t>
  </si>
  <si>
    <t xml:space="preserve">WT1, WT2, WT4, WT5, WT6, WT7</t>
  </si>
  <si>
    <t xml:space="preserve">E-05</t>
  </si>
  <si>
    <t xml:space="preserve">Change control discipline (S-04)</t>
  </si>
  <si>
    <t xml:space="preserve">ECPs complete with need, impact data, and NORs on first pass; no baseline-affecting change implemented without approval; safety-affecting changes flagged Class I.</t>
  </si>
  <si>
    <t xml:space="preserve">SDRL Receipt Log (S-04) + Findings Log</t>
  </si>
  <si>
    <t xml:space="preserve">E-06</t>
  </si>
  <si>
    <t xml:space="preserve">Variance discipline (S-05)</t>
  </si>
  <si>
    <t xml:space="preserve">Departures RFV'd before delivery; zero post-delivery discoveries of departures that should have been RFV'd (the key escape signal); recurring variances converted to ECP (F19).</t>
  </si>
  <si>
    <t xml:space="preserve">SDRL Receipt Log (S-05) + Findings Log</t>
  </si>
  <si>
    <t xml:space="preserve">All build/process types</t>
  </si>
  <si>
    <t xml:space="preserve">E-07</t>
  </si>
  <si>
    <t xml:space="preserve">Process change notification (S-03)</t>
  </si>
  <si>
    <t xml:space="preserve">No unauthorized change to frozen/approved processes; notifications timely per SSOW notice period.</t>
  </si>
  <si>
    <t xml:space="preserve">SDRL Receipt Log (S-03) + Findings Log</t>
  </si>
  <si>
    <t xml:space="preserve">WT8; others where flagged</t>
  </si>
  <si>
    <t xml:space="preserve">E-08</t>
  </si>
  <si>
    <t xml:space="preserve">CSA records currency (S-07)</t>
  </si>
  <si>
    <t xml:space="preserve">CSA reports timely, current, historical traceability intact, retrievable per data terms.</t>
  </si>
  <si>
    <t xml:space="preserve">SDRL Receipt Log (S-07)</t>
  </si>
  <si>
    <t xml:space="preserve">WT2, WT4, WT6; tailored others</t>
  </si>
  <si>
    <t xml:space="preserve">E-09</t>
  </si>
  <si>
    <t xml:space="preserve">Audit performance (S-10–S-12)</t>
  </si>
  <si>
    <t xml:space="preserve">Where designated: audits conducted/supported per role; substance in full; action items closed by suspense.</t>
  </si>
  <si>
    <t xml:space="preserve">SDRL Receipt Log + Actions Log</t>
  </si>
  <si>
    <t xml:space="preserve">Per designation and role</t>
  </si>
  <si>
    <t xml:space="preserve">E-10</t>
  </si>
  <si>
    <t xml:space="preserve">CM process audit findings (F41)</t>
  </si>
  <si>
    <t xml:space="preserve">Company/Acquirer CM-system audit findings closed by suspense; no repeat findings.</t>
  </si>
  <si>
    <t xml:space="preserve">Findings Log + Actions Log</t>
  </si>
  <si>
    <t xml:space="preserve">All except WT5</t>
  </si>
  <si>
    <t xml:space="preserve">Entry ID</t>
  </si>
  <si>
    <t xml:space="preserve">Supplier ID</t>
  </si>
  <si>
    <t xml:space="preserve">Supplier Name</t>
  </si>
  <si>
    <t xml:space="preserve">SSOW/PO</t>
  </si>
  <si>
    <t xml:space="preserve">SDRL ID</t>
  </si>
  <si>
    <t xml:space="preserve">Submittal Description</t>
  </si>
  <si>
    <t xml:space="preserve">Received Date</t>
  </si>
  <si>
    <t xml:space="preserve">Review Due</t>
  </si>
  <si>
    <t xml:space="preserve">Reviewed Date</t>
  </si>
  <si>
    <t xml:space="preserve">Review Result</t>
  </si>
  <si>
    <t xml:space="preserve">Defect Code(s)</t>
  </si>
  <si>
    <t xml:space="preserve">Criterion (E-xx)</t>
  </si>
  <si>
    <t xml:space="preserve">Reviewer</t>
  </si>
  <si>
    <t xml:space="preserve">Notes</t>
  </si>
  <si>
    <t xml:space="preserve">SR-0001</t>
  </si>
  <si>
    <t xml:space="preserve">SUP-014</t>
  </si>
  <si>
    <t xml:space="preserve">ACME Actuation</t>
  </si>
  <si>
    <t xml:space="preserve">SSOW-114</t>
  </si>
  <si>
    <t xml:space="preserve">S-08</t>
  </si>
  <si>
    <t xml:space="preserve">Recon report, lot 7</t>
  </si>
  <si>
    <t xml:space="preserve">2026-06-20</t>
  </si>
  <si>
    <t xml:space="preserve">2026-07-05</t>
  </si>
  <si>
    <t xml:space="preserve">2026-06-28</t>
  </si>
  <si>
    <t xml:space="preserve">Accepted first-pass</t>
  </si>
  <si>
    <t xml:space="preserve">[name]</t>
  </si>
  <si>
    <t xml:space="preserve">Example row — replace</t>
  </si>
  <si>
    <t xml:space="preserve">SR-0002</t>
  </si>
  <si>
    <t xml:space="preserve">S-06</t>
  </si>
  <si>
    <t xml:space="preserve">PTR, lot 7</t>
  </si>
  <si>
    <t xml:space="preserve">2026-06-30</t>
  </si>
  <si>
    <t xml:space="preserve">Rejected</t>
  </si>
  <si>
    <t xml:space="preserve">D3 (life consumed missing)</t>
  </si>
  <si>
    <t xml:space="preserve">Finding ID</t>
  </si>
  <si>
    <t xml:space="preserve">Date</t>
  </si>
  <si>
    <t xml:space="preserve">Finding Type</t>
  </si>
  <si>
    <t xml:space="preserve">Description</t>
  </si>
  <si>
    <t xml:space="preserve">Safety-Relevant (Y/N)</t>
  </si>
  <si>
    <t xml:space="preserve">SM-0001 Report Ref (if Y)</t>
  </si>
  <si>
    <t xml:space="preserve">Action ID(s)</t>
  </si>
  <si>
    <t xml:space="preserve">Status</t>
  </si>
  <si>
    <t xml:space="preserve">FE-0001</t>
  </si>
  <si>
    <t xml:space="preserve">2026-07-02</t>
  </si>
  <si>
    <t xml:space="preserve">Post-delivery departure (should have been RFV'd)</t>
  </si>
  <si>
    <t xml:space="preserve">Undocumented shim substitution found at receiving, lot 6</t>
  </si>
  <si>
    <t xml:space="preserve">Y</t>
  </si>
  <si>
    <t xml:space="preserve">SDR-2026-041</t>
  </si>
  <si>
    <t xml:space="preserve">AC-0001</t>
  </si>
  <si>
    <t xml:space="preserve">Open</t>
  </si>
  <si>
    <t xml:space="preserve">SSOW/PO(s)</t>
  </si>
  <si>
    <t xml:space="preserve">Work Type(s)</t>
  </si>
  <si>
    <t xml:space="preserve">Cadence</t>
  </si>
  <si>
    <t xml:space="preserve">Submittals Logged</t>
  </si>
  <si>
    <t xml:space="preserve">First-Pass Accepted</t>
  </si>
  <si>
    <t xml:space="preserve">First-Pass Rate</t>
  </si>
  <si>
    <t xml:space="preserve">Open Findings</t>
  </si>
  <si>
    <t xml:space="preserve">Safety-Relevant Findings</t>
  </si>
  <si>
    <t xml:space="preserve">Open Actions</t>
  </si>
  <si>
    <t xml:space="preserve">Determination</t>
  </si>
  <si>
    <t xml:space="preserve">Determination Date</t>
  </si>
  <si>
    <t xml:space="preserve">Next Determination Due</t>
  </si>
  <si>
    <t xml:space="preserve">Rationale / Triggering Evidence</t>
  </si>
  <si>
    <t xml:space="preserve">App C Re-run Triggered (Y/N + ref)</t>
  </si>
  <si>
    <t xml:space="preserve">CM Sign-off (name/date)</t>
  </si>
  <si>
    <t xml:space="preserve">WT2</t>
  </si>
  <si>
    <t xml:space="preserve">Annual</t>
  </si>
  <si>
    <t xml:space="preserve">Not yet determined</t>
  </si>
  <si>
    <t xml:space="preserve">Example row — replace IDs; formulas roll up automatically</t>
  </si>
  <si>
    <t xml:space="preserve">Action ID</t>
  </si>
  <si>
    <t xml:space="preserve">Source (Finding/Determination ref)</t>
  </si>
  <si>
    <t xml:space="preserve">Action Type</t>
  </si>
  <si>
    <t xml:space="preserve">Owner</t>
  </si>
  <si>
    <t xml:space="preserve">Due Date</t>
  </si>
  <si>
    <t xml:space="preserve">Closed Date</t>
  </si>
  <si>
    <t xml:space="preserve">Closure Evidence</t>
  </si>
  <si>
    <t xml:space="preserve">CAR + source inspection</t>
  </si>
  <si>
    <t xml:space="preserve">CAR issued for RFV process failure; source inspection at next 3 lots</t>
  </si>
  <si>
    <t xml:space="preserve">2026-08-15</t>
  </si>
  <si>
    <t xml:space="preserve">Sub-Supplier CM Effectiveness Dashboard</t>
  </si>
  <si>
    <t xml:space="preserve">Formula-driven — do not overwrite column B. Reporting date drives overdue counts.</t>
  </si>
  <si>
    <t xml:space="preserve">Reporting date:</t>
  </si>
  <si>
    <t xml:space="preserve">Suppliers under evaluation</t>
  </si>
  <si>
    <t xml:space="preserve">Determination — Effective</t>
  </si>
  <si>
    <t xml:space="preserve">Determination — Conditionally effective</t>
  </si>
  <si>
    <t xml:space="preserve">Determination — Ineffective</t>
  </si>
  <si>
    <t xml:space="preserve">Determinations overdue (Next Due &lt; reporting date)</t>
  </si>
  <si>
    <t xml:space="preserve">Open + in-work findings (all suppliers)</t>
  </si>
  <si>
    <t xml:space="preserve">Safety-relevant findings (all suppliers)</t>
  </si>
  <si>
    <t xml:space="preserve">Open/overdue actions (all suppliers)</t>
  </si>
  <si>
    <t xml:space="preserve">SDRL submittals logged (all suppliers)</t>
  </si>
  <si>
    <t xml:space="preserve">Portfolio first-pass acceptance rate</t>
  </si>
  <si>
    <t xml:space="preserve">Defect Codes</t>
  </si>
  <si>
    <t xml:space="preserve">Safety-Relevant</t>
  </si>
  <si>
    <t xml:space="preserve">Action Status</t>
  </si>
  <si>
    <t xml:space="preserve">D1 — Content incomplete</t>
  </si>
  <si>
    <t xml:space="preserve">Effective</t>
  </si>
  <si>
    <t xml:space="preserve">D2 — Wrong/rev data used</t>
  </si>
  <si>
    <t xml:space="preserve">Conditionally effective</t>
  </si>
  <si>
    <t xml:space="preserve">Unauthorized process change</t>
  </si>
  <si>
    <t xml:space="preserve">N</t>
  </si>
  <si>
    <t xml:space="preserve">In work</t>
  </si>
  <si>
    <t xml:space="preserve">Biennial</t>
  </si>
  <si>
    <t xml:space="preserve">D3 — Traceability/PTR gap</t>
  </si>
  <si>
    <t xml:space="preserve">Ineffective</t>
  </si>
  <si>
    <t xml:space="preserve">Traceability gap discovered</t>
  </si>
  <si>
    <t xml:space="preserve">Closed</t>
  </si>
  <si>
    <t xml:space="preserve">Event-driven</t>
  </si>
  <si>
    <t xml:space="preserve">D4 — Late submittal</t>
  </si>
  <si>
    <t xml:space="preserve">Unincorporated/undocumented change</t>
  </si>
  <si>
    <t xml:space="preserve">Overdue</t>
  </si>
  <si>
    <t xml:space="preserve">D5 — Format/DID non-compliance</t>
  </si>
  <si>
    <t xml:space="preserve">CM process audit finding</t>
  </si>
  <si>
    <t xml:space="preserve">D6 — Unresolved prior comment</t>
  </si>
  <si>
    <t xml:space="preserve">Reconciliation miss (delta found by company)</t>
  </si>
  <si>
    <t xml:space="preserve">Late/withheld disclosure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</si>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</sst>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0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3" customFormat="false" ht="34.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34.5" hidden="false" customHeight="true" outlineLevel="0" collapsed="false">
      <c r="A6" s="3" t="s">
        <v>3</v>
      </c>
    </row>
    <row r="7" customFormat="false" ht="23.25" hidden="false" customHeight="true" outlineLevel="0" collapsed="false">
      <c r="A7" s="3" t="s">
        <v>4</v>
      </c>
    </row>
    <row r="8" customFormat="false" ht="34.5" hidden="false" customHeight="true" outlineLevel="0" collapsed="false">
      <c r="A8" s="3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23.25" hidden="false" customHeight="true" outlineLevel="0" collapsed="false">
      <c r="A11" s="3" t="s">
        <v>8</v>
      </c>
    </row>
    <row r="12" customFormat="false" ht="23.25" hidden="false" customHeight="true" outlineLevel="0" collapsed="false">
      <c r="A12" s="3" t="s">
        <v>9</v>
      </c>
    </row>
    <row r="13" customFormat="false" ht="15" hidden="false" customHeight="true" outlineLevel="0" collapsed="false">
      <c r="A13" s="4" t="s">
        <v>10</v>
      </c>
    </row>
    <row r="14" customFormat="false" ht="34.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50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23.2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customFormat="false" ht="34.5" hidden="false" customHeight="tru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</row>
    <row r="3" customFormat="false" ht="34.5" hidden="false" customHeight="tru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</row>
    <row r="4" customFormat="false" ht="45.75" hidden="false" customHeight="tru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27</v>
      </c>
    </row>
    <row r="5" customFormat="false" ht="45.75" hidden="false" customHeight="tru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</row>
    <row r="6" customFormat="false" ht="34.5" hidden="false" customHeight="true" outlineLevel="0" collapsed="false">
      <c r="A6" s="6" t="s">
        <v>37</v>
      </c>
      <c r="B6" s="6" t="s">
        <v>38</v>
      </c>
      <c r="C6" s="6" t="s">
        <v>39</v>
      </c>
      <c r="D6" s="6" t="s">
        <v>40</v>
      </c>
      <c r="E6" s="6" t="s">
        <v>22</v>
      </c>
    </row>
    <row r="7" customFormat="false" ht="45.75" hidden="false" customHeight="true" outlineLevel="0" collapsed="false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</row>
    <row r="8" customFormat="false" ht="23.25" hidden="false" customHeight="true" outlineLevel="0" collapsed="false">
      <c r="A8" s="6" t="s">
        <v>46</v>
      </c>
      <c r="B8" s="6" t="s">
        <v>47</v>
      </c>
      <c r="C8" s="6" t="s">
        <v>48</v>
      </c>
      <c r="D8" s="6" t="s">
        <v>49</v>
      </c>
      <c r="E8" s="6" t="s">
        <v>50</v>
      </c>
    </row>
    <row r="9" customFormat="false" ht="23.25" hidden="false" customHeight="true" outlineLevel="0" collapsed="false">
      <c r="A9" s="6" t="s">
        <v>51</v>
      </c>
      <c r="B9" s="6" t="s">
        <v>52</v>
      </c>
      <c r="C9" s="6" t="s">
        <v>53</v>
      </c>
      <c r="D9" s="6" t="s">
        <v>54</v>
      </c>
      <c r="E9" s="6" t="s">
        <v>55</v>
      </c>
    </row>
    <row r="10" customFormat="false" ht="23.25" hidden="false" customHeight="true" outlineLevel="0" collapsed="false">
      <c r="A10" s="6" t="s">
        <v>56</v>
      </c>
      <c r="B10" s="6" t="s">
        <v>57</v>
      </c>
      <c r="C10" s="6" t="s">
        <v>58</v>
      </c>
      <c r="D10" s="6" t="s">
        <v>59</v>
      </c>
      <c r="E10" s="6" t="s">
        <v>60</v>
      </c>
    </row>
    <row r="11" customFormat="false" ht="23.25" hidden="false" customHeight="true" outlineLevel="0" collapsed="false">
      <c r="A11" s="6" t="s">
        <v>61</v>
      </c>
      <c r="B11" s="6" t="s">
        <v>62</v>
      </c>
      <c r="C11" s="6" t="s">
        <v>63</v>
      </c>
      <c r="D11" s="6" t="s">
        <v>64</v>
      </c>
      <c r="E11" s="6" t="s">
        <v>65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24"/>
    <col collapsed="false" customWidth="true" hidden="false" outlineLevel="0" max="9" min="7" style="1" width="12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26"/>
  </cols>
  <sheetData>
    <row r="1" customFormat="false" ht="23.25" hidden="false" customHeight="true" outlineLevel="0" collapsed="false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  <c r="L1" s="5" t="s">
        <v>77</v>
      </c>
      <c r="M1" s="5" t="s">
        <v>78</v>
      </c>
      <c r="N1" s="5" t="s">
        <v>79</v>
      </c>
    </row>
    <row r="2" customFormat="false" ht="15" hidden="false" customHeight="true" outlineLevel="0" collapsed="false">
      <c r="A2" s="7" t="s">
        <v>80</v>
      </c>
      <c r="B2" s="7" t="s">
        <v>81</v>
      </c>
      <c r="C2" s="7" t="s">
        <v>82</v>
      </c>
      <c r="D2" s="7" t="s">
        <v>83</v>
      </c>
      <c r="E2" s="7" t="s">
        <v>84</v>
      </c>
      <c r="F2" s="7" t="s">
        <v>85</v>
      </c>
      <c r="G2" s="7" t="s">
        <v>86</v>
      </c>
      <c r="H2" s="7" t="s">
        <v>87</v>
      </c>
      <c r="I2" s="7" t="s">
        <v>88</v>
      </c>
      <c r="J2" s="7" t="s">
        <v>89</v>
      </c>
      <c r="K2" s="7"/>
      <c r="L2" s="7" t="s">
        <v>28</v>
      </c>
      <c r="M2" s="7" t="s">
        <v>90</v>
      </c>
      <c r="N2" s="7" t="s">
        <v>91</v>
      </c>
    </row>
    <row r="3" customFormat="false" ht="34.5" hidden="false" customHeight="true" outlineLevel="0" collapsed="false">
      <c r="A3" s="7" t="s">
        <v>92</v>
      </c>
      <c r="B3" s="7" t="s">
        <v>81</v>
      </c>
      <c r="C3" s="7" t="s">
        <v>82</v>
      </c>
      <c r="D3" s="7" t="s">
        <v>83</v>
      </c>
      <c r="E3" s="7" t="s">
        <v>93</v>
      </c>
      <c r="F3" s="7" t="s">
        <v>94</v>
      </c>
      <c r="G3" s="7" t="s">
        <v>86</v>
      </c>
      <c r="H3" s="7" t="s">
        <v>87</v>
      </c>
      <c r="I3" s="7" t="s">
        <v>95</v>
      </c>
      <c r="J3" s="7" t="s">
        <v>96</v>
      </c>
      <c r="K3" s="7" t="s">
        <v>97</v>
      </c>
      <c r="L3" s="7" t="s">
        <v>32</v>
      </c>
      <c r="M3" s="7" t="s">
        <v>90</v>
      </c>
      <c r="N3" s="7" t="s">
        <v>91</v>
      </c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</sheetData>
  <autoFilter ref="A1:N1"/>
  <dataValidations count="1">
    <dataValidation allowBlank="true" errorStyle="stop" operator="between" showDropDown="false" showErrorMessage="false" showInputMessage="false" sqref="J2:J1000" type="list">
      <formula1>"Accepted first-pass,Accepted with comment,Rejected"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26"/>
    <col collapsed="false" customWidth="true" hidden="false" outlineLevel="0" max="7" min="7" style="1" width="3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24"/>
  </cols>
  <sheetData>
    <row r="1" customFormat="false" ht="34.5" hidden="false" customHeight="true" outlineLevel="0" collapsed="false">
      <c r="A1" s="5" t="s">
        <v>98</v>
      </c>
      <c r="B1" s="5" t="s">
        <v>67</v>
      </c>
      <c r="C1" s="5" t="s">
        <v>68</v>
      </c>
      <c r="D1" s="5" t="s">
        <v>69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77</v>
      </c>
      <c r="K1" s="5" t="s">
        <v>104</v>
      </c>
      <c r="L1" s="5" t="s">
        <v>105</v>
      </c>
      <c r="M1" s="5" t="s">
        <v>79</v>
      </c>
    </row>
    <row r="2" customFormat="false" ht="23.25" hidden="false" customHeight="true" outlineLevel="0" collapsed="false">
      <c r="A2" s="7" t="s">
        <v>106</v>
      </c>
      <c r="B2" s="7" t="s">
        <v>81</v>
      </c>
      <c r="C2" s="7" t="s">
        <v>82</v>
      </c>
      <c r="D2" s="7" t="s">
        <v>83</v>
      </c>
      <c r="E2" s="7" t="s">
        <v>107</v>
      </c>
      <c r="F2" s="7" t="s">
        <v>108</v>
      </c>
      <c r="G2" s="7" t="s">
        <v>109</v>
      </c>
      <c r="H2" s="7" t="s">
        <v>110</v>
      </c>
      <c r="I2" s="7" t="s">
        <v>111</v>
      </c>
      <c r="J2" s="7" t="s">
        <v>41</v>
      </c>
      <c r="K2" s="7" t="s">
        <v>112</v>
      </c>
      <c r="L2" s="7" t="s">
        <v>113</v>
      </c>
      <c r="M2" s="7" t="s">
        <v>91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</sheetData>
  <autoFilter ref="A1:M1"/>
  <dataValidations count="3">
    <dataValidation allowBlank="true" errorStyle="stop" operator="between" showDropDown="false" showErrorMessage="false" showInputMessage="false" sqref="F2:F500" type="list">
      <formula1>Lists!$C$2:$C$9</formula1>
      <formula2>0</formula2>
    </dataValidation>
    <dataValidation allowBlank="true" errorStyle="stop" operator="between" showDropDown="false" showErrorMessage="false" showInputMessage="false" sqref="H2:H500" type="list">
      <formula1>Lists!$D$2:$D$3</formula1>
      <formula2>0</formula2>
    </dataValidation>
    <dataValidation allowBlank="true" errorStyle="stop" operator="between" showDropDown="false" showErrorMessage="false" showInputMessage="false" sqref="L2:L500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7" min="6" style="1" width="11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6"/>
    <col collapsed="false" customWidth="true" hidden="false" outlineLevel="0" max="15" min="14" style="1" width="13"/>
    <col collapsed="false" customWidth="true" hidden="false" outlineLevel="0" max="16" min="16" style="1" width="30"/>
    <col collapsed="false" customWidth="true" hidden="false" outlineLevel="0" max="17" min="17" style="1" width="15"/>
    <col collapsed="false" customWidth="true" hidden="false" outlineLevel="0" max="18" min="18" style="1" width="16"/>
    <col collapsed="false" customWidth="true" hidden="false" outlineLevel="0" max="19" min="19" style="1" width="22"/>
  </cols>
  <sheetData>
    <row r="1" customFormat="false" ht="45.75" hidden="false" customHeight="true" outlineLevel="0" collapsed="false">
      <c r="A1" s="5" t="s">
        <v>67</v>
      </c>
      <c r="B1" s="5" t="s">
        <v>68</v>
      </c>
      <c r="C1" s="5" t="s">
        <v>114</v>
      </c>
      <c r="D1" s="5" t="s">
        <v>115</v>
      </c>
      <c r="E1" s="5" t="s">
        <v>116</v>
      </c>
      <c r="F1" s="5" t="s">
        <v>117</v>
      </c>
      <c r="G1" s="5" t="s">
        <v>118</v>
      </c>
      <c r="H1" s="5" t="s">
        <v>96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  <c r="N1" s="5" t="s">
        <v>124</v>
      </c>
      <c r="O1" s="5" t="s">
        <v>125</v>
      </c>
      <c r="P1" s="5" t="s">
        <v>126</v>
      </c>
      <c r="Q1" s="5" t="s">
        <v>127</v>
      </c>
      <c r="R1" s="5" t="s">
        <v>128</v>
      </c>
      <c r="S1" s="5" t="s">
        <v>79</v>
      </c>
    </row>
    <row r="2" customFormat="false" ht="34.5" hidden="false" customHeight="true" outlineLevel="0" collapsed="false">
      <c r="A2" s="7" t="s">
        <v>81</v>
      </c>
      <c r="B2" s="7" t="s">
        <v>82</v>
      </c>
      <c r="C2" s="7" t="s">
        <v>83</v>
      </c>
      <c r="D2" s="7" t="s">
        <v>129</v>
      </c>
      <c r="E2" s="7" t="s">
        <v>130</v>
      </c>
      <c r="F2" s="8" t="n">
        <f aca="false">IF($A2="","",COUNTIF('SDRL Receipt Log'!$B$2:$B$1000,$A2))</f>
        <v>2</v>
      </c>
      <c r="G2" s="8" t="n">
        <f aca="false">IF($A2="","",COUNTIFS('SDRL Receipt Log'!$B$2:$B$1000,$A2,'SDRL Receipt Log'!$J$2:$J$1000,"Accepted first-pass"))</f>
        <v>1</v>
      </c>
      <c r="H2" s="8" t="n">
        <f aca="false">IF($A2="","",COUNTIFS('SDRL Receipt Log'!$B$2:$B$1000,$A2,'SDRL Receipt Log'!$J$2:$J$1000,"Rejected"))</f>
        <v>1</v>
      </c>
      <c r="I2" s="9" t="n">
        <f aca="false">IF(OR($A2="",F2=0),"",G2/F2)</f>
        <v>0.5</v>
      </c>
      <c r="J2" s="8" t="n">
        <f aca="false">IF($A2="","",COUNTIFS('Findings &amp; Escapes Log'!$B$2:$B$500,$A2,'Findings &amp; Escapes Log'!$L$2:$L$500,"Open")+COUNTIFS('Findings &amp; Escapes Log'!$B$2:$B$500,$A2,'Findings &amp; Escapes Log'!$L$2:$L$500,"In work"))</f>
        <v>1</v>
      </c>
      <c r="K2" s="8" t="n">
        <f aca="false">IF($A2="","",COUNTIFS('Findings &amp; Escapes Log'!$B$2:$B$500,$A2,'Findings &amp; Escapes Log'!$H$2:$H$500,"Y"))</f>
        <v>1</v>
      </c>
      <c r="L2" s="8" t="n">
        <f aca="false">IF($A2="","",COUNTIFS('Actions Log'!$B$2:$B$500,$A2,'Actions Log'!$I$2:$I$500,"Open")+COUNTIFS('Actions Log'!$B$2:$B$500,$A2,'Actions Log'!$I$2:$I$500,"In work")+COUNTIFS('Actions Log'!$B$2:$B$500,$A2,'Actions Log'!$I$2:$I$500,"Overdue"))</f>
        <v>1</v>
      </c>
      <c r="M2" s="7" t="s">
        <v>131</v>
      </c>
      <c r="N2" s="6"/>
      <c r="O2" s="6"/>
      <c r="P2" s="6"/>
      <c r="Q2" s="6"/>
      <c r="R2" s="6"/>
      <c r="S2" s="7" t="s">
        <v>132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8" t="str">
        <f aca="false">IF($A3="","",COUNTIF('SDRL Receipt Log'!$B$2:$B$1000,$A3))</f>
        <v/>
      </c>
      <c r="G3" s="8" t="str">
        <f aca="false">IF($A3="","",COUNTIFS('SDRL Receipt Log'!$B$2:$B$1000,$A3,'SDRL Receipt Log'!$J$2:$J$1000,"Accepted first-pass"))</f>
        <v/>
      </c>
      <c r="H3" s="8" t="str">
        <f aca="false">IF($A3="","",COUNTIFS('SDRL Receipt Log'!$B$2:$B$1000,$A3,'SDRL Receipt Log'!$J$2:$J$1000,"Rejected"))</f>
        <v/>
      </c>
      <c r="I3" s="9" t="str">
        <f aca="false">IF(OR($A3="",F3=0),"",G3/F3)</f>
        <v/>
      </c>
      <c r="J3" s="8" t="str">
        <f aca="false">IF($A3="","",COUNTIFS('Findings &amp; Escapes Log'!$B$2:$B$500,$A3,'Findings &amp; Escapes Log'!$L$2:$L$500,"Open")+COUNTIFS('Findings &amp; Escapes Log'!$B$2:$B$500,$A3,'Findings &amp; Escapes Log'!$L$2:$L$500,"In work"))</f>
        <v/>
      </c>
      <c r="K3" s="8" t="str">
        <f aca="false">IF($A3="","",COUNTIFS('Findings &amp; Escapes Log'!$B$2:$B$500,$A3,'Findings &amp; Escapes Log'!$H$2:$H$500,"Y"))</f>
        <v/>
      </c>
      <c r="L3" s="8" t="str">
        <f aca="false">IF($A3="","",COUNTIFS('Actions Log'!$B$2:$B$500,$A3,'Actions Log'!$I$2:$I$500,"Open")+COUNTIFS('Actions Log'!$B$2:$B$500,$A3,'Actions Log'!$I$2:$I$500,"In work")+COUNTIFS('Actions Log'!$B$2:$B$500,$A3,'Actions Log'!$I$2:$I$500,"Overdue"))</f>
        <v/>
      </c>
      <c r="M3" s="6"/>
      <c r="N3" s="6"/>
      <c r="O3" s="6"/>
      <c r="P3" s="6"/>
      <c r="Q3" s="6"/>
      <c r="R3" s="6"/>
      <c r="S3" s="6"/>
    </row>
    <row r="4" customFormat="false" ht="15" hidden="false" customHeight="true" outlineLevel="0" collapsed="false">
      <c r="A4" s="6"/>
      <c r="B4" s="6"/>
      <c r="C4" s="6"/>
      <c r="D4" s="6"/>
      <c r="E4" s="6"/>
      <c r="F4" s="8" t="str">
        <f aca="false">IF($A4="","",COUNTIF('SDRL Receipt Log'!$B$2:$B$1000,$A4))</f>
        <v/>
      </c>
      <c r="G4" s="8" t="str">
        <f aca="false">IF($A4="","",COUNTIFS('SDRL Receipt Log'!$B$2:$B$1000,$A4,'SDRL Receipt Log'!$J$2:$J$1000,"Accepted first-pass"))</f>
        <v/>
      </c>
      <c r="H4" s="8" t="str">
        <f aca="false">IF($A4="","",COUNTIFS('SDRL Receipt Log'!$B$2:$B$1000,$A4,'SDRL Receipt Log'!$J$2:$J$1000,"Rejected"))</f>
        <v/>
      </c>
      <c r="I4" s="9" t="str">
        <f aca="false">IF(OR($A4="",F4=0),"",G4/F4)</f>
        <v/>
      </c>
      <c r="J4" s="8" t="str">
        <f aca="false">IF($A4="","",COUNTIFS('Findings &amp; Escapes Log'!$B$2:$B$500,$A4,'Findings &amp; Escapes Log'!$L$2:$L$500,"Open")+COUNTIFS('Findings &amp; Escapes Log'!$B$2:$B$500,$A4,'Findings &amp; Escapes Log'!$L$2:$L$500,"In work"))</f>
        <v/>
      </c>
      <c r="K4" s="8" t="str">
        <f aca="false">IF($A4="","",COUNTIFS('Findings &amp; Escapes Log'!$B$2:$B$500,$A4,'Findings &amp; Escapes Log'!$H$2:$H$500,"Y"))</f>
        <v/>
      </c>
      <c r="L4" s="8" t="str">
        <f aca="false">IF($A4="","",COUNTIFS('Actions Log'!$B$2:$B$500,$A4,'Actions Log'!$I$2:$I$500,"Open")+COUNTIFS('Actions Log'!$B$2:$B$500,$A4,'Actions Log'!$I$2:$I$500,"In work")+COUNTIFS('Actions Log'!$B$2:$B$500,$A4,'Actions Log'!$I$2:$I$500,"Overdue"))</f>
        <v/>
      </c>
      <c r="M4" s="6"/>
      <c r="N4" s="6"/>
      <c r="O4" s="6"/>
      <c r="P4" s="6"/>
      <c r="Q4" s="6"/>
      <c r="R4" s="6"/>
      <c r="S4" s="6"/>
    </row>
    <row r="5" customFormat="false" ht="15" hidden="false" customHeight="true" outlineLevel="0" collapsed="false">
      <c r="A5" s="6"/>
      <c r="B5" s="6"/>
      <c r="C5" s="6"/>
      <c r="D5" s="6"/>
      <c r="E5" s="6"/>
      <c r="F5" s="8" t="str">
        <f aca="false">IF($A5="","",COUNTIF('SDRL Receipt Log'!$B$2:$B$1000,$A5))</f>
        <v/>
      </c>
      <c r="G5" s="8" t="str">
        <f aca="false">IF($A5="","",COUNTIFS('SDRL Receipt Log'!$B$2:$B$1000,$A5,'SDRL Receipt Log'!$J$2:$J$1000,"Accepted first-pass"))</f>
        <v/>
      </c>
      <c r="H5" s="8" t="str">
        <f aca="false">IF($A5="","",COUNTIFS('SDRL Receipt Log'!$B$2:$B$1000,$A5,'SDRL Receipt Log'!$J$2:$J$1000,"Rejected"))</f>
        <v/>
      </c>
      <c r="I5" s="9" t="str">
        <f aca="false">IF(OR($A5="",F5=0),"",G5/F5)</f>
        <v/>
      </c>
      <c r="J5" s="8" t="str">
        <f aca="false">IF($A5="","",COUNTIFS('Findings &amp; Escapes Log'!$B$2:$B$500,$A5,'Findings &amp; Escapes Log'!$L$2:$L$500,"Open")+COUNTIFS('Findings &amp; Escapes Log'!$B$2:$B$500,$A5,'Findings &amp; Escapes Log'!$L$2:$L$500,"In work"))</f>
        <v/>
      </c>
      <c r="K5" s="8" t="str">
        <f aca="false">IF($A5="","",COUNTIFS('Findings &amp; Escapes Log'!$B$2:$B$500,$A5,'Findings &amp; Escapes Log'!$H$2:$H$500,"Y"))</f>
        <v/>
      </c>
      <c r="L5" s="8" t="str">
        <f aca="false">IF($A5="","",COUNTIFS('Actions Log'!$B$2:$B$500,$A5,'Actions Log'!$I$2:$I$500,"Open")+COUNTIFS('Actions Log'!$B$2:$B$500,$A5,'Actions Log'!$I$2:$I$500,"In work")+COUNTIFS('Actions Log'!$B$2:$B$500,$A5,'Actions Log'!$I$2:$I$500,"Overdue"))</f>
        <v/>
      </c>
      <c r="M5" s="6"/>
      <c r="N5" s="6"/>
      <c r="O5" s="6"/>
      <c r="P5" s="6"/>
      <c r="Q5" s="6"/>
      <c r="R5" s="6"/>
      <c r="S5" s="6"/>
    </row>
    <row r="6" customFormat="false" ht="15" hidden="false" customHeight="true" outlineLevel="0" collapsed="false">
      <c r="A6" s="6"/>
      <c r="B6" s="6"/>
      <c r="C6" s="6"/>
      <c r="D6" s="6"/>
      <c r="E6" s="6"/>
      <c r="F6" s="8" t="str">
        <f aca="false">IF($A6="","",COUNTIF('SDRL Receipt Log'!$B$2:$B$1000,$A6))</f>
        <v/>
      </c>
      <c r="G6" s="8" t="str">
        <f aca="false">IF($A6="","",COUNTIFS('SDRL Receipt Log'!$B$2:$B$1000,$A6,'SDRL Receipt Log'!$J$2:$J$1000,"Accepted first-pass"))</f>
        <v/>
      </c>
      <c r="H6" s="8" t="str">
        <f aca="false">IF($A6="","",COUNTIFS('SDRL Receipt Log'!$B$2:$B$1000,$A6,'SDRL Receipt Log'!$J$2:$J$1000,"Rejected"))</f>
        <v/>
      </c>
      <c r="I6" s="9" t="str">
        <f aca="false">IF(OR($A6="",F6=0),"",G6/F6)</f>
        <v/>
      </c>
      <c r="J6" s="8" t="str">
        <f aca="false">IF($A6="","",COUNTIFS('Findings &amp; Escapes Log'!$B$2:$B$500,$A6,'Findings &amp; Escapes Log'!$L$2:$L$500,"Open")+COUNTIFS('Findings &amp; Escapes Log'!$B$2:$B$500,$A6,'Findings &amp; Escapes Log'!$L$2:$L$500,"In work"))</f>
        <v/>
      </c>
      <c r="K6" s="8" t="str">
        <f aca="false">IF($A6="","",COUNTIFS('Findings &amp; Escapes Log'!$B$2:$B$500,$A6,'Findings &amp; Escapes Log'!$H$2:$H$500,"Y"))</f>
        <v/>
      </c>
      <c r="L6" s="8" t="str">
        <f aca="false">IF($A6="","",COUNTIFS('Actions Log'!$B$2:$B$500,$A6,'Actions Log'!$I$2:$I$500,"Open")+COUNTIFS('Actions Log'!$B$2:$B$500,$A6,'Actions Log'!$I$2:$I$500,"In work")+COUNTIFS('Actions Log'!$B$2:$B$500,$A6,'Actions Log'!$I$2:$I$500,"Overdue"))</f>
        <v/>
      </c>
      <c r="M6" s="6"/>
      <c r="N6" s="6"/>
      <c r="O6" s="6"/>
      <c r="P6" s="6"/>
      <c r="Q6" s="6"/>
      <c r="R6" s="6"/>
      <c r="S6" s="6"/>
    </row>
    <row r="7" customFormat="false" ht="15" hidden="false" customHeight="true" outlineLevel="0" collapsed="false">
      <c r="A7" s="6"/>
      <c r="B7" s="6"/>
      <c r="C7" s="6"/>
      <c r="D7" s="6"/>
      <c r="E7" s="6"/>
      <c r="F7" s="8" t="str">
        <f aca="false">IF($A7="","",COUNTIF('SDRL Receipt Log'!$B$2:$B$1000,$A7))</f>
        <v/>
      </c>
      <c r="G7" s="8" t="str">
        <f aca="false">IF($A7="","",COUNTIFS('SDRL Receipt Log'!$B$2:$B$1000,$A7,'SDRL Receipt Log'!$J$2:$J$1000,"Accepted first-pass"))</f>
        <v/>
      </c>
      <c r="H7" s="8" t="str">
        <f aca="false">IF($A7="","",COUNTIFS('SDRL Receipt Log'!$B$2:$B$1000,$A7,'SDRL Receipt Log'!$J$2:$J$1000,"Rejected"))</f>
        <v/>
      </c>
      <c r="I7" s="9" t="str">
        <f aca="false">IF(OR($A7="",F7=0),"",G7/F7)</f>
        <v/>
      </c>
      <c r="J7" s="8" t="str">
        <f aca="false">IF($A7="","",COUNTIFS('Findings &amp; Escapes Log'!$B$2:$B$500,$A7,'Findings &amp; Escapes Log'!$L$2:$L$500,"Open")+COUNTIFS('Findings &amp; Escapes Log'!$B$2:$B$500,$A7,'Findings &amp; Escapes Log'!$L$2:$L$500,"In work"))</f>
        <v/>
      </c>
      <c r="K7" s="8" t="str">
        <f aca="false">IF($A7="","",COUNTIFS('Findings &amp; Escapes Log'!$B$2:$B$500,$A7,'Findings &amp; Escapes Log'!$H$2:$H$500,"Y"))</f>
        <v/>
      </c>
      <c r="L7" s="8" t="str">
        <f aca="false">IF($A7="","",COUNTIFS('Actions Log'!$B$2:$B$500,$A7,'Actions Log'!$I$2:$I$500,"Open")+COUNTIFS('Actions Log'!$B$2:$B$500,$A7,'Actions Log'!$I$2:$I$500,"In work")+COUNTIFS('Actions Log'!$B$2:$B$500,$A7,'Actions Log'!$I$2:$I$500,"Overdue"))</f>
        <v/>
      </c>
      <c r="M7" s="6"/>
      <c r="N7" s="6"/>
      <c r="O7" s="6"/>
      <c r="P7" s="6"/>
      <c r="Q7" s="6"/>
      <c r="R7" s="6"/>
      <c r="S7" s="6"/>
    </row>
    <row r="8" customFormat="false" ht="15" hidden="false" customHeight="true" outlineLevel="0" collapsed="false">
      <c r="A8" s="6"/>
      <c r="B8" s="6"/>
      <c r="C8" s="6"/>
      <c r="D8" s="6"/>
      <c r="E8" s="6"/>
      <c r="F8" s="8" t="str">
        <f aca="false">IF($A8="","",COUNTIF('SDRL Receipt Log'!$B$2:$B$1000,$A8))</f>
        <v/>
      </c>
      <c r="G8" s="8" t="str">
        <f aca="false">IF($A8="","",COUNTIFS('SDRL Receipt Log'!$B$2:$B$1000,$A8,'SDRL Receipt Log'!$J$2:$J$1000,"Accepted first-pass"))</f>
        <v/>
      </c>
      <c r="H8" s="8" t="str">
        <f aca="false">IF($A8="","",COUNTIFS('SDRL Receipt Log'!$B$2:$B$1000,$A8,'SDRL Receipt Log'!$J$2:$J$1000,"Rejected"))</f>
        <v/>
      </c>
      <c r="I8" s="9" t="str">
        <f aca="false">IF(OR($A8="",F8=0),"",G8/F8)</f>
        <v/>
      </c>
      <c r="J8" s="8" t="str">
        <f aca="false">IF($A8="","",COUNTIFS('Findings &amp; Escapes Log'!$B$2:$B$500,$A8,'Findings &amp; Escapes Log'!$L$2:$L$500,"Open")+COUNTIFS('Findings &amp; Escapes Log'!$B$2:$B$500,$A8,'Findings &amp; Escapes Log'!$L$2:$L$500,"In work"))</f>
        <v/>
      </c>
      <c r="K8" s="8" t="str">
        <f aca="false">IF($A8="","",COUNTIFS('Findings &amp; Escapes Log'!$B$2:$B$500,$A8,'Findings &amp; Escapes Log'!$H$2:$H$500,"Y"))</f>
        <v/>
      </c>
      <c r="L8" s="8" t="str">
        <f aca="false">IF($A8="","",COUNTIFS('Actions Log'!$B$2:$B$500,$A8,'Actions Log'!$I$2:$I$500,"Open")+COUNTIFS('Actions Log'!$B$2:$B$500,$A8,'Actions Log'!$I$2:$I$500,"In work")+COUNTIFS('Actions Log'!$B$2:$B$500,$A8,'Actions Log'!$I$2:$I$500,"Overdue"))</f>
        <v/>
      </c>
      <c r="M8" s="6"/>
      <c r="N8" s="6"/>
      <c r="O8" s="6"/>
      <c r="P8" s="6"/>
      <c r="Q8" s="6"/>
      <c r="R8" s="6"/>
      <c r="S8" s="6"/>
    </row>
    <row r="9" customFormat="false" ht="15" hidden="false" customHeight="true" outlineLevel="0" collapsed="false">
      <c r="A9" s="6"/>
      <c r="B9" s="6"/>
      <c r="C9" s="6"/>
      <c r="D9" s="6"/>
      <c r="E9" s="6"/>
      <c r="F9" s="8" t="str">
        <f aca="false">IF($A9="","",COUNTIF('SDRL Receipt Log'!$B$2:$B$1000,$A9))</f>
        <v/>
      </c>
      <c r="G9" s="8" t="str">
        <f aca="false">IF($A9="","",COUNTIFS('SDRL Receipt Log'!$B$2:$B$1000,$A9,'SDRL Receipt Log'!$J$2:$J$1000,"Accepted first-pass"))</f>
        <v/>
      </c>
      <c r="H9" s="8" t="str">
        <f aca="false">IF($A9="","",COUNTIFS('SDRL Receipt Log'!$B$2:$B$1000,$A9,'SDRL Receipt Log'!$J$2:$J$1000,"Rejected"))</f>
        <v/>
      </c>
      <c r="I9" s="9" t="str">
        <f aca="false">IF(OR($A9="",F9=0),"",G9/F9)</f>
        <v/>
      </c>
      <c r="J9" s="8" t="str">
        <f aca="false">IF($A9="","",COUNTIFS('Findings &amp; Escapes Log'!$B$2:$B$500,$A9,'Findings &amp; Escapes Log'!$L$2:$L$500,"Open")+COUNTIFS('Findings &amp; Escapes Log'!$B$2:$B$500,$A9,'Findings &amp; Escapes Log'!$L$2:$L$500,"In work"))</f>
        <v/>
      </c>
      <c r="K9" s="8" t="str">
        <f aca="false">IF($A9="","",COUNTIFS('Findings &amp; Escapes Log'!$B$2:$B$500,$A9,'Findings &amp; Escapes Log'!$H$2:$H$500,"Y"))</f>
        <v/>
      </c>
      <c r="L9" s="8" t="str">
        <f aca="false">IF($A9="","",COUNTIFS('Actions Log'!$B$2:$B$500,$A9,'Actions Log'!$I$2:$I$500,"Open")+COUNTIFS('Actions Log'!$B$2:$B$500,$A9,'Actions Log'!$I$2:$I$500,"In work")+COUNTIFS('Actions Log'!$B$2:$B$500,$A9,'Actions Log'!$I$2:$I$500,"Overdue"))</f>
        <v/>
      </c>
      <c r="M9" s="6"/>
      <c r="N9" s="6"/>
      <c r="O9" s="6"/>
      <c r="P9" s="6"/>
      <c r="Q9" s="6"/>
      <c r="R9" s="6"/>
      <c r="S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8" t="str">
        <f aca="false">IF($A10="","",COUNTIF('SDRL Receipt Log'!$B$2:$B$1000,$A10))</f>
        <v/>
      </c>
      <c r="G10" s="8" t="str">
        <f aca="false">IF($A10="","",COUNTIFS('SDRL Receipt Log'!$B$2:$B$1000,$A10,'SDRL Receipt Log'!$J$2:$J$1000,"Accepted first-pass"))</f>
        <v/>
      </c>
      <c r="H10" s="8" t="str">
        <f aca="false">IF($A10="","",COUNTIFS('SDRL Receipt Log'!$B$2:$B$1000,$A10,'SDRL Receipt Log'!$J$2:$J$1000,"Rejected"))</f>
        <v/>
      </c>
      <c r="I10" s="9" t="str">
        <f aca="false">IF(OR($A10="",F10=0),"",G10/F10)</f>
        <v/>
      </c>
      <c r="J10" s="8" t="str">
        <f aca="false">IF($A10="","",COUNTIFS('Findings &amp; Escapes Log'!$B$2:$B$500,$A10,'Findings &amp; Escapes Log'!$L$2:$L$500,"Open")+COUNTIFS('Findings &amp; Escapes Log'!$B$2:$B$500,$A10,'Findings &amp; Escapes Log'!$L$2:$L$500,"In work"))</f>
        <v/>
      </c>
      <c r="K10" s="8" t="str">
        <f aca="false">IF($A10="","",COUNTIFS('Findings &amp; Escapes Log'!$B$2:$B$500,$A10,'Findings &amp; Escapes Log'!$H$2:$H$500,"Y"))</f>
        <v/>
      </c>
      <c r="L10" s="8" t="str">
        <f aca="false">IF($A10="","",COUNTIFS('Actions Log'!$B$2:$B$500,$A10,'Actions Log'!$I$2:$I$500,"Open")+COUNTIFS('Actions Log'!$B$2:$B$500,$A10,'Actions Log'!$I$2:$I$500,"In work")+COUNTIFS('Actions Log'!$B$2:$B$500,$A10,'Actions Log'!$I$2:$I$500,"Overdue"))</f>
        <v/>
      </c>
      <c r="M10" s="6"/>
      <c r="N10" s="6"/>
      <c r="O10" s="6"/>
      <c r="P10" s="6"/>
      <c r="Q10" s="6"/>
      <c r="R10" s="6"/>
      <c r="S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8" t="str">
        <f aca="false">IF($A11="","",COUNTIF('SDRL Receipt Log'!$B$2:$B$1000,$A11))</f>
        <v/>
      </c>
      <c r="G11" s="8" t="str">
        <f aca="false">IF($A11="","",COUNTIFS('SDRL Receipt Log'!$B$2:$B$1000,$A11,'SDRL Receipt Log'!$J$2:$J$1000,"Accepted first-pass"))</f>
        <v/>
      </c>
      <c r="H11" s="8" t="str">
        <f aca="false">IF($A11="","",COUNTIFS('SDRL Receipt Log'!$B$2:$B$1000,$A11,'SDRL Receipt Log'!$J$2:$J$1000,"Rejected"))</f>
        <v/>
      </c>
      <c r="I11" s="9" t="str">
        <f aca="false">IF(OR($A11="",F11=0),"",G11/F11)</f>
        <v/>
      </c>
      <c r="J11" s="8" t="str">
        <f aca="false">IF($A11="","",COUNTIFS('Findings &amp; Escapes Log'!$B$2:$B$500,$A11,'Findings &amp; Escapes Log'!$L$2:$L$500,"Open")+COUNTIFS('Findings &amp; Escapes Log'!$B$2:$B$500,$A11,'Findings &amp; Escapes Log'!$L$2:$L$500,"In work"))</f>
        <v/>
      </c>
      <c r="K11" s="8" t="str">
        <f aca="false">IF($A11="","",COUNTIFS('Findings &amp; Escapes Log'!$B$2:$B$500,$A11,'Findings &amp; Escapes Log'!$H$2:$H$500,"Y"))</f>
        <v/>
      </c>
      <c r="L11" s="8" t="str">
        <f aca="false">IF($A11="","",COUNTIFS('Actions Log'!$B$2:$B$500,$A11,'Actions Log'!$I$2:$I$500,"Open")+COUNTIFS('Actions Log'!$B$2:$B$500,$A11,'Actions Log'!$I$2:$I$500,"In work")+COUNTIFS('Actions Log'!$B$2:$B$500,$A11,'Actions Log'!$I$2:$I$500,"Overdue"))</f>
        <v/>
      </c>
      <c r="M11" s="6"/>
      <c r="N11" s="6"/>
      <c r="O11" s="6"/>
      <c r="P11" s="6"/>
      <c r="Q11" s="6"/>
      <c r="R11" s="6"/>
      <c r="S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8" t="str">
        <f aca="false">IF($A12="","",COUNTIF('SDRL Receipt Log'!$B$2:$B$1000,$A12))</f>
        <v/>
      </c>
      <c r="G12" s="8" t="str">
        <f aca="false">IF($A12="","",COUNTIFS('SDRL Receipt Log'!$B$2:$B$1000,$A12,'SDRL Receipt Log'!$J$2:$J$1000,"Accepted first-pass"))</f>
        <v/>
      </c>
      <c r="H12" s="8" t="str">
        <f aca="false">IF($A12="","",COUNTIFS('SDRL Receipt Log'!$B$2:$B$1000,$A12,'SDRL Receipt Log'!$J$2:$J$1000,"Rejected"))</f>
        <v/>
      </c>
      <c r="I12" s="9" t="str">
        <f aca="false">IF(OR($A12="",F12=0),"",G12/F12)</f>
        <v/>
      </c>
      <c r="J12" s="8" t="str">
        <f aca="false">IF($A12="","",COUNTIFS('Findings &amp; Escapes Log'!$B$2:$B$500,$A12,'Findings &amp; Escapes Log'!$L$2:$L$500,"Open")+COUNTIFS('Findings &amp; Escapes Log'!$B$2:$B$500,$A12,'Findings &amp; Escapes Log'!$L$2:$L$500,"In work"))</f>
        <v/>
      </c>
      <c r="K12" s="8" t="str">
        <f aca="false">IF($A12="","",COUNTIFS('Findings &amp; Escapes Log'!$B$2:$B$500,$A12,'Findings &amp; Escapes Log'!$H$2:$H$500,"Y"))</f>
        <v/>
      </c>
      <c r="L12" s="8" t="str">
        <f aca="false">IF($A12="","",COUNTIFS('Actions Log'!$B$2:$B$500,$A12,'Actions Log'!$I$2:$I$500,"Open")+COUNTIFS('Actions Log'!$B$2:$B$500,$A12,'Actions Log'!$I$2:$I$500,"In work")+COUNTIFS('Actions Log'!$B$2:$B$500,$A12,'Actions Log'!$I$2:$I$500,"Overdue"))</f>
        <v/>
      </c>
      <c r="M12" s="6"/>
      <c r="N12" s="6"/>
      <c r="O12" s="6"/>
      <c r="P12" s="6"/>
      <c r="Q12" s="6"/>
      <c r="R12" s="6"/>
      <c r="S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8" t="str">
        <f aca="false">IF($A13="","",COUNTIF('SDRL Receipt Log'!$B$2:$B$1000,$A13))</f>
        <v/>
      </c>
      <c r="G13" s="8" t="str">
        <f aca="false">IF($A13="","",COUNTIFS('SDRL Receipt Log'!$B$2:$B$1000,$A13,'SDRL Receipt Log'!$J$2:$J$1000,"Accepted first-pass"))</f>
        <v/>
      </c>
      <c r="H13" s="8" t="str">
        <f aca="false">IF($A13="","",COUNTIFS('SDRL Receipt Log'!$B$2:$B$1000,$A13,'SDRL Receipt Log'!$J$2:$J$1000,"Rejected"))</f>
        <v/>
      </c>
      <c r="I13" s="9" t="str">
        <f aca="false">IF(OR($A13="",F13=0),"",G13/F13)</f>
        <v/>
      </c>
      <c r="J13" s="8" t="str">
        <f aca="false">IF($A13="","",COUNTIFS('Findings &amp; Escapes Log'!$B$2:$B$500,$A13,'Findings &amp; Escapes Log'!$L$2:$L$500,"Open")+COUNTIFS('Findings &amp; Escapes Log'!$B$2:$B$500,$A13,'Findings &amp; Escapes Log'!$L$2:$L$500,"In work"))</f>
        <v/>
      </c>
      <c r="K13" s="8" t="str">
        <f aca="false">IF($A13="","",COUNTIFS('Findings &amp; Escapes Log'!$B$2:$B$500,$A13,'Findings &amp; Escapes Log'!$H$2:$H$500,"Y"))</f>
        <v/>
      </c>
      <c r="L13" s="8" t="str">
        <f aca="false">IF($A13="","",COUNTIFS('Actions Log'!$B$2:$B$500,$A13,'Actions Log'!$I$2:$I$500,"Open")+COUNTIFS('Actions Log'!$B$2:$B$500,$A13,'Actions Log'!$I$2:$I$500,"In work")+COUNTIFS('Actions Log'!$B$2:$B$500,$A13,'Actions Log'!$I$2:$I$500,"Overdue"))</f>
        <v/>
      </c>
      <c r="M13" s="6"/>
      <c r="N13" s="6"/>
      <c r="O13" s="6"/>
      <c r="P13" s="6"/>
      <c r="Q13" s="6"/>
      <c r="R13" s="6"/>
      <c r="S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8" t="str">
        <f aca="false">IF($A14="","",COUNTIF('SDRL Receipt Log'!$B$2:$B$1000,$A14))</f>
        <v/>
      </c>
      <c r="G14" s="8" t="str">
        <f aca="false">IF($A14="","",COUNTIFS('SDRL Receipt Log'!$B$2:$B$1000,$A14,'SDRL Receipt Log'!$J$2:$J$1000,"Accepted first-pass"))</f>
        <v/>
      </c>
      <c r="H14" s="8" t="str">
        <f aca="false">IF($A14="","",COUNTIFS('SDRL Receipt Log'!$B$2:$B$1000,$A14,'SDRL Receipt Log'!$J$2:$J$1000,"Rejected"))</f>
        <v/>
      </c>
      <c r="I14" s="9" t="str">
        <f aca="false">IF(OR($A14="",F14=0),"",G14/F14)</f>
        <v/>
      </c>
      <c r="J14" s="8" t="str">
        <f aca="false">IF($A14="","",COUNTIFS('Findings &amp; Escapes Log'!$B$2:$B$500,$A14,'Findings &amp; Escapes Log'!$L$2:$L$500,"Open")+COUNTIFS('Findings &amp; Escapes Log'!$B$2:$B$500,$A14,'Findings &amp; Escapes Log'!$L$2:$L$500,"In work"))</f>
        <v/>
      </c>
      <c r="K14" s="8" t="str">
        <f aca="false">IF($A14="","",COUNTIFS('Findings &amp; Escapes Log'!$B$2:$B$500,$A14,'Findings &amp; Escapes Log'!$H$2:$H$500,"Y"))</f>
        <v/>
      </c>
      <c r="L14" s="8" t="str">
        <f aca="false">IF($A14="","",COUNTIFS('Actions Log'!$B$2:$B$500,$A14,'Actions Log'!$I$2:$I$500,"Open")+COUNTIFS('Actions Log'!$B$2:$B$500,$A14,'Actions Log'!$I$2:$I$500,"In work")+COUNTIFS('Actions Log'!$B$2:$B$500,$A14,'Actions Log'!$I$2:$I$500,"Overdue"))</f>
        <v/>
      </c>
      <c r="M14" s="6"/>
      <c r="N14" s="6"/>
      <c r="O14" s="6"/>
      <c r="P14" s="6"/>
      <c r="Q14" s="6"/>
      <c r="R14" s="6"/>
      <c r="S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8" t="str">
        <f aca="false">IF($A15="","",COUNTIF('SDRL Receipt Log'!$B$2:$B$1000,$A15))</f>
        <v/>
      </c>
      <c r="G15" s="8" t="str">
        <f aca="false">IF($A15="","",COUNTIFS('SDRL Receipt Log'!$B$2:$B$1000,$A15,'SDRL Receipt Log'!$J$2:$J$1000,"Accepted first-pass"))</f>
        <v/>
      </c>
      <c r="H15" s="8" t="str">
        <f aca="false">IF($A15="","",COUNTIFS('SDRL Receipt Log'!$B$2:$B$1000,$A15,'SDRL Receipt Log'!$J$2:$J$1000,"Rejected"))</f>
        <v/>
      </c>
      <c r="I15" s="9" t="str">
        <f aca="false">IF(OR($A15="",F15=0),"",G15/F15)</f>
        <v/>
      </c>
      <c r="J15" s="8" t="str">
        <f aca="false">IF($A15="","",COUNTIFS('Findings &amp; Escapes Log'!$B$2:$B$500,$A15,'Findings &amp; Escapes Log'!$L$2:$L$500,"Open")+COUNTIFS('Findings &amp; Escapes Log'!$B$2:$B$500,$A15,'Findings &amp; Escapes Log'!$L$2:$L$500,"In work"))</f>
        <v/>
      </c>
      <c r="K15" s="8" t="str">
        <f aca="false">IF($A15="","",COUNTIFS('Findings &amp; Escapes Log'!$B$2:$B$500,$A15,'Findings &amp; Escapes Log'!$H$2:$H$500,"Y"))</f>
        <v/>
      </c>
      <c r="L15" s="8" t="str">
        <f aca="false">IF($A15="","",COUNTIFS('Actions Log'!$B$2:$B$500,$A15,'Actions Log'!$I$2:$I$500,"Open")+COUNTIFS('Actions Log'!$B$2:$B$500,$A15,'Actions Log'!$I$2:$I$500,"In work")+COUNTIFS('Actions Log'!$B$2:$B$500,$A15,'Actions Log'!$I$2:$I$500,"Overdue"))</f>
        <v/>
      </c>
      <c r="M15" s="6"/>
      <c r="N15" s="6"/>
      <c r="O15" s="6"/>
      <c r="P15" s="6"/>
      <c r="Q15" s="6"/>
      <c r="R15" s="6"/>
      <c r="S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8" t="str">
        <f aca="false">IF($A16="","",COUNTIF('SDRL Receipt Log'!$B$2:$B$1000,$A16))</f>
        <v/>
      </c>
      <c r="G16" s="8" t="str">
        <f aca="false">IF($A16="","",COUNTIFS('SDRL Receipt Log'!$B$2:$B$1000,$A16,'SDRL Receipt Log'!$J$2:$J$1000,"Accepted first-pass"))</f>
        <v/>
      </c>
      <c r="H16" s="8" t="str">
        <f aca="false">IF($A16="","",COUNTIFS('SDRL Receipt Log'!$B$2:$B$1000,$A16,'SDRL Receipt Log'!$J$2:$J$1000,"Rejected"))</f>
        <v/>
      </c>
      <c r="I16" s="9" t="str">
        <f aca="false">IF(OR($A16="",F16=0),"",G16/F16)</f>
        <v/>
      </c>
      <c r="J16" s="8" t="str">
        <f aca="false">IF($A16="","",COUNTIFS('Findings &amp; Escapes Log'!$B$2:$B$500,$A16,'Findings &amp; Escapes Log'!$L$2:$L$500,"Open")+COUNTIFS('Findings &amp; Escapes Log'!$B$2:$B$500,$A16,'Findings &amp; Escapes Log'!$L$2:$L$500,"In work"))</f>
        <v/>
      </c>
      <c r="K16" s="8" t="str">
        <f aca="false">IF($A16="","",COUNTIFS('Findings &amp; Escapes Log'!$B$2:$B$500,$A16,'Findings &amp; Escapes Log'!$H$2:$H$500,"Y"))</f>
        <v/>
      </c>
      <c r="L16" s="8" t="str">
        <f aca="false">IF($A16="","",COUNTIFS('Actions Log'!$B$2:$B$500,$A16,'Actions Log'!$I$2:$I$500,"Open")+COUNTIFS('Actions Log'!$B$2:$B$500,$A16,'Actions Log'!$I$2:$I$500,"In work")+COUNTIFS('Actions Log'!$B$2:$B$500,$A16,'Actions Log'!$I$2:$I$500,"Overdue"))</f>
        <v/>
      </c>
      <c r="M16" s="6"/>
      <c r="N16" s="6"/>
      <c r="O16" s="6"/>
      <c r="P16" s="6"/>
      <c r="Q16" s="6"/>
      <c r="R16" s="6"/>
      <c r="S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8" t="str">
        <f aca="false">IF($A17="","",COUNTIF('SDRL Receipt Log'!$B$2:$B$1000,$A17))</f>
        <v/>
      </c>
      <c r="G17" s="8" t="str">
        <f aca="false">IF($A17="","",COUNTIFS('SDRL Receipt Log'!$B$2:$B$1000,$A17,'SDRL Receipt Log'!$J$2:$J$1000,"Accepted first-pass"))</f>
        <v/>
      </c>
      <c r="H17" s="8" t="str">
        <f aca="false">IF($A17="","",COUNTIFS('SDRL Receipt Log'!$B$2:$B$1000,$A17,'SDRL Receipt Log'!$J$2:$J$1000,"Rejected"))</f>
        <v/>
      </c>
      <c r="I17" s="9" t="str">
        <f aca="false">IF(OR($A17="",F17=0),"",G17/F17)</f>
        <v/>
      </c>
      <c r="J17" s="8" t="str">
        <f aca="false">IF($A17="","",COUNTIFS('Findings &amp; Escapes Log'!$B$2:$B$500,$A17,'Findings &amp; Escapes Log'!$L$2:$L$500,"Open")+COUNTIFS('Findings &amp; Escapes Log'!$B$2:$B$500,$A17,'Findings &amp; Escapes Log'!$L$2:$L$500,"In work"))</f>
        <v/>
      </c>
      <c r="K17" s="8" t="str">
        <f aca="false">IF($A17="","",COUNTIFS('Findings &amp; Escapes Log'!$B$2:$B$500,$A17,'Findings &amp; Escapes Log'!$H$2:$H$500,"Y"))</f>
        <v/>
      </c>
      <c r="L17" s="8" t="str">
        <f aca="false">IF($A17="","",COUNTIFS('Actions Log'!$B$2:$B$500,$A17,'Actions Log'!$I$2:$I$500,"Open")+COUNTIFS('Actions Log'!$B$2:$B$500,$A17,'Actions Log'!$I$2:$I$500,"In work")+COUNTIFS('Actions Log'!$B$2:$B$500,$A17,'Actions Log'!$I$2:$I$500,"Overdue"))</f>
        <v/>
      </c>
      <c r="M17" s="6"/>
      <c r="N17" s="6"/>
      <c r="O17" s="6"/>
      <c r="P17" s="6"/>
      <c r="Q17" s="6"/>
      <c r="R17" s="6"/>
      <c r="S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8" t="str">
        <f aca="false">IF($A18="","",COUNTIF('SDRL Receipt Log'!$B$2:$B$1000,$A18))</f>
        <v/>
      </c>
      <c r="G18" s="8" t="str">
        <f aca="false">IF($A18="","",COUNTIFS('SDRL Receipt Log'!$B$2:$B$1000,$A18,'SDRL Receipt Log'!$J$2:$J$1000,"Accepted first-pass"))</f>
        <v/>
      </c>
      <c r="H18" s="8" t="str">
        <f aca="false">IF($A18="","",COUNTIFS('SDRL Receipt Log'!$B$2:$B$1000,$A18,'SDRL Receipt Log'!$J$2:$J$1000,"Rejected"))</f>
        <v/>
      </c>
      <c r="I18" s="9" t="str">
        <f aca="false">IF(OR($A18="",F18=0),"",G18/F18)</f>
        <v/>
      </c>
      <c r="J18" s="8" t="str">
        <f aca="false">IF($A18="","",COUNTIFS('Findings &amp; Escapes Log'!$B$2:$B$500,$A18,'Findings &amp; Escapes Log'!$L$2:$L$500,"Open")+COUNTIFS('Findings &amp; Escapes Log'!$B$2:$B$500,$A18,'Findings &amp; Escapes Log'!$L$2:$L$500,"In work"))</f>
        <v/>
      </c>
      <c r="K18" s="8" t="str">
        <f aca="false">IF($A18="","",COUNTIFS('Findings &amp; Escapes Log'!$B$2:$B$500,$A18,'Findings &amp; Escapes Log'!$H$2:$H$500,"Y"))</f>
        <v/>
      </c>
      <c r="L18" s="8" t="str">
        <f aca="false">IF($A18="","",COUNTIFS('Actions Log'!$B$2:$B$500,$A18,'Actions Log'!$I$2:$I$500,"Open")+COUNTIFS('Actions Log'!$B$2:$B$500,$A18,'Actions Log'!$I$2:$I$500,"In work")+COUNTIFS('Actions Log'!$B$2:$B$500,$A18,'Actions Log'!$I$2:$I$500,"Overdue"))</f>
        <v/>
      </c>
      <c r="M18" s="6"/>
      <c r="N18" s="6"/>
      <c r="O18" s="6"/>
      <c r="P18" s="6"/>
      <c r="Q18" s="6"/>
      <c r="R18" s="6"/>
      <c r="S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8" t="str">
        <f aca="false">IF($A19="","",COUNTIF('SDRL Receipt Log'!$B$2:$B$1000,$A19))</f>
        <v/>
      </c>
      <c r="G19" s="8" t="str">
        <f aca="false">IF($A19="","",COUNTIFS('SDRL Receipt Log'!$B$2:$B$1000,$A19,'SDRL Receipt Log'!$J$2:$J$1000,"Accepted first-pass"))</f>
        <v/>
      </c>
      <c r="H19" s="8" t="str">
        <f aca="false">IF($A19="","",COUNTIFS('SDRL Receipt Log'!$B$2:$B$1000,$A19,'SDRL Receipt Log'!$J$2:$J$1000,"Rejected"))</f>
        <v/>
      </c>
      <c r="I19" s="9" t="str">
        <f aca="false">IF(OR($A19="",F19=0),"",G19/F19)</f>
        <v/>
      </c>
      <c r="J19" s="8" t="str">
        <f aca="false">IF($A19="","",COUNTIFS('Findings &amp; Escapes Log'!$B$2:$B$500,$A19,'Findings &amp; Escapes Log'!$L$2:$L$500,"Open")+COUNTIFS('Findings &amp; Escapes Log'!$B$2:$B$500,$A19,'Findings &amp; Escapes Log'!$L$2:$L$500,"In work"))</f>
        <v/>
      </c>
      <c r="K19" s="8" t="str">
        <f aca="false">IF($A19="","",COUNTIFS('Findings &amp; Escapes Log'!$B$2:$B$500,$A19,'Findings &amp; Escapes Log'!$H$2:$H$500,"Y"))</f>
        <v/>
      </c>
      <c r="L19" s="8" t="str">
        <f aca="false">IF($A19="","",COUNTIFS('Actions Log'!$B$2:$B$500,$A19,'Actions Log'!$I$2:$I$500,"Open")+COUNTIFS('Actions Log'!$B$2:$B$500,$A19,'Actions Log'!$I$2:$I$500,"In work")+COUNTIFS('Actions Log'!$B$2:$B$500,$A19,'Actions Log'!$I$2:$I$500,"Overdue"))</f>
        <v/>
      </c>
      <c r="M19" s="6"/>
      <c r="N19" s="6"/>
      <c r="O19" s="6"/>
      <c r="P19" s="6"/>
      <c r="Q19" s="6"/>
      <c r="R19" s="6"/>
      <c r="S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8" t="str">
        <f aca="false">IF($A20="","",COUNTIF('SDRL Receipt Log'!$B$2:$B$1000,$A20))</f>
        <v/>
      </c>
      <c r="G20" s="8" t="str">
        <f aca="false">IF($A20="","",COUNTIFS('SDRL Receipt Log'!$B$2:$B$1000,$A20,'SDRL Receipt Log'!$J$2:$J$1000,"Accepted first-pass"))</f>
        <v/>
      </c>
      <c r="H20" s="8" t="str">
        <f aca="false">IF($A20="","",COUNTIFS('SDRL Receipt Log'!$B$2:$B$1000,$A20,'SDRL Receipt Log'!$J$2:$J$1000,"Rejected"))</f>
        <v/>
      </c>
      <c r="I20" s="9" t="str">
        <f aca="false">IF(OR($A20="",F20=0),"",G20/F20)</f>
        <v/>
      </c>
      <c r="J20" s="8" t="str">
        <f aca="false">IF($A20="","",COUNTIFS('Findings &amp; Escapes Log'!$B$2:$B$500,$A20,'Findings &amp; Escapes Log'!$L$2:$L$500,"Open")+COUNTIFS('Findings &amp; Escapes Log'!$B$2:$B$500,$A20,'Findings &amp; Escapes Log'!$L$2:$L$500,"In work"))</f>
        <v/>
      </c>
      <c r="K20" s="8" t="str">
        <f aca="false">IF($A20="","",COUNTIFS('Findings &amp; Escapes Log'!$B$2:$B$500,$A20,'Findings &amp; Escapes Log'!$H$2:$H$500,"Y"))</f>
        <v/>
      </c>
      <c r="L20" s="8" t="str">
        <f aca="false">IF($A20="","",COUNTIFS('Actions Log'!$B$2:$B$500,$A20,'Actions Log'!$I$2:$I$500,"Open")+COUNTIFS('Actions Log'!$B$2:$B$500,$A20,'Actions Log'!$I$2:$I$500,"In work")+COUNTIFS('Actions Log'!$B$2:$B$500,$A20,'Actions Log'!$I$2:$I$500,"Overdue"))</f>
        <v/>
      </c>
      <c r="M20" s="6"/>
      <c r="N20" s="6"/>
      <c r="O20" s="6"/>
      <c r="P20" s="6"/>
      <c r="Q20" s="6"/>
      <c r="R20" s="6"/>
      <c r="S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8" t="str">
        <f aca="false">IF($A21="","",COUNTIF('SDRL Receipt Log'!$B$2:$B$1000,$A21))</f>
        <v/>
      </c>
      <c r="G21" s="8" t="str">
        <f aca="false">IF($A21="","",COUNTIFS('SDRL Receipt Log'!$B$2:$B$1000,$A21,'SDRL Receipt Log'!$J$2:$J$1000,"Accepted first-pass"))</f>
        <v/>
      </c>
      <c r="H21" s="8" t="str">
        <f aca="false">IF($A21="","",COUNTIFS('SDRL Receipt Log'!$B$2:$B$1000,$A21,'SDRL Receipt Log'!$J$2:$J$1000,"Rejected"))</f>
        <v/>
      </c>
      <c r="I21" s="9" t="str">
        <f aca="false">IF(OR($A21="",F21=0),"",G21/F21)</f>
        <v/>
      </c>
      <c r="J21" s="8" t="str">
        <f aca="false">IF($A21="","",COUNTIFS('Findings &amp; Escapes Log'!$B$2:$B$500,$A21,'Findings &amp; Escapes Log'!$L$2:$L$500,"Open")+COUNTIFS('Findings &amp; Escapes Log'!$B$2:$B$500,$A21,'Findings &amp; Escapes Log'!$L$2:$L$500,"In work"))</f>
        <v/>
      </c>
      <c r="K21" s="8" t="str">
        <f aca="false">IF($A21="","",COUNTIFS('Findings &amp; Escapes Log'!$B$2:$B$500,$A21,'Findings &amp; Escapes Log'!$H$2:$H$500,"Y"))</f>
        <v/>
      </c>
      <c r="L21" s="8" t="str">
        <f aca="false">IF($A21="","",COUNTIFS('Actions Log'!$B$2:$B$500,$A21,'Actions Log'!$I$2:$I$500,"Open")+COUNTIFS('Actions Log'!$B$2:$B$500,$A21,'Actions Log'!$I$2:$I$500,"In work")+COUNTIFS('Actions Log'!$B$2:$B$500,$A21,'Actions Log'!$I$2:$I$500,"Overdue"))</f>
        <v/>
      </c>
      <c r="M21" s="6"/>
      <c r="N21" s="6"/>
      <c r="O21" s="6"/>
      <c r="P21" s="6"/>
      <c r="Q21" s="6"/>
      <c r="R21" s="6"/>
      <c r="S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8" t="str">
        <f aca="false">IF($A22="","",COUNTIF('SDRL Receipt Log'!$B$2:$B$1000,$A22))</f>
        <v/>
      </c>
      <c r="G22" s="8" t="str">
        <f aca="false">IF($A22="","",COUNTIFS('SDRL Receipt Log'!$B$2:$B$1000,$A22,'SDRL Receipt Log'!$J$2:$J$1000,"Accepted first-pass"))</f>
        <v/>
      </c>
      <c r="H22" s="8" t="str">
        <f aca="false">IF($A22="","",COUNTIFS('SDRL Receipt Log'!$B$2:$B$1000,$A22,'SDRL Receipt Log'!$J$2:$J$1000,"Rejected"))</f>
        <v/>
      </c>
      <c r="I22" s="9" t="str">
        <f aca="false">IF(OR($A22="",F22=0),"",G22/F22)</f>
        <v/>
      </c>
      <c r="J22" s="8" t="str">
        <f aca="false">IF($A22="","",COUNTIFS('Findings &amp; Escapes Log'!$B$2:$B$500,$A22,'Findings &amp; Escapes Log'!$L$2:$L$500,"Open")+COUNTIFS('Findings &amp; Escapes Log'!$B$2:$B$500,$A22,'Findings &amp; Escapes Log'!$L$2:$L$500,"In work"))</f>
        <v/>
      </c>
      <c r="K22" s="8" t="str">
        <f aca="false">IF($A22="","",COUNTIFS('Findings &amp; Escapes Log'!$B$2:$B$500,$A22,'Findings &amp; Escapes Log'!$H$2:$H$500,"Y"))</f>
        <v/>
      </c>
      <c r="L22" s="8" t="str">
        <f aca="false">IF($A22="","",COUNTIFS('Actions Log'!$B$2:$B$500,$A22,'Actions Log'!$I$2:$I$500,"Open")+COUNTIFS('Actions Log'!$B$2:$B$500,$A22,'Actions Log'!$I$2:$I$500,"In work")+COUNTIFS('Actions Log'!$B$2:$B$500,$A22,'Actions Log'!$I$2:$I$500,"Overdue"))</f>
        <v/>
      </c>
      <c r="M22" s="6"/>
      <c r="N22" s="6"/>
      <c r="O22" s="6"/>
      <c r="P22" s="6"/>
      <c r="Q22" s="6"/>
      <c r="R22" s="6"/>
      <c r="S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8" t="str">
        <f aca="false">IF($A23="","",COUNTIF('SDRL Receipt Log'!$B$2:$B$1000,$A23))</f>
        <v/>
      </c>
      <c r="G23" s="8" t="str">
        <f aca="false">IF($A23="","",COUNTIFS('SDRL Receipt Log'!$B$2:$B$1000,$A23,'SDRL Receipt Log'!$J$2:$J$1000,"Accepted first-pass"))</f>
        <v/>
      </c>
      <c r="H23" s="8" t="str">
        <f aca="false">IF($A23="","",COUNTIFS('SDRL Receipt Log'!$B$2:$B$1000,$A23,'SDRL Receipt Log'!$J$2:$J$1000,"Rejected"))</f>
        <v/>
      </c>
      <c r="I23" s="9" t="str">
        <f aca="false">IF(OR($A23="",F23=0),"",G23/F23)</f>
        <v/>
      </c>
      <c r="J23" s="8" t="str">
        <f aca="false">IF($A23="","",COUNTIFS('Findings &amp; Escapes Log'!$B$2:$B$500,$A23,'Findings &amp; Escapes Log'!$L$2:$L$500,"Open")+COUNTIFS('Findings &amp; Escapes Log'!$B$2:$B$500,$A23,'Findings &amp; Escapes Log'!$L$2:$L$500,"In work"))</f>
        <v/>
      </c>
      <c r="K23" s="8" t="str">
        <f aca="false">IF($A23="","",COUNTIFS('Findings &amp; Escapes Log'!$B$2:$B$500,$A23,'Findings &amp; Escapes Log'!$H$2:$H$500,"Y"))</f>
        <v/>
      </c>
      <c r="L23" s="8" t="str">
        <f aca="false">IF($A23="","",COUNTIFS('Actions Log'!$B$2:$B$500,$A23,'Actions Log'!$I$2:$I$500,"Open")+COUNTIFS('Actions Log'!$B$2:$B$500,$A23,'Actions Log'!$I$2:$I$500,"In work")+COUNTIFS('Actions Log'!$B$2:$B$500,$A23,'Actions Log'!$I$2:$I$500,"Overdue"))</f>
        <v/>
      </c>
      <c r="M23" s="6"/>
      <c r="N23" s="6"/>
      <c r="O23" s="6"/>
      <c r="P23" s="6"/>
      <c r="Q23" s="6"/>
      <c r="R23" s="6"/>
      <c r="S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8" t="str">
        <f aca="false">IF($A24="","",COUNTIF('SDRL Receipt Log'!$B$2:$B$1000,$A24))</f>
        <v/>
      </c>
      <c r="G24" s="8" t="str">
        <f aca="false">IF($A24="","",COUNTIFS('SDRL Receipt Log'!$B$2:$B$1000,$A24,'SDRL Receipt Log'!$J$2:$J$1000,"Accepted first-pass"))</f>
        <v/>
      </c>
      <c r="H24" s="8" t="str">
        <f aca="false">IF($A24="","",COUNTIFS('SDRL Receipt Log'!$B$2:$B$1000,$A24,'SDRL Receipt Log'!$J$2:$J$1000,"Rejected"))</f>
        <v/>
      </c>
      <c r="I24" s="9" t="str">
        <f aca="false">IF(OR($A24="",F24=0),"",G24/F24)</f>
        <v/>
      </c>
      <c r="J24" s="8" t="str">
        <f aca="false">IF($A24="","",COUNTIFS('Findings &amp; Escapes Log'!$B$2:$B$500,$A24,'Findings &amp; Escapes Log'!$L$2:$L$500,"Open")+COUNTIFS('Findings &amp; Escapes Log'!$B$2:$B$500,$A24,'Findings &amp; Escapes Log'!$L$2:$L$500,"In work"))</f>
        <v/>
      </c>
      <c r="K24" s="8" t="str">
        <f aca="false">IF($A24="","",COUNTIFS('Findings &amp; Escapes Log'!$B$2:$B$500,$A24,'Findings &amp; Escapes Log'!$H$2:$H$500,"Y"))</f>
        <v/>
      </c>
      <c r="L24" s="8" t="str">
        <f aca="false">IF($A24="","",COUNTIFS('Actions Log'!$B$2:$B$500,$A24,'Actions Log'!$I$2:$I$500,"Open")+COUNTIFS('Actions Log'!$B$2:$B$500,$A24,'Actions Log'!$I$2:$I$500,"In work")+COUNTIFS('Actions Log'!$B$2:$B$500,$A24,'Actions Log'!$I$2:$I$500,"Overdue"))</f>
        <v/>
      </c>
      <c r="M24" s="6"/>
      <c r="N24" s="6"/>
      <c r="O24" s="6"/>
      <c r="P24" s="6"/>
      <c r="Q24" s="6"/>
      <c r="R24" s="6"/>
      <c r="S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8" t="str">
        <f aca="false">IF($A25="","",COUNTIF('SDRL Receipt Log'!$B$2:$B$1000,$A25))</f>
        <v/>
      </c>
      <c r="G25" s="8" t="str">
        <f aca="false">IF($A25="","",COUNTIFS('SDRL Receipt Log'!$B$2:$B$1000,$A25,'SDRL Receipt Log'!$J$2:$J$1000,"Accepted first-pass"))</f>
        <v/>
      </c>
      <c r="H25" s="8" t="str">
        <f aca="false">IF($A25="","",COUNTIFS('SDRL Receipt Log'!$B$2:$B$1000,$A25,'SDRL Receipt Log'!$J$2:$J$1000,"Rejected"))</f>
        <v/>
      </c>
      <c r="I25" s="9" t="str">
        <f aca="false">IF(OR($A25="",F25=0),"",G25/F25)</f>
        <v/>
      </c>
      <c r="J25" s="8" t="str">
        <f aca="false">IF($A25="","",COUNTIFS('Findings &amp; Escapes Log'!$B$2:$B$500,$A25,'Findings &amp; Escapes Log'!$L$2:$L$500,"Open")+COUNTIFS('Findings &amp; Escapes Log'!$B$2:$B$500,$A25,'Findings &amp; Escapes Log'!$L$2:$L$500,"In work"))</f>
        <v/>
      </c>
      <c r="K25" s="8" t="str">
        <f aca="false">IF($A25="","",COUNTIFS('Findings &amp; Escapes Log'!$B$2:$B$500,$A25,'Findings &amp; Escapes Log'!$H$2:$H$500,"Y"))</f>
        <v/>
      </c>
      <c r="L25" s="8" t="str">
        <f aca="false">IF($A25="","",COUNTIFS('Actions Log'!$B$2:$B$500,$A25,'Actions Log'!$I$2:$I$500,"Open")+COUNTIFS('Actions Log'!$B$2:$B$500,$A25,'Actions Log'!$I$2:$I$500,"In work")+COUNTIFS('Actions Log'!$B$2:$B$500,$A25,'Actions Log'!$I$2:$I$500,"Overdue"))</f>
        <v/>
      </c>
      <c r="M25" s="6"/>
      <c r="N25" s="6"/>
      <c r="O25" s="6"/>
      <c r="P25" s="6"/>
      <c r="Q25" s="6"/>
      <c r="R25" s="6"/>
      <c r="S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8" t="str">
        <f aca="false">IF($A26="","",COUNTIF('SDRL Receipt Log'!$B$2:$B$1000,$A26))</f>
        <v/>
      </c>
      <c r="G26" s="8" t="str">
        <f aca="false">IF($A26="","",COUNTIFS('SDRL Receipt Log'!$B$2:$B$1000,$A26,'SDRL Receipt Log'!$J$2:$J$1000,"Accepted first-pass"))</f>
        <v/>
      </c>
      <c r="H26" s="8" t="str">
        <f aca="false">IF($A26="","",COUNTIFS('SDRL Receipt Log'!$B$2:$B$1000,$A26,'SDRL Receipt Log'!$J$2:$J$1000,"Rejected"))</f>
        <v/>
      </c>
      <c r="I26" s="9" t="str">
        <f aca="false">IF(OR($A26="",F26=0),"",G26/F26)</f>
        <v/>
      </c>
      <c r="J26" s="8" t="str">
        <f aca="false">IF($A26="","",COUNTIFS('Findings &amp; Escapes Log'!$B$2:$B$500,$A26,'Findings &amp; Escapes Log'!$L$2:$L$500,"Open")+COUNTIFS('Findings &amp; Escapes Log'!$B$2:$B$500,$A26,'Findings &amp; Escapes Log'!$L$2:$L$500,"In work"))</f>
        <v/>
      </c>
      <c r="K26" s="8" t="str">
        <f aca="false">IF($A26="","",COUNTIFS('Findings &amp; Escapes Log'!$B$2:$B$500,$A26,'Findings &amp; Escapes Log'!$H$2:$H$500,"Y"))</f>
        <v/>
      </c>
      <c r="L26" s="8" t="str">
        <f aca="false">IF($A26="","",COUNTIFS('Actions Log'!$B$2:$B$500,$A26,'Actions Log'!$I$2:$I$500,"Open")+COUNTIFS('Actions Log'!$B$2:$B$500,$A26,'Actions Log'!$I$2:$I$500,"In work")+COUNTIFS('Actions Log'!$B$2:$B$500,$A26,'Actions Log'!$I$2:$I$500,"Overdue"))</f>
        <v/>
      </c>
      <c r="M26" s="6"/>
      <c r="N26" s="6"/>
      <c r="O26" s="6"/>
      <c r="P26" s="6"/>
      <c r="Q26" s="6"/>
      <c r="R26" s="6"/>
      <c r="S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8" t="str">
        <f aca="false">IF($A27="","",COUNTIF('SDRL Receipt Log'!$B$2:$B$1000,$A27))</f>
        <v/>
      </c>
      <c r="G27" s="8" t="str">
        <f aca="false">IF($A27="","",COUNTIFS('SDRL Receipt Log'!$B$2:$B$1000,$A27,'SDRL Receipt Log'!$J$2:$J$1000,"Accepted first-pass"))</f>
        <v/>
      </c>
      <c r="H27" s="8" t="str">
        <f aca="false">IF($A27="","",COUNTIFS('SDRL Receipt Log'!$B$2:$B$1000,$A27,'SDRL Receipt Log'!$J$2:$J$1000,"Rejected"))</f>
        <v/>
      </c>
      <c r="I27" s="9" t="str">
        <f aca="false">IF(OR($A27="",F27=0),"",G27/F27)</f>
        <v/>
      </c>
      <c r="J27" s="8" t="str">
        <f aca="false">IF($A27="","",COUNTIFS('Findings &amp; Escapes Log'!$B$2:$B$500,$A27,'Findings &amp; Escapes Log'!$L$2:$L$500,"Open")+COUNTIFS('Findings &amp; Escapes Log'!$B$2:$B$500,$A27,'Findings &amp; Escapes Log'!$L$2:$L$500,"In work"))</f>
        <v/>
      </c>
      <c r="K27" s="8" t="str">
        <f aca="false">IF($A27="","",COUNTIFS('Findings &amp; Escapes Log'!$B$2:$B$500,$A27,'Findings &amp; Escapes Log'!$H$2:$H$500,"Y"))</f>
        <v/>
      </c>
      <c r="L27" s="8" t="str">
        <f aca="false">IF($A27="","",COUNTIFS('Actions Log'!$B$2:$B$500,$A27,'Actions Log'!$I$2:$I$500,"Open")+COUNTIFS('Actions Log'!$B$2:$B$500,$A27,'Actions Log'!$I$2:$I$500,"In work")+COUNTIFS('Actions Log'!$B$2:$B$500,$A27,'Actions Log'!$I$2:$I$500,"Overdue"))</f>
        <v/>
      </c>
      <c r="M27" s="6"/>
      <c r="N27" s="6"/>
      <c r="O27" s="6"/>
      <c r="P27" s="6"/>
      <c r="Q27" s="6"/>
      <c r="R27" s="6"/>
      <c r="S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8" t="str">
        <f aca="false">IF($A28="","",COUNTIF('SDRL Receipt Log'!$B$2:$B$1000,$A28))</f>
        <v/>
      </c>
      <c r="G28" s="8" t="str">
        <f aca="false">IF($A28="","",COUNTIFS('SDRL Receipt Log'!$B$2:$B$1000,$A28,'SDRL Receipt Log'!$J$2:$J$1000,"Accepted first-pass"))</f>
        <v/>
      </c>
      <c r="H28" s="8" t="str">
        <f aca="false">IF($A28="","",COUNTIFS('SDRL Receipt Log'!$B$2:$B$1000,$A28,'SDRL Receipt Log'!$J$2:$J$1000,"Rejected"))</f>
        <v/>
      </c>
      <c r="I28" s="9" t="str">
        <f aca="false">IF(OR($A28="",F28=0),"",G28/F28)</f>
        <v/>
      </c>
      <c r="J28" s="8" t="str">
        <f aca="false">IF($A28="","",COUNTIFS('Findings &amp; Escapes Log'!$B$2:$B$500,$A28,'Findings &amp; Escapes Log'!$L$2:$L$500,"Open")+COUNTIFS('Findings &amp; Escapes Log'!$B$2:$B$500,$A28,'Findings &amp; Escapes Log'!$L$2:$L$500,"In work"))</f>
        <v/>
      </c>
      <c r="K28" s="8" t="str">
        <f aca="false">IF($A28="","",COUNTIFS('Findings &amp; Escapes Log'!$B$2:$B$500,$A28,'Findings &amp; Escapes Log'!$H$2:$H$500,"Y"))</f>
        <v/>
      </c>
      <c r="L28" s="8" t="str">
        <f aca="false">IF($A28="","",COUNTIFS('Actions Log'!$B$2:$B$500,$A28,'Actions Log'!$I$2:$I$500,"Open")+COUNTIFS('Actions Log'!$B$2:$B$500,$A28,'Actions Log'!$I$2:$I$500,"In work")+COUNTIFS('Actions Log'!$B$2:$B$500,$A28,'Actions Log'!$I$2:$I$500,"Overdue"))</f>
        <v/>
      </c>
      <c r="M28" s="6"/>
      <c r="N28" s="6"/>
      <c r="O28" s="6"/>
      <c r="P28" s="6"/>
      <c r="Q28" s="6"/>
      <c r="R28" s="6"/>
      <c r="S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8" t="str">
        <f aca="false">IF($A29="","",COUNTIF('SDRL Receipt Log'!$B$2:$B$1000,$A29))</f>
        <v/>
      </c>
      <c r="G29" s="8" t="str">
        <f aca="false">IF($A29="","",COUNTIFS('SDRL Receipt Log'!$B$2:$B$1000,$A29,'SDRL Receipt Log'!$J$2:$J$1000,"Accepted first-pass"))</f>
        <v/>
      </c>
      <c r="H29" s="8" t="str">
        <f aca="false">IF($A29="","",COUNTIFS('SDRL Receipt Log'!$B$2:$B$1000,$A29,'SDRL Receipt Log'!$J$2:$J$1000,"Rejected"))</f>
        <v/>
      </c>
      <c r="I29" s="9" t="str">
        <f aca="false">IF(OR($A29="",F29=0),"",G29/F29)</f>
        <v/>
      </c>
      <c r="J29" s="8" t="str">
        <f aca="false">IF($A29="","",COUNTIFS('Findings &amp; Escapes Log'!$B$2:$B$500,$A29,'Findings &amp; Escapes Log'!$L$2:$L$500,"Open")+COUNTIFS('Findings &amp; Escapes Log'!$B$2:$B$500,$A29,'Findings &amp; Escapes Log'!$L$2:$L$500,"In work"))</f>
        <v/>
      </c>
      <c r="K29" s="8" t="str">
        <f aca="false">IF($A29="","",COUNTIFS('Findings &amp; Escapes Log'!$B$2:$B$500,$A29,'Findings &amp; Escapes Log'!$H$2:$H$500,"Y"))</f>
        <v/>
      </c>
      <c r="L29" s="8" t="str">
        <f aca="false">IF($A29="","",COUNTIFS('Actions Log'!$B$2:$B$500,$A29,'Actions Log'!$I$2:$I$500,"Open")+COUNTIFS('Actions Log'!$B$2:$B$500,$A29,'Actions Log'!$I$2:$I$500,"In work")+COUNTIFS('Actions Log'!$B$2:$B$500,$A29,'Actions Log'!$I$2:$I$500,"Overdue"))</f>
        <v/>
      </c>
      <c r="M29" s="6"/>
      <c r="N29" s="6"/>
      <c r="O29" s="6"/>
      <c r="P29" s="6"/>
      <c r="Q29" s="6"/>
      <c r="R29" s="6"/>
      <c r="S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8" t="str">
        <f aca="false">IF($A30="","",COUNTIF('SDRL Receipt Log'!$B$2:$B$1000,$A30))</f>
        <v/>
      </c>
      <c r="G30" s="8" t="str">
        <f aca="false">IF($A30="","",COUNTIFS('SDRL Receipt Log'!$B$2:$B$1000,$A30,'SDRL Receipt Log'!$J$2:$J$1000,"Accepted first-pass"))</f>
        <v/>
      </c>
      <c r="H30" s="8" t="str">
        <f aca="false">IF($A30="","",COUNTIFS('SDRL Receipt Log'!$B$2:$B$1000,$A30,'SDRL Receipt Log'!$J$2:$J$1000,"Rejected"))</f>
        <v/>
      </c>
      <c r="I30" s="9" t="str">
        <f aca="false">IF(OR($A30="",F30=0),"",G30/F30)</f>
        <v/>
      </c>
      <c r="J30" s="8" t="str">
        <f aca="false">IF($A30="","",COUNTIFS('Findings &amp; Escapes Log'!$B$2:$B$500,$A30,'Findings &amp; Escapes Log'!$L$2:$L$500,"Open")+COUNTIFS('Findings &amp; Escapes Log'!$B$2:$B$500,$A30,'Findings &amp; Escapes Log'!$L$2:$L$500,"In work"))</f>
        <v/>
      </c>
      <c r="K30" s="8" t="str">
        <f aca="false">IF($A30="","",COUNTIFS('Findings &amp; Escapes Log'!$B$2:$B$500,$A30,'Findings &amp; Escapes Log'!$H$2:$H$500,"Y"))</f>
        <v/>
      </c>
      <c r="L30" s="8" t="str">
        <f aca="false">IF($A30="","",COUNTIFS('Actions Log'!$B$2:$B$500,$A30,'Actions Log'!$I$2:$I$500,"Open")+COUNTIFS('Actions Log'!$B$2:$B$500,$A30,'Actions Log'!$I$2:$I$500,"In work")+COUNTIFS('Actions Log'!$B$2:$B$500,$A30,'Actions Log'!$I$2:$I$500,"Overdue"))</f>
        <v/>
      </c>
      <c r="M30" s="6"/>
      <c r="N30" s="6"/>
      <c r="O30" s="6"/>
      <c r="P30" s="6"/>
      <c r="Q30" s="6"/>
      <c r="R30" s="6"/>
      <c r="S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8" t="str">
        <f aca="false">IF($A31="","",COUNTIF('SDRL Receipt Log'!$B$2:$B$1000,$A31))</f>
        <v/>
      </c>
      <c r="G31" s="8" t="str">
        <f aca="false">IF($A31="","",COUNTIFS('SDRL Receipt Log'!$B$2:$B$1000,$A31,'SDRL Receipt Log'!$J$2:$J$1000,"Accepted first-pass"))</f>
        <v/>
      </c>
      <c r="H31" s="8" t="str">
        <f aca="false">IF($A31="","",COUNTIFS('SDRL Receipt Log'!$B$2:$B$1000,$A31,'SDRL Receipt Log'!$J$2:$J$1000,"Rejected"))</f>
        <v/>
      </c>
      <c r="I31" s="9" t="str">
        <f aca="false">IF(OR($A31="",F31=0),"",G31/F31)</f>
        <v/>
      </c>
      <c r="J31" s="8" t="str">
        <f aca="false">IF($A31="","",COUNTIFS('Findings &amp; Escapes Log'!$B$2:$B$500,$A31,'Findings &amp; Escapes Log'!$L$2:$L$500,"Open")+COUNTIFS('Findings &amp; Escapes Log'!$B$2:$B$500,$A31,'Findings &amp; Escapes Log'!$L$2:$L$500,"In work"))</f>
        <v/>
      </c>
      <c r="K31" s="8" t="str">
        <f aca="false">IF($A31="","",COUNTIFS('Findings &amp; Escapes Log'!$B$2:$B$500,$A31,'Findings &amp; Escapes Log'!$H$2:$H$500,"Y"))</f>
        <v/>
      </c>
      <c r="L31" s="8" t="str">
        <f aca="false">IF($A31="","",COUNTIFS('Actions Log'!$B$2:$B$500,$A31,'Actions Log'!$I$2:$I$500,"Open")+COUNTIFS('Actions Log'!$B$2:$B$500,$A31,'Actions Log'!$I$2:$I$500,"In work")+COUNTIFS('Actions Log'!$B$2:$B$500,$A31,'Actions Log'!$I$2:$I$500,"Overdue"))</f>
        <v/>
      </c>
      <c r="M31" s="6"/>
      <c r="N31" s="6"/>
      <c r="O31" s="6"/>
      <c r="P31" s="6"/>
      <c r="Q31" s="6"/>
      <c r="R31" s="6"/>
      <c r="S31" s="6"/>
    </row>
  </sheetData>
  <autoFilter ref="A1:S1"/>
  <dataValidations count="2">
    <dataValidation allowBlank="true" errorStyle="stop" operator="between" showDropDown="false" showErrorMessage="false" showInputMessage="false" sqref="E2:E31" type="list">
      <formula1>Lists!$F$2:$F$4</formula1>
      <formula2>0</formula2>
    </dataValidation>
    <dataValidation allowBlank="true" errorStyle="stop" operator="between" showDropDown="false" showErrorMessage="false" showInputMessage="false" sqref="M2:M31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2" min="11" style="1" width="22"/>
  </cols>
  <sheetData>
    <row r="1" customFormat="false" ht="34.5" hidden="false" customHeight="true" outlineLevel="0" collapsed="false">
      <c r="A1" s="5" t="s">
        <v>133</v>
      </c>
      <c r="B1" s="5" t="s">
        <v>67</v>
      </c>
      <c r="C1" s="5" t="s">
        <v>68</v>
      </c>
      <c r="D1" s="5" t="s">
        <v>134</v>
      </c>
      <c r="E1" s="5" t="s">
        <v>135</v>
      </c>
      <c r="F1" s="5" t="s">
        <v>101</v>
      </c>
      <c r="G1" s="5" t="s">
        <v>136</v>
      </c>
      <c r="H1" s="5" t="s">
        <v>137</v>
      </c>
      <c r="I1" s="5" t="s">
        <v>105</v>
      </c>
      <c r="J1" s="5" t="s">
        <v>138</v>
      </c>
      <c r="K1" s="5" t="s">
        <v>139</v>
      </c>
      <c r="L1" s="5" t="s">
        <v>79</v>
      </c>
    </row>
    <row r="2" customFormat="false" ht="23.25" hidden="false" customHeight="true" outlineLevel="0" collapsed="false">
      <c r="A2" s="7" t="s">
        <v>112</v>
      </c>
      <c r="B2" s="7" t="s">
        <v>81</v>
      </c>
      <c r="C2" s="7" t="s">
        <v>82</v>
      </c>
      <c r="D2" s="7" t="s">
        <v>106</v>
      </c>
      <c r="E2" s="7" t="s">
        <v>140</v>
      </c>
      <c r="F2" s="7" t="s">
        <v>141</v>
      </c>
      <c r="G2" s="7" t="s">
        <v>90</v>
      </c>
      <c r="H2" s="7" t="s">
        <v>142</v>
      </c>
      <c r="I2" s="7" t="s">
        <v>113</v>
      </c>
      <c r="J2" s="7"/>
      <c r="K2" s="7"/>
      <c r="L2" s="7" t="s">
        <v>91</v>
      </c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</sheetData>
  <autoFilter ref="A1:L1"/>
  <dataValidations count="1">
    <dataValidation allowBlank="true" errorStyle="stop" operator="between" showDropDown="false" showErrorMessage="false" showInputMessage="false" sqref="I2:I500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143</v>
      </c>
    </row>
    <row r="2" customFormat="false" ht="15" hidden="false" customHeight="true" outlineLevel="0" collapsed="false">
      <c r="A2" s="10" t="s">
        <v>144</v>
      </c>
    </row>
    <row r="4" customFormat="false" ht="15" hidden="false" customHeight="true" outlineLevel="0" collapsed="false">
      <c r="A4" s="11" t="s">
        <v>145</v>
      </c>
      <c r="B4" s="12" t="n">
        <f aca="true">TODAY()</f>
        <v>46221</v>
      </c>
    </row>
    <row r="5" customFormat="false" ht="15" hidden="false" customHeight="true" outlineLevel="0" collapsed="false">
      <c r="A5" s="13" t="s">
        <v>146</v>
      </c>
      <c r="B5" s="11" t="n">
        <f aca="false">COUNTA('Supplier Evaluation Record'!$A$2:$A$31)</f>
        <v>1</v>
      </c>
    </row>
    <row r="6" customFormat="false" ht="15" hidden="false" customHeight="true" outlineLevel="0" collapsed="false">
      <c r="A6" s="13" t="s">
        <v>147</v>
      </c>
      <c r="B6" s="11" t="n">
        <f aca="false">COUNTIF('Supplier Evaluation Record'!$M$2:$M$31,"Effective")</f>
        <v>0</v>
      </c>
    </row>
    <row r="7" customFormat="false" ht="15" hidden="false" customHeight="true" outlineLevel="0" collapsed="false">
      <c r="A7" s="13" t="s">
        <v>148</v>
      </c>
      <c r="B7" s="11" t="n">
        <f aca="false">COUNTIF('Supplier Evaluation Record'!$M$2:$M$31,"Conditionally effective")</f>
        <v>0</v>
      </c>
    </row>
    <row r="8" customFormat="false" ht="15" hidden="false" customHeight="true" outlineLevel="0" collapsed="false">
      <c r="A8" s="13" t="s">
        <v>149</v>
      </c>
      <c r="B8" s="11" t="n">
        <f aca="false">COUNTIF('Supplier Evaluation Record'!$M$2:$M$31,"Ineffective")</f>
        <v>0</v>
      </c>
    </row>
    <row r="9" customFormat="false" ht="15" hidden="false" customHeight="true" outlineLevel="0" collapsed="false">
      <c r="A9" s="13" t="s">
        <v>131</v>
      </c>
      <c r="B9" s="11" t="n">
        <f aca="false">COUNTIF('Supplier Evaluation Record'!$M$2:$M$31,"Not yet determined")</f>
        <v>1</v>
      </c>
    </row>
    <row r="10" customFormat="false" ht="15" hidden="false" customHeight="true" outlineLevel="0" collapsed="false">
      <c r="A10" s="13" t="s">
        <v>150</v>
      </c>
      <c r="B10" s="11" t="n">
        <f aca="false">SUMPRODUCT(('Supplier Evaluation Record'!$A$2:$A$31&lt;&gt;"")*('Supplier Evaluation Record'!$O$2:$O$31&lt;&gt;"")*('Supplier Evaluation Record'!$O$2:$O$31&lt;$B$4))</f>
        <v>0</v>
      </c>
    </row>
    <row r="11" customFormat="false" ht="15" hidden="false" customHeight="true" outlineLevel="0" collapsed="false">
      <c r="A11" s="13" t="s">
        <v>151</v>
      </c>
      <c r="B11" s="11" t="n">
        <f aca="false">COUNTIF('Findings &amp; Escapes Log'!$L$2:$L$500,"Open")+COUNTIF('Findings &amp; Escapes Log'!$L$2:$L$500,"In work")</f>
        <v>1</v>
      </c>
    </row>
    <row r="12" customFormat="false" ht="15" hidden="false" customHeight="true" outlineLevel="0" collapsed="false">
      <c r="A12" s="13" t="s">
        <v>152</v>
      </c>
      <c r="B12" s="11" t="n">
        <f aca="false">COUNTIF('Findings &amp; Escapes Log'!$H$2:$H$500,"Y")</f>
        <v>1</v>
      </c>
    </row>
    <row r="13" customFormat="false" ht="15" hidden="false" customHeight="true" outlineLevel="0" collapsed="false">
      <c r="A13" s="13" t="s">
        <v>153</v>
      </c>
      <c r="B13" s="11" t="n">
        <f aca="false">COUNTIF('Actions Log'!$I$2:$I$500,"Open")+COUNTIF('Actions Log'!$I$2:$I$500,"In work")+COUNTIF('Actions Log'!$I$2:$I$500,"Overdue")</f>
        <v>1</v>
      </c>
    </row>
    <row r="14" customFormat="false" ht="15" hidden="false" customHeight="true" outlineLevel="0" collapsed="false">
      <c r="A14" s="13" t="s">
        <v>154</v>
      </c>
      <c r="B14" s="11" t="n">
        <f aca="false">COUNTA('SDRL Receipt Log'!$A$2:$A$1000)</f>
        <v>2</v>
      </c>
    </row>
    <row r="15" customFormat="false" ht="15" hidden="false" customHeight="true" outlineLevel="0" collapsed="false">
      <c r="A15" s="13" t="s">
        <v>155</v>
      </c>
      <c r="B15" s="14" t="n">
        <f aca="false">IF(COUNTIF('SDRL Receipt Log'!$J$2:$J$1000,"&lt;&gt;")=0,"",COUNTIF('SDRL Receipt Log'!$J$2:$J$1000,"Accepted first-pass")/COUNTIF('SDRL Receipt Log'!$J$2:$J$1000,"&lt;&gt;"))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44"/>
    <col collapsed="false" customWidth="true" hidden="false" outlineLevel="0" max="6" min="4" style="1" width="20"/>
  </cols>
  <sheetData>
    <row r="1" customFormat="false" ht="15" hidden="false" customHeight="true" outlineLevel="0" collapsed="false">
      <c r="A1" s="15" t="s">
        <v>156</v>
      </c>
      <c r="B1" s="15" t="s">
        <v>123</v>
      </c>
      <c r="C1" s="15" t="s">
        <v>100</v>
      </c>
      <c r="D1" s="15" t="s">
        <v>157</v>
      </c>
      <c r="E1" s="15" t="s">
        <v>158</v>
      </c>
      <c r="F1" s="15" t="s">
        <v>116</v>
      </c>
    </row>
    <row r="2" customFormat="false" ht="15" hidden="false" customHeight="true" outlineLevel="0" collapsed="false">
      <c r="A2" s="13" t="s">
        <v>159</v>
      </c>
      <c r="B2" s="13" t="s">
        <v>160</v>
      </c>
      <c r="C2" s="13" t="s">
        <v>108</v>
      </c>
      <c r="D2" s="13" t="s">
        <v>110</v>
      </c>
      <c r="E2" s="13" t="s">
        <v>113</v>
      </c>
      <c r="F2" s="13" t="s">
        <v>130</v>
      </c>
    </row>
    <row r="3" customFormat="false" ht="15" hidden="false" customHeight="true" outlineLevel="0" collapsed="false">
      <c r="A3" s="13" t="s">
        <v>161</v>
      </c>
      <c r="B3" s="13" t="s">
        <v>162</v>
      </c>
      <c r="C3" s="13" t="s">
        <v>163</v>
      </c>
      <c r="D3" s="13" t="s">
        <v>164</v>
      </c>
      <c r="E3" s="13" t="s">
        <v>165</v>
      </c>
      <c r="F3" s="13" t="s">
        <v>166</v>
      </c>
    </row>
    <row r="4" customFormat="false" ht="15" hidden="false" customHeight="true" outlineLevel="0" collapsed="false">
      <c r="A4" s="13" t="s">
        <v>167</v>
      </c>
      <c r="B4" s="13" t="s">
        <v>168</v>
      </c>
      <c r="C4" s="13" t="s">
        <v>169</v>
      </c>
      <c r="E4" s="13" t="s">
        <v>170</v>
      </c>
      <c r="F4" s="13" t="s">
        <v>171</v>
      </c>
    </row>
    <row r="5" customFormat="false" ht="15" hidden="false" customHeight="true" outlineLevel="0" collapsed="false">
      <c r="A5" s="13" t="s">
        <v>172</v>
      </c>
      <c r="B5" s="13" t="s">
        <v>131</v>
      </c>
      <c r="C5" s="13" t="s">
        <v>173</v>
      </c>
      <c r="E5" s="13" t="s">
        <v>174</v>
      </c>
    </row>
    <row r="6" customFormat="false" ht="15" hidden="false" customHeight="true" outlineLevel="0" collapsed="false">
      <c r="A6" s="13" t="s">
        <v>175</v>
      </c>
      <c r="C6" s="13" t="s">
        <v>176</v>
      </c>
    </row>
    <row r="7" customFormat="false" ht="15" hidden="false" customHeight="true" outlineLevel="0" collapsed="false">
      <c r="A7" s="13" t="s">
        <v>177</v>
      </c>
      <c r="C7" s="13" t="s">
        <v>178</v>
      </c>
    </row>
    <row r="8" customFormat="false" ht="15" hidden="false" customHeight="true" outlineLevel="0" collapsed="false">
      <c r="C8" s="13" t="s">
        <v>179</v>
      </c>
    </row>
    <row r="9" customFormat="false" ht="15" hidden="false" customHeight="true" outlineLevel="0" collapsed="false">
      <c r="C9" s="1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2026-07-18T03:48:08Z</dcterms:created>
  <dc:creator>openpyxl</dc:creator>
  <dc:description/>
  <dc:language>en-US</dc:language>
  <cp:lastModifiedBy/>
  <dcterms:modified xsi:type="dcterms:W3CDTF">2026-07-18T03:48:30Z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