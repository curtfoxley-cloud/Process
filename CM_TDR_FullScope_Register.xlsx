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Full Register" sheetId="2" state="visible" r:id="rId4"/>
    <sheet name="Evidence Pulls" sheetId="3" state="visible" r:id="rId5"/>
    <sheet name="Lists" sheetId="4" state="visible" r:id="rId6"/>
    <sheet name="CM Team Roster" sheetId="5" state="visible" r:id="rId7"/>
    <sheet name="Dashboard" sheetId="6" state="visible" r:id="rId8"/>
    <sheet name="Findings Log" sheetId="7" state="visible" r:id="rId9"/>
    <sheet name="Scope Notes" sheetId="8" state="visible" r:id="rId10"/>
  </sheets>
  <definedNames>
    <definedName function="false" hidden="true" localSheetId="1" name="_xlnm._FilterDatabase" vbProcedure="false">'Full Register'!$A$5:$T$279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<sst xmlns="http://schemas.openxmlformats.org/spreadsheetml/2006/main" count="2296" uniqueCount="718">
  <si>
    <t xml:space="preserve">How to fill this workbook</t>
  </si>
  <si>
    <t xml:space="preserve">Two sheets take input. Nothing else. Each block below fits one slide.</t>
  </si>
  <si>
    <t xml:space="preserve">CHART 1 - Evidence Pulls sheet: one row per set of records</t>
  </si>
  <si>
    <t xml:space="preserve">A pull is a single body of evidence that answers one or more requirements. One pull of classified ECPs answers all 32 Major-change criteria. One pull of audit records answers most of 3.5.1. Expect 60 to 90 pulls for 274 requirements.</t>
  </si>
  <si>
    <t xml:space="preserve">Col</t>
  </si>
  <si>
    <t xml:space="preserve">Field</t>
  </si>
  <si>
    <t xml:space="preserve">What goes in it</t>
  </si>
  <si>
    <t xml:space="preserve">A</t>
  </si>
  <si>
    <t xml:space="preserve">Pull ID</t>
  </si>
  <si>
    <t xml:space="preserve">Short and stable, e.g. EP-ECP-CLASS. This is the key the register points to.</t>
  </si>
  <si>
    <t xml:space="preserve">B</t>
  </si>
  <si>
    <t xml:space="preserve">What it covers</t>
  </si>
  <si>
    <t xml:space="preserve">One line. Which records, and roughly which requirements.</t>
  </si>
  <si>
    <t xml:space="preserve">C</t>
  </si>
  <si>
    <t xml:space="preserve">Process / Command Media Ref</t>
  </si>
  <si>
    <t xml:space="preserve">Document number and revision.</t>
  </si>
  <si>
    <t xml:space="preserve">D</t>
  </si>
  <si>
    <t xml:space="preserve">Tool / System</t>
  </si>
  <si>
    <t xml:space="preserve">Where the activity is carried.</t>
  </si>
  <si>
    <t xml:space="preserve">E</t>
  </si>
  <si>
    <t xml:space="preserve">Training / Competency Ref</t>
  </si>
  <si>
    <t xml:space="preserve">Course or competency code. Blank means none exists, which is itself a finding.</t>
  </si>
  <si>
    <t xml:space="preserve">F</t>
  </si>
  <si>
    <t xml:space="preserve">Named Executor(s)</t>
  </si>
  <si>
    <t xml:space="preserve">Individual names, semicolons between them. Roles and team names do not count.</t>
  </si>
  <si>
    <t xml:space="preserve">G</t>
  </si>
  <si>
    <t xml:space="preserve">Executor Function</t>
  </si>
  <si>
    <t xml:space="preserve">Pick from the list. This drives the concentration table.</t>
  </si>
  <si>
    <t xml:space="preserve">H</t>
  </si>
  <si>
    <t xml:space="preserve">Evidence Reference</t>
  </si>
  <si>
    <t xml:space="preserve">Where the records are. Query name, report ID, folder.</t>
  </si>
  <si>
    <t xml:space="preserve">I</t>
  </si>
  <si>
    <t xml:space="preserve">Sample Basis</t>
  </si>
  <si>
    <t xml:space="preserve">Population and period. 'All ECPs' is not a basis. 'All ECPs classified on [pgm] 2025-08 to 2026-07' is.</t>
  </si>
  <si>
    <t xml:space="preserve">J</t>
  </si>
  <si>
    <t xml:space="preserve">Sample Size</t>
  </si>
  <si>
    <t xml:space="preserve">Actual number of records reviewed. Required when column R reads Full.</t>
  </si>
  <si>
    <t xml:space="preserve">K</t>
  </si>
  <si>
    <t xml:space="preserve">Records Conforming</t>
  </si>
  <si>
    <t xml:space="preserve">How many passed.</t>
  </si>
  <si>
    <t xml:space="preserve">L</t>
  </si>
  <si>
    <t xml:space="preserve">Assessor</t>
  </si>
  <si>
    <t xml:space="preserve">Who did the pull, and when.</t>
  </si>
  <si>
    <t xml:space="preserve">M</t>
  </si>
  <si>
    <t xml:space="preserve">Notes</t>
  </si>
  <si>
    <t xml:space="preserve">Optional.</t>
  </si>
  <si>
    <t xml:space="preserve">Split a pull whenever different records, different people, or a different tool answer the requirements.</t>
  </si>
  <si>
    <t xml:space="preserve">CHART 2 - Full Register sheet: two columns per requirement</t>
  </si>
  <si>
    <t xml:space="preserve">Evidence Pull ID</t>
  </si>
  <si>
    <t xml:space="preserve">REQUIRED. Which pull answers this requirement. Reuse the same ID across every requirement that pull covers.</t>
  </si>
  <si>
    <t xml:space="preserve">Health Rung</t>
  </si>
  <si>
    <t xml:space="preserve">REQUIRED. Pick one of five. Definitions below. When torn between two, pick the lower.</t>
  </si>
  <si>
    <t xml:space="preserve">Disposition Override</t>
  </si>
  <si>
    <t xml:space="preserve">Optional. Leave blank and the workbook sets Demonstrated at Operating or better, Gap - remediate below. Use only for a risk accept or a tailoring recommendation.</t>
  </si>
  <si>
    <t xml:space="preserve">Finding / RFA Ref</t>
  </si>
  <si>
    <t xml:space="preserve">Optional. Fill when a finding is raised.</t>
  </si>
  <si>
    <t xml:space="preserve">N</t>
  </si>
  <si>
    <t xml:space="preserve">The five health rungs</t>
  </si>
  <si>
    <t xml:space="preserve">Rung</t>
  </si>
  <si>
    <t xml:space="preserve">The test</t>
  </si>
  <si>
    <t xml:space="preserve">What does not satisfy it</t>
  </si>
  <si>
    <t xml:space="preserve">Not demonstrated</t>
  </si>
  <si>
    <t xml:space="preserve">Nothing located, or the only support is an assertion in interview.</t>
  </si>
  <si>
    <t xml:space="preserve">Someone's recollection that it happens.</t>
  </si>
  <si>
    <t xml:space="preserve">Documented</t>
  </si>
  <si>
    <t xml:space="preserve">A controlled process document or CMP section states the requirement is performed.</t>
  </si>
  <si>
    <t xml:space="preserve">A draft. An unreleased document. A slide deck.</t>
  </si>
  <si>
    <t xml:space="preserve">Deployed</t>
  </si>
  <si>
    <t xml:space="preserve">A tool or workflow exists and is configured, and a named individual performs it.</t>
  </si>
  <si>
    <t xml:space="preserve">A tool licensed but not configured. A vacant role.</t>
  </si>
  <si>
    <t xml:space="preserve">Operating</t>
  </si>
  <si>
    <t xml:space="preserve">Records show the activity ran across the sample basis. Full-depth rows need the sample.</t>
  </si>
  <si>
    <t xml:space="preserve">A single example record. One month, one program.</t>
  </si>
  <si>
    <t xml:space="preserve">Effective</t>
  </si>
  <si>
    <t xml:space="preserve">Records show the control catching real problems, each with a traceable disposition.</t>
  </si>
  <si>
    <t xml:space="preserve">A control that has never found anything, unexplained.</t>
  </si>
  <si>
    <t xml:space="preserve">Three rules that decide most arguments</t>
  </si>
  <si>
    <t xml:space="preserve">A claim with no records is Not demonstrated. Not Documented, not Deployed.</t>
  </si>
  <si>
    <t xml:space="preserve">A role with nobody in it is Unassigned. 'CM' and 'the release team' both count as zero executors.</t>
  </si>
  <si>
    <t xml:space="preserve">The 44 amber rows are MANDATORY FOR SAFETY. They are not tailorable, they are all Full depth, and no assessor may downgrade that status.</t>
  </si>
  <si>
    <t xml:space="preserve">Full-Scope TDR Register - EIA-649-1A</t>
  </si>
  <si>
    <t xml:space="preserve">Program: [enter]    |    Contract / SOW ref: [enter]    |    TDR Rev / Date: [enter]</t>
  </si>
  <si>
    <t xml:space="preserve">YOU FILL TWO COLUMNS: J (Evidence Pull ID) and K (Health Rung). Columns L, M and N are optional. Everything else is either sourced or calculated. All process, tool, training, staffing and sample detail lives on the Evidence Pulls sheet.</t>
  </si>
  <si>
    <t xml:space="preserve">Column F is intentionally empty: EIA-649-1A is copyrighted SAE material under a no-reproduction licence, so requirement text is not transcribed here. The clause reference in columns C and E is the authoritative pointer. Amber rows are MANDATORY FOR SAFETY.</t>
  </si>
  <si>
    <t xml:space="preserve">Item ID</t>
  </si>
  <si>
    <t xml:space="preserve">Section</t>
  </si>
  <si>
    <t xml:space="preserve">Clause</t>
  </si>
  <si>
    <t xml:space="preserve">Clause Title</t>
  </si>
  <si>
    <t xml:space="preserve">Sub-Ref</t>
  </si>
  <si>
    <t xml:space="preserve">Requirement text (paste from your licensed copy)</t>
  </si>
  <si>
    <t xml:space="preserve">Mandatory for Safety?</t>
  </si>
  <si>
    <t xml:space="preserve">Depth</t>
  </si>
  <si>
    <t xml:space="preserve">TDR Group</t>
  </si>
  <si>
    <t xml:space="preserve">Rung Score</t>
  </si>
  <si>
    <t xml:space="preserve">Executor Count</t>
  </si>
  <si>
    <t xml:space="preserve">Staffing Rung</t>
  </si>
  <si>
    <t xml:space="preserve">Disposition</t>
  </si>
  <si>
    <t xml:space="preserve">Validation Flag</t>
  </si>
  <si>
    <t xml:space="preserve">FS-001</t>
  </si>
  <si>
    <t xml:space="preserve">3. Configuration Management Requirements</t>
  </si>
  <si>
    <t xml:space="preserve">3.</t>
  </si>
  <si>
    <t xml:space="preserve">Configuration Management Requirements</t>
  </si>
  <si>
    <t xml:space="preserve">(1)</t>
  </si>
  <si>
    <t xml:space="preserve">Screen</t>
  </si>
  <si>
    <t xml:space="preserve">1. Management and Planning</t>
  </si>
  <si>
    <t xml:space="preserve">FS-002</t>
  </si>
  <si>
    <t xml:space="preserve">(2)</t>
  </si>
  <si>
    <t xml:space="preserve">MANDATORY</t>
  </si>
  <si>
    <t xml:space="preserve">Full</t>
  </si>
  <si>
    <t xml:space="preserve">FS-003</t>
  </si>
  <si>
    <t xml:space="preserve">(3)</t>
  </si>
  <si>
    <t xml:space="preserve">FS-004</t>
  </si>
  <si>
    <t xml:space="preserve">(4)</t>
  </si>
  <si>
    <t xml:space="preserve">FS-005</t>
  </si>
  <si>
    <t xml:space="preserve">3.1 Planning and Management</t>
  </si>
  <si>
    <t xml:space="preserve">3.1</t>
  </si>
  <si>
    <t xml:space="preserve">Planning and Management</t>
  </si>
  <si>
    <t xml:space="preserve">(1)(a)</t>
  </si>
  <si>
    <t xml:space="preserve">FS-006</t>
  </si>
  <si>
    <t xml:space="preserve">(1)(b)</t>
  </si>
  <si>
    <t xml:space="preserve">FS-007</t>
  </si>
  <si>
    <t xml:space="preserve">(1)(c)</t>
  </si>
  <si>
    <t xml:space="preserve">FS-008</t>
  </si>
  <si>
    <t xml:space="preserve">(1)(d)</t>
  </si>
  <si>
    <t xml:space="preserve">FS-009</t>
  </si>
  <si>
    <t xml:space="preserve">(1)(e)</t>
  </si>
  <si>
    <t xml:space="preserve">FS-010</t>
  </si>
  <si>
    <t xml:space="preserve">(1)(f)</t>
  </si>
  <si>
    <t xml:space="preserve">FS-011</t>
  </si>
  <si>
    <t xml:space="preserve">(1)(g)</t>
  </si>
  <si>
    <t xml:space="preserve">FS-012</t>
  </si>
  <si>
    <t xml:space="preserve">(1)(h)</t>
  </si>
  <si>
    <t xml:space="preserve">FS-013</t>
  </si>
  <si>
    <t xml:space="preserve">(1)(i)</t>
  </si>
  <si>
    <t xml:space="preserve">FS-014</t>
  </si>
  <si>
    <t xml:space="preserve">(1)(j)</t>
  </si>
  <si>
    <t xml:space="preserve">FS-015</t>
  </si>
  <si>
    <t xml:space="preserve">(1)(k)</t>
  </si>
  <si>
    <t xml:space="preserve">FS-016</t>
  </si>
  <si>
    <t xml:space="preserve">3.1.1</t>
  </si>
  <si>
    <t xml:space="preserve">Monitoring Configuration Management Performance</t>
  </si>
  <si>
    <t xml:space="preserve">FS-017</t>
  </si>
  <si>
    <t xml:space="preserve">FS-018</t>
  </si>
  <si>
    <t xml:space="preserve">3.1.2</t>
  </si>
  <si>
    <t xml:space="preserve">Supplier's Configuration Management Plan</t>
  </si>
  <si>
    <t xml:space="preserve">FS-019</t>
  </si>
  <si>
    <t xml:space="preserve">3.1.3</t>
  </si>
  <si>
    <t xml:space="preserve">Technical Reviews</t>
  </si>
  <si>
    <t xml:space="preserve">FS-020</t>
  </si>
  <si>
    <t xml:space="preserve">3.1.4</t>
  </si>
  <si>
    <t xml:space="preserve">Product Configuration Documentation Processes</t>
  </si>
  <si>
    <t xml:space="preserve">FS-021</t>
  </si>
  <si>
    <t xml:space="preserve">FS-022</t>
  </si>
  <si>
    <t xml:space="preserve">3.2 Configuration Identification</t>
  </si>
  <si>
    <t xml:space="preserve">3.2</t>
  </si>
  <si>
    <t xml:space="preserve">Configuration Identification</t>
  </si>
  <si>
    <t xml:space="preserve">2. Configuration Identification</t>
  </si>
  <si>
    <t xml:space="preserve">FS-023</t>
  </si>
  <si>
    <t xml:space="preserve">(2)(a)</t>
  </si>
  <si>
    <t xml:space="preserve">FS-024</t>
  </si>
  <si>
    <t xml:space="preserve">(2)(b)</t>
  </si>
  <si>
    <t xml:space="preserve">FS-025</t>
  </si>
  <si>
    <t xml:space="preserve">(2)(c)</t>
  </si>
  <si>
    <t xml:space="preserve">FS-026</t>
  </si>
  <si>
    <t xml:space="preserve">(2)(d)</t>
  </si>
  <si>
    <t xml:space="preserve">FS-027</t>
  </si>
  <si>
    <t xml:space="preserve">(2)(e)</t>
  </si>
  <si>
    <t xml:space="preserve">FS-028</t>
  </si>
  <si>
    <t xml:space="preserve">(2)(f)</t>
  </si>
  <si>
    <t xml:space="preserve">FS-029</t>
  </si>
  <si>
    <t xml:space="preserve">(2)(g)</t>
  </si>
  <si>
    <t xml:space="preserve">FS-030</t>
  </si>
  <si>
    <t xml:space="preserve">(2)(h)</t>
  </si>
  <si>
    <t xml:space="preserve">FS-031</t>
  </si>
  <si>
    <t xml:space="preserve">(2)(i)</t>
  </si>
  <si>
    <t xml:space="preserve">FS-032</t>
  </si>
  <si>
    <t xml:space="preserve">(2)(j)</t>
  </si>
  <si>
    <t xml:space="preserve">FS-033</t>
  </si>
  <si>
    <t xml:space="preserve">(2)(k)</t>
  </si>
  <si>
    <t xml:space="preserve">FS-034</t>
  </si>
  <si>
    <t xml:space="preserve">(3)(a)</t>
  </si>
  <si>
    <t xml:space="preserve">FS-035</t>
  </si>
  <si>
    <t xml:space="preserve">(3)(b)</t>
  </si>
  <si>
    <t xml:space="preserve">FS-036</t>
  </si>
  <si>
    <t xml:space="preserve">(3)(c)</t>
  </si>
  <si>
    <t xml:space="preserve">FS-037</t>
  </si>
  <si>
    <t xml:space="preserve">(3)(d)</t>
  </si>
  <si>
    <t xml:space="preserve">FS-038</t>
  </si>
  <si>
    <t xml:space="preserve">3.2.1</t>
  </si>
  <si>
    <t xml:space="preserve">Configuration Item Selection</t>
  </si>
  <si>
    <t xml:space="preserve">FS-039</t>
  </si>
  <si>
    <t xml:space="preserve">FS-040</t>
  </si>
  <si>
    <t xml:space="preserve">FS-041</t>
  </si>
  <si>
    <t xml:space="preserve">FS-042</t>
  </si>
  <si>
    <t xml:space="preserve">FS-043</t>
  </si>
  <si>
    <t xml:space="preserve">FS-044</t>
  </si>
  <si>
    <t xml:space="preserve">FS-045</t>
  </si>
  <si>
    <t xml:space="preserve">FS-046</t>
  </si>
  <si>
    <t xml:space="preserve">3.2.2</t>
  </si>
  <si>
    <t xml:space="preserve">Engineering Release System</t>
  </si>
  <si>
    <t xml:space="preserve">FS-047</t>
  </si>
  <si>
    <t xml:space="preserve">FS-048</t>
  </si>
  <si>
    <t xml:space="preserve">FS-049</t>
  </si>
  <si>
    <t xml:space="preserve">FS-050</t>
  </si>
  <si>
    <t xml:space="preserve">(5)</t>
  </si>
  <si>
    <t xml:space="preserve">FS-051</t>
  </si>
  <si>
    <t xml:space="preserve">3.2.3.1</t>
  </si>
  <si>
    <t xml:space="preserve">Configuration Baselines and Their Configuration Documentation</t>
  </si>
  <si>
    <t xml:space="preserve">FS-052</t>
  </si>
  <si>
    <t xml:space="preserve">FS-053</t>
  </si>
  <si>
    <t xml:space="preserve">3.2.3.2</t>
  </si>
  <si>
    <t xml:space="preserve">Functional Configuration Documentation (FCD)</t>
  </si>
  <si>
    <t xml:space="preserve">FS-054</t>
  </si>
  <si>
    <t xml:space="preserve">FS-055</t>
  </si>
  <si>
    <t xml:space="preserve">FS-056</t>
  </si>
  <si>
    <t xml:space="preserve">3.2.3.2.1</t>
  </si>
  <si>
    <t xml:space="preserve">Allocated Configuration Documentation (ACD)</t>
  </si>
  <si>
    <t xml:space="preserve">FS-057</t>
  </si>
  <si>
    <t xml:space="preserve">FS-058</t>
  </si>
  <si>
    <t xml:space="preserve">FS-059</t>
  </si>
  <si>
    <t xml:space="preserve">3.2.3.2.2</t>
  </si>
  <si>
    <t xml:space="preserve">Product Configuration Documentation (PCD)</t>
  </si>
  <si>
    <t xml:space="preserve">FS-060</t>
  </si>
  <si>
    <t xml:space="preserve">FS-061</t>
  </si>
  <si>
    <t xml:space="preserve">FS-062</t>
  </si>
  <si>
    <t xml:space="preserve">FS-063</t>
  </si>
  <si>
    <t xml:space="preserve">FS-064</t>
  </si>
  <si>
    <t xml:space="preserve">FS-065</t>
  </si>
  <si>
    <t xml:space="preserve">FS-066</t>
  </si>
  <si>
    <t xml:space="preserve">FS-067</t>
  </si>
  <si>
    <t xml:space="preserve">FS-068</t>
  </si>
  <si>
    <t xml:space="preserve">FS-069</t>
  </si>
  <si>
    <t xml:space="preserve">3.2.3.3</t>
  </si>
  <si>
    <t xml:space="preserve">Maintenance of Product Configuration Documentation</t>
  </si>
  <si>
    <t xml:space="preserve">FS-070</t>
  </si>
  <si>
    <t xml:space="preserve">3.2.4</t>
  </si>
  <si>
    <t xml:space="preserve">Configuration Identifiers</t>
  </si>
  <si>
    <t xml:space="preserve">FS-071</t>
  </si>
  <si>
    <t xml:space="preserve">FS-072</t>
  </si>
  <si>
    <t xml:space="preserve">FS-073</t>
  </si>
  <si>
    <t xml:space="preserve">FS-074</t>
  </si>
  <si>
    <t xml:space="preserve">3.2.4.1</t>
  </si>
  <si>
    <t xml:space="preserve">Product Identification / Marking</t>
  </si>
  <si>
    <t xml:space="preserve">FS-075</t>
  </si>
  <si>
    <t xml:space="preserve">FS-076</t>
  </si>
  <si>
    <t xml:space="preserve">FS-077</t>
  </si>
  <si>
    <t xml:space="preserve">FS-078</t>
  </si>
  <si>
    <t xml:space="preserve">3.2.4.2</t>
  </si>
  <si>
    <t xml:space="preserve">Software Marking and Labeling</t>
  </si>
  <si>
    <t xml:space="preserve">FS-079</t>
  </si>
  <si>
    <t xml:space="preserve">FS-080</t>
  </si>
  <si>
    <t xml:space="preserve">FS-081</t>
  </si>
  <si>
    <t xml:space="preserve">FS-082</t>
  </si>
  <si>
    <t xml:space="preserve">FS-083</t>
  </si>
  <si>
    <t xml:space="preserve">3.2.5.1</t>
  </si>
  <si>
    <t xml:space="preserve">Interface Identification</t>
  </si>
  <si>
    <t xml:space="preserve">FS-084</t>
  </si>
  <si>
    <t xml:space="preserve">FS-085</t>
  </si>
  <si>
    <t xml:space="preserve">FS-086</t>
  </si>
  <si>
    <t xml:space="preserve">FS-087</t>
  </si>
  <si>
    <t xml:space="preserve">3.2.5.2</t>
  </si>
  <si>
    <t xml:space="preserve">Interface Control Working Group (ICWG) Membership</t>
  </si>
  <si>
    <t xml:space="preserve">FS-088</t>
  </si>
  <si>
    <t xml:space="preserve">FS-089</t>
  </si>
  <si>
    <t xml:space="preserve">FS-090</t>
  </si>
  <si>
    <t xml:space="preserve">FS-091</t>
  </si>
  <si>
    <t xml:space="preserve">FS-092</t>
  </si>
  <si>
    <t xml:space="preserve">3.3 Configuration Change Management</t>
  </si>
  <si>
    <t xml:space="preserve">3.3</t>
  </si>
  <si>
    <t xml:space="preserve">Configuration Change Management</t>
  </si>
  <si>
    <t xml:space="preserve">3. Change and Variance Management</t>
  </si>
  <si>
    <t xml:space="preserve">FS-093</t>
  </si>
  <si>
    <t xml:space="preserve">FS-094</t>
  </si>
  <si>
    <t xml:space="preserve">FS-095</t>
  </si>
  <si>
    <t xml:space="preserve">FS-096</t>
  </si>
  <si>
    <t xml:space="preserve">FS-097</t>
  </si>
  <si>
    <t xml:space="preserve">FS-098</t>
  </si>
  <si>
    <t xml:space="preserve">FS-099</t>
  </si>
  <si>
    <t xml:space="preserve">FS-100</t>
  </si>
  <si>
    <t xml:space="preserve">FS-101</t>
  </si>
  <si>
    <t xml:space="preserve">3.3.1</t>
  </si>
  <si>
    <t xml:space="preserve">Engineering Change Proposal (ECP)</t>
  </si>
  <si>
    <t xml:space="preserve">FS-102</t>
  </si>
  <si>
    <t xml:space="preserve">3.3.1.1</t>
  </si>
  <si>
    <t xml:space="preserve">Engineering Change Process</t>
  </si>
  <si>
    <t xml:space="preserve">FS-103</t>
  </si>
  <si>
    <t xml:space="preserve">FS-104</t>
  </si>
  <si>
    <t xml:space="preserve">FS-105</t>
  </si>
  <si>
    <t xml:space="preserve">FS-106</t>
  </si>
  <si>
    <t xml:space="preserve">FS-107</t>
  </si>
  <si>
    <t xml:space="preserve">FS-108</t>
  </si>
  <si>
    <t xml:space="preserve">FS-109</t>
  </si>
  <si>
    <t xml:space="preserve">FS-110</t>
  </si>
  <si>
    <t xml:space="preserve">FS-111</t>
  </si>
  <si>
    <t xml:space="preserve">FS-112</t>
  </si>
  <si>
    <t xml:space="preserve">FS-113</t>
  </si>
  <si>
    <t xml:space="preserve">(1)(l)</t>
  </si>
  <si>
    <t xml:space="preserve">FS-114</t>
  </si>
  <si>
    <t xml:space="preserve">3.3.1.2</t>
  </si>
  <si>
    <t xml:space="preserve">Classification and Authority of ECP</t>
  </si>
  <si>
    <t xml:space="preserve">FS-115</t>
  </si>
  <si>
    <t xml:space="preserve">FS-116</t>
  </si>
  <si>
    <t xml:space="preserve">FS-117</t>
  </si>
  <si>
    <t xml:space="preserve">FS-118</t>
  </si>
  <si>
    <t xml:space="preserve">FS-119</t>
  </si>
  <si>
    <t xml:space="preserve">FS-120</t>
  </si>
  <si>
    <t xml:space="preserve">FS-121</t>
  </si>
  <si>
    <t xml:space="preserve">FS-122</t>
  </si>
  <si>
    <t xml:space="preserve">FS-123</t>
  </si>
  <si>
    <t xml:space="preserve">FS-124</t>
  </si>
  <si>
    <t xml:space="preserve">FS-125</t>
  </si>
  <si>
    <t xml:space="preserve">(2)(l)</t>
  </si>
  <si>
    <t xml:space="preserve">FS-126</t>
  </si>
  <si>
    <t xml:space="preserve">(2)(m)</t>
  </si>
  <si>
    <t xml:space="preserve">FS-127</t>
  </si>
  <si>
    <t xml:space="preserve">(2)(n)</t>
  </si>
  <si>
    <t xml:space="preserve">FS-128</t>
  </si>
  <si>
    <t xml:space="preserve">(2)(o)</t>
  </si>
  <si>
    <t xml:space="preserve">FS-129</t>
  </si>
  <si>
    <t xml:space="preserve">(2)(p)</t>
  </si>
  <si>
    <t xml:space="preserve">FS-130</t>
  </si>
  <si>
    <t xml:space="preserve">(2)(q)</t>
  </si>
  <si>
    <t xml:space="preserve">FS-131</t>
  </si>
  <si>
    <t xml:space="preserve">(2)(r)</t>
  </si>
  <si>
    <t xml:space="preserve">FS-132</t>
  </si>
  <si>
    <t xml:space="preserve">(2)(s)</t>
  </si>
  <si>
    <t xml:space="preserve">FS-133</t>
  </si>
  <si>
    <t xml:space="preserve">(2)(t)</t>
  </si>
  <si>
    <t xml:space="preserve">FS-134</t>
  </si>
  <si>
    <t xml:space="preserve">(2)(u)</t>
  </si>
  <si>
    <t xml:space="preserve">FS-135</t>
  </si>
  <si>
    <t xml:space="preserve">(2)(v)</t>
  </si>
  <si>
    <t xml:space="preserve">FS-136</t>
  </si>
  <si>
    <t xml:space="preserve">(2)(w)</t>
  </si>
  <si>
    <t xml:space="preserve">FS-137</t>
  </si>
  <si>
    <t xml:space="preserve">(2)(x)</t>
  </si>
  <si>
    <t xml:space="preserve">FS-138</t>
  </si>
  <si>
    <t xml:space="preserve">(2)(y)</t>
  </si>
  <si>
    <t xml:space="preserve">FS-139</t>
  </si>
  <si>
    <t xml:space="preserve">(2)(z)</t>
  </si>
  <si>
    <t xml:space="preserve">FS-140</t>
  </si>
  <si>
    <t xml:space="preserve">(2)(aa)</t>
  </si>
  <si>
    <t xml:space="preserve">FS-141</t>
  </si>
  <si>
    <t xml:space="preserve">(2)(bb)</t>
  </si>
  <si>
    <t xml:space="preserve">FS-142</t>
  </si>
  <si>
    <t xml:space="preserve">(2)(cc)</t>
  </si>
  <si>
    <t xml:space="preserve">FS-143</t>
  </si>
  <si>
    <t xml:space="preserve">(2)(dd)</t>
  </si>
  <si>
    <t xml:space="preserve">FS-144</t>
  </si>
  <si>
    <t xml:space="preserve">(2)(ee)</t>
  </si>
  <si>
    <t xml:space="preserve">FS-145</t>
  </si>
  <si>
    <t xml:space="preserve">(2)(ff)</t>
  </si>
  <si>
    <t xml:space="preserve">FS-146</t>
  </si>
  <si>
    <t xml:space="preserve">(2)(e)(1)</t>
  </si>
  <si>
    <t xml:space="preserve">FS-147</t>
  </si>
  <si>
    <t xml:space="preserve">(2)(e)(2)</t>
  </si>
  <si>
    <t xml:space="preserve">FS-148</t>
  </si>
  <si>
    <t xml:space="preserve">(2)(e)(3)</t>
  </si>
  <si>
    <t xml:space="preserve">FS-149</t>
  </si>
  <si>
    <t xml:space="preserve">(2)(e)(4)</t>
  </si>
  <si>
    <t xml:space="preserve">FS-150</t>
  </si>
  <si>
    <t xml:space="preserve">(2)(e)(5)</t>
  </si>
  <si>
    <t xml:space="preserve">FS-151</t>
  </si>
  <si>
    <t xml:space="preserve">(2)(e)(6)(a)</t>
  </si>
  <si>
    <t xml:space="preserve">FS-152</t>
  </si>
  <si>
    <t xml:space="preserve">(2)(e)(6)(b)</t>
  </si>
  <si>
    <t xml:space="preserve">FS-153</t>
  </si>
  <si>
    <t xml:space="preserve">(2)(e)(6)(c)</t>
  </si>
  <si>
    <t xml:space="preserve">FS-154</t>
  </si>
  <si>
    <t xml:space="preserve">(2)(e)(6)(d)</t>
  </si>
  <si>
    <t xml:space="preserve">FS-155</t>
  </si>
  <si>
    <t xml:space="preserve">(2)(e)(6)(e)</t>
  </si>
  <si>
    <t xml:space="preserve">FS-156</t>
  </si>
  <si>
    <t xml:space="preserve">(2)(e)(6)(f)</t>
  </si>
  <si>
    <t xml:space="preserve">FS-157</t>
  </si>
  <si>
    <t xml:space="preserve">(2)(e)(6)(g)</t>
  </si>
  <si>
    <t xml:space="preserve">FS-158</t>
  </si>
  <si>
    <t xml:space="preserve">FS-159</t>
  </si>
  <si>
    <t xml:space="preserve">FS-160</t>
  </si>
  <si>
    <t xml:space="preserve">3.3.1.3</t>
  </si>
  <si>
    <t xml:space="preserve">ECP Format</t>
  </si>
  <si>
    <t xml:space="preserve">FS-161</t>
  </si>
  <si>
    <t xml:space="preserve">FS-162</t>
  </si>
  <si>
    <t xml:space="preserve">3.3.1.4</t>
  </si>
  <si>
    <t xml:space="preserve">Supporting Data</t>
  </si>
  <si>
    <t xml:space="preserve">FS-163</t>
  </si>
  <si>
    <t xml:space="preserve">FS-164</t>
  </si>
  <si>
    <t xml:space="preserve">FS-165</t>
  </si>
  <si>
    <t xml:space="preserve">FS-166</t>
  </si>
  <si>
    <t xml:space="preserve">3.3.1.6</t>
  </si>
  <si>
    <t xml:space="preserve">Engineering Change Priorities</t>
  </si>
  <si>
    <t xml:space="preserve">FS-167</t>
  </si>
  <si>
    <t xml:space="preserve">3.3.1.7.1</t>
  </si>
  <si>
    <t xml:space="preserve">Related Engineering Changes - Single Prime, Single Procuring Activity</t>
  </si>
  <si>
    <t xml:space="preserve">FS-168</t>
  </si>
  <si>
    <t xml:space="preserve">3.3.1.7.2</t>
  </si>
  <si>
    <t xml:space="preserve">Related Engineering Changes - Single Prime, Multiple Procuring Activities</t>
  </si>
  <si>
    <t xml:space="preserve">FS-169</t>
  </si>
  <si>
    <t xml:space="preserve">FS-170</t>
  </si>
  <si>
    <t xml:space="preserve">3.3.1.7.3</t>
  </si>
  <si>
    <t xml:space="preserve">Related Engineering Changes - Separate Primes</t>
  </si>
  <si>
    <t xml:space="preserve">FS-171</t>
  </si>
  <si>
    <t xml:space="preserve">FS-172</t>
  </si>
  <si>
    <t xml:space="preserve">FS-173</t>
  </si>
  <si>
    <t xml:space="preserve">FS-174</t>
  </si>
  <si>
    <t xml:space="preserve">3.3.1.8</t>
  </si>
  <si>
    <t xml:space="preserve">Minor (Class II) ECP</t>
  </si>
  <si>
    <t xml:space="preserve">FS-175</t>
  </si>
  <si>
    <t xml:space="preserve">3.3.1.8.1</t>
  </si>
  <si>
    <t xml:space="preserve">Concurrence of Classification</t>
  </si>
  <si>
    <t xml:space="preserve">FS-176</t>
  </si>
  <si>
    <t xml:space="preserve">FS-177</t>
  </si>
  <si>
    <t xml:space="preserve">FS-178</t>
  </si>
  <si>
    <t xml:space="preserve">3.3.1.8.2</t>
  </si>
  <si>
    <t xml:space="preserve">Approval of Minor (Class II) Changes</t>
  </si>
  <si>
    <t xml:space="preserve">FS-179</t>
  </si>
  <si>
    <t xml:space="preserve">3.3.2</t>
  </si>
  <si>
    <t xml:space="preserve">Requests for Variance (RFV)</t>
  </si>
  <si>
    <t xml:space="preserve">FS-180</t>
  </si>
  <si>
    <t xml:space="preserve">FS-181</t>
  </si>
  <si>
    <t xml:space="preserve">FS-182</t>
  </si>
  <si>
    <t xml:space="preserve">FS-183</t>
  </si>
  <si>
    <t xml:space="preserve">(4)(a)</t>
  </si>
  <si>
    <t xml:space="preserve">FS-184</t>
  </si>
  <si>
    <t xml:space="preserve">(4)(b)</t>
  </si>
  <si>
    <t xml:space="preserve">FS-185</t>
  </si>
  <si>
    <t xml:space="preserve">(4)(c)</t>
  </si>
  <si>
    <t xml:space="preserve">FS-186</t>
  </si>
  <si>
    <t xml:space="preserve">(4)(d)</t>
  </si>
  <si>
    <t xml:space="preserve">FS-187</t>
  </si>
  <si>
    <t xml:space="preserve">FS-188</t>
  </si>
  <si>
    <t xml:space="preserve">3.3.2.1</t>
  </si>
  <si>
    <t xml:space="preserve">Recurring Variances</t>
  </si>
  <si>
    <t xml:space="preserve">FS-189</t>
  </si>
  <si>
    <t xml:space="preserve">FS-190</t>
  </si>
  <si>
    <t xml:space="preserve">3.3.2.2</t>
  </si>
  <si>
    <t xml:space="preserve">Classification of Variances</t>
  </si>
  <si>
    <t xml:space="preserve">FS-191</t>
  </si>
  <si>
    <t xml:space="preserve">FS-192</t>
  </si>
  <si>
    <t xml:space="preserve">FS-193</t>
  </si>
  <si>
    <t xml:space="preserve">FS-194</t>
  </si>
  <si>
    <t xml:space="preserve">FS-195</t>
  </si>
  <si>
    <t xml:space="preserve">3.3.2.3</t>
  </si>
  <si>
    <t xml:space="preserve">RFV Decisions</t>
  </si>
  <si>
    <t xml:space="preserve">FS-196</t>
  </si>
  <si>
    <t xml:space="preserve">FS-197</t>
  </si>
  <si>
    <t xml:space="preserve">3.3.2.4</t>
  </si>
  <si>
    <t xml:space="preserve">Minor RFVs</t>
  </si>
  <si>
    <t xml:space="preserve">FS-198</t>
  </si>
  <si>
    <t xml:space="preserve">3.3.3</t>
  </si>
  <si>
    <t xml:space="preserve">Specification Change Notice (SCN)</t>
  </si>
  <si>
    <t xml:space="preserve">FS-199</t>
  </si>
  <si>
    <t xml:space="preserve">FS-200</t>
  </si>
  <si>
    <t xml:space="preserve">3.3.4</t>
  </si>
  <si>
    <t xml:space="preserve">Notices of Revision (NORs)</t>
  </si>
  <si>
    <t xml:space="preserve">FS-201</t>
  </si>
  <si>
    <t xml:space="preserve">FS-202</t>
  </si>
  <si>
    <t xml:space="preserve">3.4 Configuration Status Accounting</t>
  </si>
  <si>
    <t xml:space="preserve">3.4</t>
  </si>
  <si>
    <t xml:space="preserve">Configuration Status Accounting (CSA)</t>
  </si>
  <si>
    <t xml:space="preserve">4. CSA and Verification</t>
  </si>
  <si>
    <t xml:space="preserve">FS-203</t>
  </si>
  <si>
    <t xml:space="preserve">FS-204</t>
  </si>
  <si>
    <t xml:space="preserve">3.4.1</t>
  </si>
  <si>
    <t xml:space="preserve">Supplier CSA System</t>
  </si>
  <si>
    <t xml:space="preserve">FS-205</t>
  </si>
  <si>
    <t xml:space="preserve">FS-206</t>
  </si>
  <si>
    <t xml:space="preserve">FS-207</t>
  </si>
  <si>
    <t xml:space="preserve">FS-208</t>
  </si>
  <si>
    <t xml:space="preserve">FS-209</t>
  </si>
  <si>
    <t xml:space="preserve">FS-210</t>
  </si>
  <si>
    <t xml:space="preserve">(3)(e)</t>
  </si>
  <si>
    <t xml:space="preserve">FS-211</t>
  </si>
  <si>
    <t xml:space="preserve">(3)(f)</t>
  </si>
  <si>
    <t xml:space="preserve">FS-212</t>
  </si>
  <si>
    <t xml:space="preserve">(3)(g)</t>
  </si>
  <si>
    <t xml:space="preserve">FS-213</t>
  </si>
  <si>
    <t xml:space="preserve">(3)(h)</t>
  </si>
  <si>
    <t xml:space="preserve">FS-214</t>
  </si>
  <si>
    <t xml:space="preserve">(3)(i)</t>
  </si>
  <si>
    <t xml:space="preserve">FS-215</t>
  </si>
  <si>
    <t xml:space="preserve">(3)(j)</t>
  </si>
  <si>
    <t xml:space="preserve">FS-216</t>
  </si>
  <si>
    <t xml:space="preserve">FS-217</t>
  </si>
  <si>
    <t xml:space="preserve">FS-218</t>
  </si>
  <si>
    <t xml:space="preserve">FS-219</t>
  </si>
  <si>
    <t xml:space="preserve">FS-220</t>
  </si>
  <si>
    <t xml:space="preserve">(6)</t>
  </si>
  <si>
    <t xml:space="preserve">FS-221</t>
  </si>
  <si>
    <t xml:space="preserve">3.4.2</t>
  </si>
  <si>
    <t xml:space="preserve">CSA Analysis Requirements</t>
  </si>
  <si>
    <t xml:space="preserve">FS-222</t>
  </si>
  <si>
    <t xml:space="preserve">3.5 Configuration Verification and Audits</t>
  </si>
  <si>
    <t xml:space="preserve">3.5.1</t>
  </si>
  <si>
    <t xml:space="preserve">Common Supplier Audit Responsibilities</t>
  </si>
  <si>
    <t xml:space="preserve">FS-223</t>
  </si>
  <si>
    <t xml:space="preserve">FS-224</t>
  </si>
  <si>
    <t xml:space="preserve">FS-225</t>
  </si>
  <si>
    <t xml:space="preserve">FS-226</t>
  </si>
  <si>
    <t xml:space="preserve">FS-227</t>
  </si>
  <si>
    <t xml:space="preserve">FS-228</t>
  </si>
  <si>
    <t xml:space="preserve">FS-229</t>
  </si>
  <si>
    <t xml:space="preserve">FS-230</t>
  </si>
  <si>
    <t xml:space="preserve">FS-231</t>
  </si>
  <si>
    <t xml:space="preserve">FS-232</t>
  </si>
  <si>
    <t xml:space="preserve">FS-233</t>
  </si>
  <si>
    <t xml:space="preserve">FS-234</t>
  </si>
  <si>
    <t xml:space="preserve">(1)(m)</t>
  </si>
  <si>
    <t xml:space="preserve">FS-235</t>
  </si>
  <si>
    <t xml:space="preserve">(1)(n)</t>
  </si>
  <si>
    <t xml:space="preserve">FS-236</t>
  </si>
  <si>
    <t xml:space="preserve">FS-237</t>
  </si>
  <si>
    <t xml:space="preserve">FS-238</t>
  </si>
  <si>
    <t xml:space="preserve">3.5.2</t>
  </si>
  <si>
    <t xml:space="preserve">Functional Configuration Audit (FCA)</t>
  </si>
  <si>
    <t xml:space="preserve">FS-239</t>
  </si>
  <si>
    <t xml:space="preserve">FS-240</t>
  </si>
  <si>
    <t xml:space="preserve">FS-241</t>
  </si>
  <si>
    <t xml:space="preserve">FS-242</t>
  </si>
  <si>
    <t xml:space="preserve">FS-243</t>
  </si>
  <si>
    <t xml:space="preserve">3.5.2.1</t>
  </si>
  <si>
    <t xml:space="preserve">Supplier FCA Responsibilities</t>
  </si>
  <si>
    <t xml:space="preserve">FS-244</t>
  </si>
  <si>
    <t xml:space="preserve">FS-245</t>
  </si>
  <si>
    <t xml:space="preserve">FS-246</t>
  </si>
  <si>
    <t xml:space="preserve">FS-247</t>
  </si>
  <si>
    <t xml:space="preserve">FS-248</t>
  </si>
  <si>
    <t xml:space="preserve">FS-249</t>
  </si>
  <si>
    <t xml:space="preserve">FS-250</t>
  </si>
  <si>
    <t xml:space="preserve">FS-251</t>
  </si>
  <si>
    <t xml:space="preserve">FS-252</t>
  </si>
  <si>
    <t xml:space="preserve">FS-253</t>
  </si>
  <si>
    <t xml:space="preserve">FS-254</t>
  </si>
  <si>
    <t xml:space="preserve">FS-255</t>
  </si>
  <si>
    <t xml:space="preserve">FS-256</t>
  </si>
  <si>
    <t xml:space="preserve">FS-257</t>
  </si>
  <si>
    <t xml:space="preserve">3.5.3</t>
  </si>
  <si>
    <t xml:space="preserve">Physical Configuration Audit (PCA)</t>
  </si>
  <si>
    <t xml:space="preserve">FS-258</t>
  </si>
  <si>
    <t xml:space="preserve">FS-259</t>
  </si>
  <si>
    <t xml:space="preserve">FS-260</t>
  </si>
  <si>
    <t xml:space="preserve">FS-261</t>
  </si>
  <si>
    <t xml:space="preserve">FS-262</t>
  </si>
  <si>
    <t xml:space="preserve">FS-263</t>
  </si>
  <si>
    <t xml:space="preserve">3.5.3.1</t>
  </si>
  <si>
    <t xml:space="preserve">Supplier PCA Responsibilities</t>
  </si>
  <si>
    <t xml:space="preserve">FS-264</t>
  </si>
  <si>
    <t xml:space="preserve">FS-265</t>
  </si>
  <si>
    <t xml:space="preserve">FS-266</t>
  </si>
  <si>
    <t xml:space="preserve">FS-267</t>
  </si>
  <si>
    <t xml:space="preserve">FS-268</t>
  </si>
  <si>
    <t xml:space="preserve">FS-269</t>
  </si>
  <si>
    <t xml:space="preserve">FS-270</t>
  </si>
  <si>
    <t xml:space="preserve">FS-271</t>
  </si>
  <si>
    <t xml:space="preserve">3.5.4</t>
  </si>
  <si>
    <t xml:space="preserve">Post-Audit Action</t>
  </si>
  <si>
    <t xml:space="preserve">FS-272</t>
  </si>
  <si>
    <t xml:space="preserve">3.5.5</t>
  </si>
  <si>
    <t xml:space="preserve">Configuration Audit Summary</t>
  </si>
  <si>
    <t xml:space="preserve">FS-273</t>
  </si>
  <si>
    <t xml:space="preserve">FS-274</t>
  </si>
  <si>
    <t xml:space="preserve">Evidence Pulls</t>
  </si>
  <si>
    <t xml:space="preserve">ONE ROW PER SET OF RECORDS. A pull is a single body of evidence that answers one or more requirements. Fill columns A to M once, then reference the Pull ID from the register. Columns N to R calculate.</t>
  </si>
  <si>
    <t xml:space="preserve">Split a pull whenever different records, different people, or a different tool answer the requirements. Sample columns J and K are required only where column R reads Full.</t>
  </si>
  <si>
    <t xml:space="preserve">Named Executor(s) - semicolon separated</t>
  </si>
  <si>
    <t xml:space="preserve">Sample Basis (population and period)</t>
  </si>
  <si>
    <t xml:space="preserve">Assessor (name / date)</t>
  </si>
  <si>
    <t xml:space="preserve">Conformance %</t>
  </si>
  <si>
    <t xml:space="preserve">Requirements using this pull</t>
  </si>
  <si>
    <t xml:space="preserve">Sample needed?</t>
  </si>
  <si>
    <t xml:space="preserve">[example] EP-ECP-CLASS</t>
  </si>
  <si>
    <t xml:space="preserve">ECP classification rationale, covers all Major-change criteria under 3.3.1.2(2)</t>
  </si>
  <si>
    <t xml:space="preserve">XXX-CM-PROC-003 R.E</t>
  </si>
  <si>
    <t xml:space="preserve">PLM change module</t>
  </si>
  <si>
    <t xml:space="preserve">CM-201 Change Classification</t>
  </si>
  <si>
    <t xml:space="preserve">A. Rivera; B. Chen</t>
  </si>
  <si>
    <t xml:space="preserve">Change Board Admin</t>
  </si>
  <si>
    <t xml:space="preserve">PLM query CLS-FY26-Q1</t>
  </si>
  <si>
    <t xml:space="preserve">All ECPs classified on [pgm] 2025-08 to 2026-07</t>
  </si>
  <si>
    <t xml:space="preserve">[name] 2026-09-14</t>
  </si>
  <si>
    <t xml:space="preserve">Delete this example row before use</t>
  </si>
  <si>
    <t xml:space="preserve">Validation lists</t>
  </si>
  <si>
    <t xml:space="preserve">Score</t>
  </si>
  <si>
    <t xml:space="preserve">Gap - risk accept</t>
  </si>
  <si>
    <t xml:space="preserve">Planning and Governance</t>
  </si>
  <si>
    <t xml:space="preserve">Gap - recommend tailoring</t>
  </si>
  <si>
    <t xml:space="preserve">Demonstrated</t>
  </si>
  <si>
    <t xml:space="preserve">Engineering Release</t>
  </si>
  <si>
    <t xml:space="preserve">Override only. Leave the register's column O blank on normal rows and the disposition sets itself. Gap - recommend tailoring is invalid on HSSB rows and the workbook flags it.</t>
  </si>
  <si>
    <t xml:space="preserve">CSA / Data Management</t>
  </si>
  <si>
    <t xml:space="preserve">Configuration Audit and Verification</t>
  </si>
  <si>
    <t xml:space="preserve">Supplier / Sub-tier CM</t>
  </si>
  <si>
    <t xml:space="preserve">Shared with Engineering</t>
  </si>
  <si>
    <t xml:space="preserve">Shared with Quality</t>
  </si>
  <si>
    <t xml:space="preserve">Shared with Manufacturing</t>
  </si>
  <si>
    <t xml:space="preserve">Contracts</t>
  </si>
  <si>
    <t xml:space="preserve">Data / Systems Administration</t>
  </si>
  <si>
    <t xml:space="preserve">Unassigned</t>
  </si>
  <si>
    <t xml:space="preserve">Edit this list to match your own CM function breakdown. It drives the concentration table.</t>
  </si>
  <si>
    <t xml:space="preserve">CM Team Roster and Load</t>
  </si>
  <si>
    <t xml:space="preserve">Names must match the Evidence Pulls sheet exactly. Columns E to G calculate load by weighting each pull by how many requirements it answers, so a person on one pull covering 32 criteria carries 32.</t>
  </si>
  <si>
    <t xml:space="preserve">Name</t>
  </si>
  <si>
    <t xml:space="preserve">Role title</t>
  </si>
  <si>
    <t xml:space="preserve">CM function</t>
  </si>
  <si>
    <t xml:space="preserve">FTE on this program</t>
  </si>
  <si>
    <t xml:space="preserve">Requirements covered</t>
  </si>
  <si>
    <t xml:space="preserve">Requirements per FTE</t>
  </si>
  <si>
    <t xml:space="preserve">Sole executor on</t>
  </si>
  <si>
    <t xml:space="preserve">Load flag</t>
  </si>
  <si>
    <t xml:space="preserve">[example] A. Rivera</t>
  </si>
  <si>
    <t xml:space="preserve">CM Analyst II</t>
  </si>
  <si>
    <t xml:space="preserve">Example row - delete before use</t>
  </si>
  <si>
    <t xml:space="preserve">Full-Scope TDR Dashboard</t>
  </si>
  <si>
    <t xml:space="preserve">Calculated. Do not overwrite column B.</t>
  </si>
  <si>
    <t xml:space="preserve">Scope and progress</t>
  </si>
  <si>
    <t xml:space="preserve">Measure</t>
  </si>
  <si>
    <t xml:space="preserve">Value</t>
  </si>
  <si>
    <t xml:space="preserve">Requirements in scope (full standard)</t>
  </si>
  <si>
    <t xml:space="preserve">Mandatory for safety</t>
  </si>
  <si>
    <t xml:space="preserve">Rows at Full depth (sample required)</t>
  </si>
  <si>
    <t xml:space="preserve">Evidence pulls defined</t>
  </si>
  <si>
    <t xml:space="preserve">Evidence pulls with a sample recorded</t>
  </si>
  <si>
    <t xml:space="preserve">Requirements with a pull assigned</t>
  </si>
  <si>
    <t xml:space="preserve">Requirements graded</t>
  </si>
  <si>
    <t xml:space="preserve">Completion %</t>
  </si>
  <si>
    <t xml:space="preserve">Execution capacity gates - target is zero</t>
  </si>
  <si>
    <t xml:space="preserve">Requirements with NO named executor</t>
  </si>
  <si>
    <t xml:space="preserve">   of which: mandatory for safety</t>
  </si>
  <si>
    <t xml:space="preserve">Requirements resting on a single individual</t>
  </si>
  <si>
    <t xml:space="preserve">Compliance hard gates - target is zero</t>
  </si>
  <si>
    <t xml:space="preserve">Safety-mandatory NOT at Operating or better (incl. ungraded)</t>
  </si>
  <si>
    <t xml:space="preserve">   of which: graded below Operating</t>
  </si>
  <si>
    <t xml:space="preserve">   of which: not yet graded</t>
  </si>
  <si>
    <t xml:space="preserve">Invalid tailoring claims on safety-mandatory rows</t>
  </si>
  <si>
    <t xml:space="preserve">Rows flagged by validation</t>
  </si>
  <si>
    <t xml:space="preserve">Health rung distribution</t>
  </si>
  <si>
    <t xml:space="preserve">Not yet graded</t>
  </si>
  <si>
    <t xml:space="preserve">Gap - remediate</t>
  </si>
  <si>
    <t xml:space="preserve">Concentration by executor function</t>
  </si>
  <si>
    <t xml:space="preserve">Requirements</t>
  </si>
  <si>
    <t xml:space="preserve">HSSB</t>
  </si>
  <si>
    <t xml:space="preserve">% of register</t>
  </si>
  <si>
    <t xml:space="preserve">By TDR group</t>
  </si>
  <si>
    <t xml:space="preserve">In scope</t>
  </si>
  <si>
    <t xml:space="preserve">Safety-mandatory</t>
  </si>
  <si>
    <t xml:space="preserve">Graded</t>
  </si>
  <si>
    <t xml:space="preserve">At Operating or better</t>
  </si>
  <si>
    <t xml:space="preserve">Unstaffed</t>
  </si>
  <si>
    <t xml:space="preserve">Reading rule</t>
  </si>
  <si>
    <t xml:space="preserve">Read the two gate blocks before any distribution. A high completion percentage with a nonzero safety gate is a fail. A requirement graded Operating with no named executor is not operating; it is a record of work someone did once. Forecast against evidence pulls, not requirement rows. This register covers the full standard, so incomplete rows are the exposure.</t>
  </si>
  <si>
    <t xml:space="preserve">Findings Log</t>
  </si>
  <si>
    <t xml:space="preserve">Route every finding into the existing RFA mechanism. Do not maintain a parallel TDR tracker.</t>
  </si>
  <si>
    <t xml:space="preserve">Finding ID</t>
  </si>
  <si>
    <t xml:space="preserve">Item ID or Pull ID</t>
  </si>
  <si>
    <t xml:space="preserve">Finding type</t>
  </si>
  <si>
    <t xml:space="preserve">Finding statement</t>
  </si>
  <si>
    <t xml:space="preserve">Root cause (clause ref if upstream)</t>
  </si>
  <si>
    <t xml:space="preserve">Severity</t>
  </si>
  <si>
    <t xml:space="preserve">RFA Ref</t>
  </si>
  <si>
    <t xml:space="preserve">Owner</t>
  </si>
  <si>
    <t xml:space="preserve">Target date</t>
  </si>
  <si>
    <t xml:space="preserve">Status</t>
  </si>
  <si>
    <t xml:space="preserve">Closure evidence</t>
  </si>
  <si>
    <t xml:space="preserve">TDR-0001</t>
  </si>
  <si>
    <t xml:space="preserve">EP-RELEASE</t>
  </si>
  <si>
    <t xml:space="preserve">3.3.1.1(1)(f)</t>
  </si>
  <si>
    <t xml:space="preserve">Execution capacity</t>
  </si>
  <si>
    <t xml:space="preserve">Release record creation names one CM analyst at 0.8 FTE who covers 61 requirements across four pulls. No second name.</t>
  </si>
  <si>
    <t xml:space="preserve">3.1(1)(e) CM resource planning does not allocate release staffing</t>
  </si>
  <si>
    <t xml:space="preserve">Catastrophic (1)</t>
  </si>
  <si>
    <t xml:space="preserve">RFA-0142</t>
  </si>
  <si>
    <t xml:space="preserve">[name]</t>
  </si>
  <si>
    <t xml:space="preserve">2026-11-30</t>
  </si>
  <si>
    <t xml:space="preserve">Open</t>
  </si>
  <si>
    <t xml:space="preserve">Row 5 is an illustrative example. Delete it before use.</t>
  </si>
  <si>
    <t xml:space="preserve">Scope Notes and Open Questions</t>
  </si>
  <si>
    <t xml:space="preserve">Resolve before the register is baselined. Several change the requirement count.</t>
  </si>
  <si>
    <t xml:space="preserve">Item</t>
  </si>
  <si>
    <t xml:space="preserve">Note</t>
  </si>
  <si>
    <t xml:space="preserve">Effect</t>
  </si>
  <si>
    <t xml:space="preserve">Resolved?</t>
  </si>
  <si>
    <t xml:space="preserve">Enumeration basis</t>
  </si>
  <si>
    <t xml:space="preserve">Requirements are enumerated from the body text of EIA-649-1A, not the Annex A tailoring worksheet, which does not reconcile to the body. Keep this basis fixed across the review.</t>
  </si>
  <si>
    <t xml:space="preserve">Baseline decision</t>
  </si>
  <si>
    <t xml:space="preserve">Clauses with no numbered requirement</t>
  </si>
  <si>
    <t xml:space="preserve">3.2.3, 3.2.5, 3.3.1.5, 3.3.1.7 and 3.5 carry principles and narrative only. Excluded, and listed below so the exclusion is visible rather than assumed.</t>
  </si>
  <si>
    <t xml:space="preserve">-5 clause headings</t>
  </si>
  <si>
    <t xml:space="preserve">3.1.1(2) suggested metrics (a) to (h)</t>
  </si>
  <si>
    <t xml:space="preserve">Body text presents these as suggested. Excluded as non-normative.</t>
  </si>
  <si>
    <t xml:space="preserve">+8 if treated as requirements</t>
  </si>
  <si>
    <t xml:space="preserve">3.1.3(1) review list (a) to (i)</t>
  </si>
  <si>
    <t xml:space="preserve">Body text presents these as reviews that may be included. Excluded as non-normative.</t>
  </si>
  <si>
    <t xml:space="preserve">+9 if treated as requirements</t>
  </si>
  <si>
    <t xml:space="preserve">3.3.1.2(2)(d) sub-items</t>
  </si>
  <si>
    <t xml:space="preserve">Held as a single row. Split if the body enumerates beneath it.</t>
  </si>
  <si>
    <t xml:space="preserve">+1 or more</t>
  </si>
  <si>
    <t xml:space="preserve">3.5.2.1(2)(i) software sub-items</t>
  </si>
  <si>
    <t xml:space="preserve">Body indicates numbered sub-items for Computer Software Configuration Items. Held as one row pending confirmation.</t>
  </si>
  <si>
    <t xml:space="preserve">+n</t>
  </si>
  <si>
    <t xml:space="preserve">Columns removed pending baselines</t>
  </si>
  <si>
    <t xml:space="preserve">Owner Tier, Owner Code, Minimum Credential, Support Codes and Credential Minimum Met were removed because those baselines do not exist yet. Add them to the Evidence Pulls sheet, not the register, once the credential model is baselined.</t>
  </si>
  <si>
    <t xml:space="preserve">Reduces input burden</t>
  </si>
  <si>
    <t xml:space="preserve">Safety mandate traceability</t>
  </si>
  <si>
    <t xml:space="preserve">Barrier IDs, SM-0001 hazard references and pre-anchored severity are held in the enterprise CM register, not here. This workbook carries only the binary Mandatory for Safety flag on the same 44 requirements. Pull the barrier and severity detail from the enterprise register when a finding needs it.</t>
  </si>
  <si>
    <t xml:space="preserve">None</t>
  </si>
  <si>
    <t xml:space="preserve">Requirement text column</t>
  </si>
  <si>
    <t xml:space="preserve">Register column F is deliberately empty. EIA-649-1A is copyrighted SAE material under a no-reproduction licence. Populate from your own licensed copy only if that licence permits internal transcription.</t>
  </si>
  <si>
    <t xml:space="preserve">Clauses excluded as narrative only</t>
  </si>
  <si>
    <t xml:space="preserve">3.2.3</t>
  </si>
  <si>
    <t xml:space="preserve">Configuration Baselines Types</t>
  </si>
  <si>
    <t xml:space="preserve">3.2.5</t>
  </si>
  <si>
    <t xml:space="preserve">Interface Management</t>
  </si>
  <si>
    <t xml:space="preserve">3.3.1.5</t>
  </si>
  <si>
    <t xml:space="preserve">ECP Decisions</t>
  </si>
  <si>
    <t xml:space="preserve">3.3.1.7</t>
  </si>
  <si>
    <t xml:space="preserve">Related Engineering Changes</t>
  </si>
  <si>
    <t xml:space="preserve">3.5</t>
  </si>
  <si>
    <t xml:space="preserve">Configuration Verification and Audits</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</si>
</sst>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9"/>
      <name val="Arial"/>
      <family val="0"/>
      <charset val="1"/>
    </font>
    <font>
      <b val="true"/>
      <sz val="9"/>
      <color rgb="FFFFFFFF"/>
      <name val="Arial"/>
      <family val="0"/>
      <charset val="1"/>
    </font>
    <font>
      <b val="true"/>
      <sz val="9"/>
      <name val="Arial"/>
      <family val="0"/>
      <charset val="1"/>
    </font>
    <font>
      <b val="true"/>
      <sz val="12"/>
      <color rgb="FF1F3864"/>
      <name val="Arial"/>
      <family val="0"/>
      <charset val="1"/>
    </font>
    <font>
      <i val="true"/>
      <sz val="9"/>
      <color rgb="FF808080"/>
      <name val="Arial"/>
      <family val="0"/>
      <charset val="1"/>
    </font>
  </fonts>
  <fills count="11">
    <fill>
      <patternFill patternType="none"/>
    </fill>
    <fill>
      <patternFill patternType="gray125"/>
    </fill>
    <fill>
      <patternFill patternType="solid">
        <fgColor rgb="FF2F5597"/>
        <bgColor rgb="FF1F3864"/>
      </patternFill>
    </fill>
    <fill>
      <patternFill patternType="solid">
        <fgColor rgb="FF7B3F00"/>
        <bgColor rgb="FF993366"/>
      </patternFill>
    </fill>
    <fill>
      <patternFill patternType="solid">
        <fgColor rgb="FFFCE4D6"/>
        <bgColor rgb="FFFFF2CC"/>
      </patternFill>
    </fill>
    <fill>
      <patternFill patternType="solid">
        <fgColor rgb="FF1F3864"/>
        <bgColor rgb="FF333333"/>
      </patternFill>
    </fill>
    <fill>
      <patternFill patternType="solid">
        <fgColor rgb="FFE7E6E6"/>
        <bgColor rgb="FFEDEDED"/>
      </patternFill>
    </fill>
    <fill>
      <patternFill patternType="solid">
        <fgColor rgb="FFEDEDED"/>
        <bgColor rgb="FFE7E6E6"/>
      </patternFill>
    </fill>
    <fill>
      <patternFill patternType="solid">
        <fgColor rgb="FFFFF2CC"/>
        <bgColor rgb="FFFCE4D6"/>
      </patternFill>
    </fill>
    <fill>
      <patternFill patternType="solid">
        <fgColor rgb="FFDDEBF7"/>
        <bgColor rgb="FFE7E6E6"/>
      </patternFill>
    </fill>
    <fill>
      <patternFill patternType="solid">
        <fgColor rgb="FFFFE699"/>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7" fillId="9" borderId="1" xfId="0" applyFont="true" applyBorder="true" applyAlignment="true" applyProtection="true">
      <alignment horizontal="general" vertical="top" textRotation="0" wrapText="true" indent="0" shrinkToFit="false"/>
      <protection locked="true" hidden="false"/>
    </xf>
    <xf numFmtId="164" fontId="7" fillId="10" borderId="1" xfId="0" applyFont="true" applyBorder="true" applyAlignment="true" applyProtection="true">
      <alignment horizontal="general" vertical="top" textRotation="0" wrapText="true" indent="0" shrinkToFit="false"/>
      <protection locked="true" hidden="false"/>
    </xf>
    <xf numFmtId="164" fontId="9" fillId="10" borderId="1" xfId="0" applyFont="true" applyBorder="true" applyAlignment="true" applyProtection="true">
      <alignment horizontal="general" vertical="top" textRotation="0" wrapText="true" indent="0" shrinkToFit="false"/>
      <protection locked="true" hidden="false"/>
    </xf>
    <xf numFmtId="164" fontId="11" fillId="8" borderId="1" xfId="0" applyFont="true" applyBorder="true" applyAlignment="true" applyProtection="true">
      <alignment horizontal="general" vertical="top" textRotation="0" wrapText="true" indent="0" shrinkToFit="false"/>
      <protection locked="true" hidden="false"/>
    </xf>
    <xf numFmtId="165" fontId="9" fillId="9" borderId="1" xfId="0" applyFont="true" applyBorder="true" applyAlignment="true" applyProtection="true">
      <alignment horizontal="general" vertical="top" textRotation="0" wrapText="true" indent="0" shrinkToFit="false"/>
      <protection locked="true" hidden="false"/>
    </xf>
    <xf numFmtId="166" fontId="9" fillId="9"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9" fillId="9" borderId="1" xfId="0" applyFont="true" applyBorder="true" applyAlignment="true" applyProtection="true">
      <alignment horizontal="general" vertical="top" textRotation="0" wrapText="true" indent="0" shrinkToFit="false"/>
      <protection locked="true" hidden="false"/>
    </xf>
    <xf numFmtId="164" fontId="5" fillId="8" borderId="1" xfId="0" applyFont="true" applyBorder="true" applyAlignment="true" applyProtection="true">
      <alignment horizontal="general" vertical="top" textRotation="0" wrapText="true" indent="0" shrinkToFit="false"/>
      <protection locked="true" hidden="false"/>
    </xf>
    <xf numFmtId="165" fontId="9" fillId="9" borderId="1" xfId="0" applyFont="true" applyBorder="true" applyAlignment="true" applyProtection="true">
      <alignment horizontal="center" vertical="bottom" textRotation="0" wrapText="false" indent="0" shrinkToFit="false"/>
      <protection locked="true" hidden="false"/>
    </xf>
    <xf numFmtId="166" fontId="9" fillId="9" borderId="1" xfId="0" applyFont="true" applyBorder="true" applyAlignment="true" applyProtection="true">
      <alignment horizontal="center" vertical="bottom" textRotation="0" wrapText="false" indent="0" shrinkToFit="false"/>
      <protection locked="true" hidden="false"/>
    </xf>
    <xf numFmtId="164" fontId="7" fillId="4" borderId="0"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7E6E6"/>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7E6E6"/>
      <rgbColor rgb="FFFFE699"/>
      <rgbColor rgb="FF99CCFF"/>
      <rgbColor rgb="FFFF99CC"/>
      <rgbColor rgb="FFCC99FF"/>
      <rgbColor rgb="FFFCE4D6"/>
      <rgbColor rgb="FF3366FF"/>
      <rgbColor rgb="FF33CCCC"/>
      <rgbColor rgb="FF99CC00"/>
      <rgbColor rgb="FFFFCC00"/>
      <rgbColor rgb="FFFF9900"/>
      <rgbColor rgb="FFFF6600"/>
      <rgbColor rgb="FF555555"/>
      <rgbColor rgb="FF969696"/>
      <rgbColor rgb="FF1F3864"/>
      <rgbColor rgb="FF339966"/>
      <rgbColor rgb="FF003300"/>
      <rgbColor rgb="FF333300"/>
      <rgbColor rgb="FF7B3F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86"/>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30" hidden="false" customHeight="true" outlineLevel="0" collapsed="false">
      <c r="A5" s="5" t="s">
        <v>3</v>
      </c>
      <c r="B5" s="5"/>
      <c r="C5" s="5"/>
    </row>
    <row r="6" customFormat="false" ht="19.5" hidden="false" customHeight="true" outlineLevel="0" collapsed="false">
      <c r="A6" s="6" t="s">
        <v>4</v>
      </c>
      <c r="B6" s="6" t="s">
        <v>5</v>
      </c>
      <c r="C6" s="6" t="s">
        <v>6</v>
      </c>
    </row>
    <row r="7" customFormat="false" ht="25.5" hidden="false" customHeight="true" outlineLevel="0" collapsed="false">
      <c r="A7" s="7" t="s">
        <v>7</v>
      </c>
      <c r="B7" s="8" t="s">
        <v>8</v>
      </c>
      <c r="C7" s="7" t="s">
        <v>9</v>
      </c>
    </row>
    <row r="8" customFormat="false" ht="25.5" hidden="false" customHeight="true" outlineLevel="0" collapsed="false">
      <c r="A8" s="7" t="s">
        <v>10</v>
      </c>
      <c r="B8" s="8" t="s">
        <v>11</v>
      </c>
      <c r="C8" s="7" t="s">
        <v>12</v>
      </c>
    </row>
    <row r="9" customFormat="false" ht="25.5" hidden="false" customHeight="true" outlineLevel="0" collapsed="false">
      <c r="A9" s="7" t="s">
        <v>13</v>
      </c>
      <c r="B9" s="8" t="s">
        <v>14</v>
      </c>
      <c r="C9" s="7" t="s">
        <v>15</v>
      </c>
    </row>
    <row r="10" customFormat="false" ht="25.5" hidden="false" customHeight="true" outlineLevel="0" collapsed="false">
      <c r="A10" s="7" t="s">
        <v>16</v>
      </c>
      <c r="B10" s="8" t="s">
        <v>17</v>
      </c>
      <c r="C10" s="7" t="s">
        <v>18</v>
      </c>
    </row>
    <row r="11" customFormat="false" ht="25.5" hidden="false" customHeight="true" outlineLevel="0" collapsed="false">
      <c r="A11" s="7" t="s">
        <v>19</v>
      </c>
      <c r="B11" s="8" t="s">
        <v>20</v>
      </c>
      <c r="C11" s="7" t="s">
        <v>21</v>
      </c>
    </row>
    <row r="12" customFormat="false" ht="25.5" hidden="false" customHeight="true" outlineLevel="0" collapsed="false">
      <c r="A12" s="7" t="s">
        <v>22</v>
      </c>
      <c r="B12" s="8" t="s">
        <v>23</v>
      </c>
      <c r="C12" s="7" t="s">
        <v>24</v>
      </c>
    </row>
    <row r="13" customFormat="false" ht="25.5" hidden="false" customHeight="true" outlineLevel="0" collapsed="false">
      <c r="A13" s="7" t="s">
        <v>25</v>
      </c>
      <c r="B13" s="8" t="s">
        <v>26</v>
      </c>
      <c r="C13" s="7" t="s">
        <v>27</v>
      </c>
    </row>
    <row r="14" customFormat="false" ht="25.5" hidden="false" customHeight="true" outlineLevel="0" collapsed="false">
      <c r="A14" s="7" t="s">
        <v>28</v>
      </c>
      <c r="B14" s="8" t="s">
        <v>29</v>
      </c>
      <c r="C14" s="7" t="s">
        <v>30</v>
      </c>
    </row>
    <row r="15" customFormat="false" ht="25.5" hidden="false" customHeight="true" outlineLevel="0" collapsed="false">
      <c r="A15" s="7" t="s">
        <v>31</v>
      </c>
      <c r="B15" s="8" t="s">
        <v>32</v>
      </c>
      <c r="C15" s="7" t="s">
        <v>33</v>
      </c>
    </row>
    <row r="16" customFormat="false" ht="25.5" hidden="false" customHeight="true" outlineLevel="0" collapsed="false">
      <c r="A16" s="7" t="s">
        <v>34</v>
      </c>
      <c r="B16" s="8" t="s">
        <v>35</v>
      </c>
      <c r="C16" s="7" t="s">
        <v>36</v>
      </c>
    </row>
    <row r="17" customFormat="false" ht="25.5" hidden="false" customHeight="true" outlineLevel="0" collapsed="false">
      <c r="A17" s="7" t="s">
        <v>37</v>
      </c>
      <c r="B17" s="8" t="s">
        <v>38</v>
      </c>
      <c r="C17" s="7" t="s">
        <v>39</v>
      </c>
    </row>
    <row r="18" customFormat="false" ht="25.5" hidden="false" customHeight="true" outlineLevel="0" collapsed="false">
      <c r="A18" s="7" t="s">
        <v>40</v>
      </c>
      <c r="B18" s="8" t="s">
        <v>41</v>
      </c>
      <c r="C18" s="7" t="s">
        <v>42</v>
      </c>
    </row>
    <row r="19" customFormat="false" ht="25.5" hidden="false" customHeight="true" outlineLevel="0" collapsed="false">
      <c r="A19" s="7" t="s">
        <v>43</v>
      </c>
      <c r="B19" s="8" t="s">
        <v>44</v>
      </c>
      <c r="C19" s="7" t="s">
        <v>45</v>
      </c>
    </row>
    <row r="21" customFormat="false" ht="15" hidden="false" customHeight="false" outlineLevel="0" collapsed="false">
      <c r="A21" s="3" t="s">
        <v>46</v>
      </c>
    </row>
    <row r="23" customFormat="false" ht="15" hidden="false" customHeight="false" outlineLevel="0" collapsed="false">
      <c r="A23" s="4" t="s">
        <v>47</v>
      </c>
    </row>
    <row r="24" customFormat="false" ht="19.5" hidden="false" customHeight="true" outlineLevel="0" collapsed="false">
      <c r="A24" s="6" t="s">
        <v>4</v>
      </c>
      <c r="B24" s="6" t="s">
        <v>5</v>
      </c>
      <c r="C24" s="6" t="s">
        <v>6</v>
      </c>
    </row>
    <row r="25" customFormat="false" ht="31.5" hidden="false" customHeight="true" outlineLevel="0" collapsed="false">
      <c r="A25" s="7" t="s">
        <v>34</v>
      </c>
      <c r="B25" s="8" t="s">
        <v>48</v>
      </c>
      <c r="C25" s="7" t="s">
        <v>49</v>
      </c>
    </row>
    <row r="26" customFormat="false" ht="31.5" hidden="false" customHeight="true" outlineLevel="0" collapsed="false">
      <c r="A26" s="7" t="s">
        <v>37</v>
      </c>
      <c r="B26" s="8" t="s">
        <v>50</v>
      </c>
      <c r="C26" s="7" t="s">
        <v>51</v>
      </c>
    </row>
    <row r="27" customFormat="false" ht="31.5" hidden="false" customHeight="true" outlineLevel="0" collapsed="false">
      <c r="A27" s="7" t="s">
        <v>40</v>
      </c>
      <c r="B27" s="8" t="s">
        <v>52</v>
      </c>
      <c r="C27" s="7" t="s">
        <v>53</v>
      </c>
    </row>
    <row r="28" customFormat="false" ht="31.5" hidden="false" customHeight="true" outlineLevel="0" collapsed="false">
      <c r="A28" s="7" t="s">
        <v>43</v>
      </c>
      <c r="B28" s="8" t="s">
        <v>54</v>
      </c>
      <c r="C28" s="7" t="s">
        <v>55</v>
      </c>
    </row>
    <row r="29" customFormat="false" ht="31.5" hidden="false" customHeight="true" outlineLevel="0" collapsed="false">
      <c r="A29" s="7" t="s">
        <v>56</v>
      </c>
      <c r="B29" s="8" t="s">
        <v>44</v>
      </c>
      <c r="C29" s="7" t="s">
        <v>45</v>
      </c>
    </row>
    <row r="31" customFormat="false" ht="15" hidden="false" customHeight="false" outlineLevel="0" collapsed="false">
      <c r="A31" s="4" t="s">
        <v>57</v>
      </c>
    </row>
    <row r="32" customFormat="false" ht="19.5" hidden="false" customHeight="true" outlineLevel="0" collapsed="false">
      <c r="A32" s="9" t="s">
        <v>58</v>
      </c>
      <c r="B32" s="9" t="s">
        <v>59</v>
      </c>
      <c r="C32" s="9" t="s">
        <v>60</v>
      </c>
    </row>
    <row r="33" customFormat="false" ht="30" hidden="false" customHeight="true" outlineLevel="0" collapsed="false">
      <c r="A33" s="8" t="s">
        <v>61</v>
      </c>
      <c r="B33" s="7" t="s">
        <v>62</v>
      </c>
      <c r="C33" s="7" t="s">
        <v>63</v>
      </c>
    </row>
    <row r="34" customFormat="false" ht="30" hidden="false" customHeight="true" outlineLevel="0" collapsed="false">
      <c r="A34" s="8" t="s">
        <v>64</v>
      </c>
      <c r="B34" s="7" t="s">
        <v>65</v>
      </c>
      <c r="C34" s="7" t="s">
        <v>66</v>
      </c>
    </row>
    <row r="35" customFormat="false" ht="30" hidden="false" customHeight="true" outlineLevel="0" collapsed="false">
      <c r="A35" s="8" t="s">
        <v>67</v>
      </c>
      <c r="B35" s="7" t="s">
        <v>68</v>
      </c>
      <c r="C35" s="7" t="s">
        <v>69</v>
      </c>
    </row>
    <row r="36" customFormat="false" ht="30" hidden="false" customHeight="true" outlineLevel="0" collapsed="false">
      <c r="A36" s="8" t="s">
        <v>70</v>
      </c>
      <c r="B36" s="7" t="s">
        <v>71</v>
      </c>
      <c r="C36" s="7" t="s">
        <v>72</v>
      </c>
    </row>
    <row r="37" customFormat="false" ht="30" hidden="false" customHeight="true" outlineLevel="0" collapsed="false">
      <c r="A37" s="8" t="s">
        <v>73</v>
      </c>
      <c r="B37" s="7" t="s">
        <v>74</v>
      </c>
      <c r="C37" s="7" t="s">
        <v>75</v>
      </c>
    </row>
    <row r="39" customFormat="false" ht="15" hidden="false" customHeight="false" outlineLevel="0" collapsed="false">
      <c r="A39" s="4" t="s">
        <v>76</v>
      </c>
    </row>
    <row r="40" customFormat="false" ht="25.5" hidden="false" customHeight="true" outlineLevel="0" collapsed="false">
      <c r="A40" s="10" t="s">
        <v>77</v>
      </c>
      <c r="B40" s="10"/>
      <c r="C40" s="10"/>
    </row>
    <row r="41" customFormat="false" ht="25.5" hidden="false" customHeight="true" outlineLevel="0" collapsed="false">
      <c r="A41" s="10" t="s">
        <v>78</v>
      </c>
      <c r="B41" s="10"/>
      <c r="C41" s="10"/>
    </row>
    <row r="42" customFormat="false" ht="25.5" hidden="false" customHeight="true" outlineLevel="0" collapsed="false">
      <c r="A42" s="10" t="s">
        <v>79</v>
      </c>
      <c r="B42" s="10"/>
      <c r="C42" s="10"/>
    </row>
  </sheetData>
  <mergeCells count="4">
    <mergeCell ref="A5:C5"/>
    <mergeCell ref="A40:C40"/>
    <mergeCell ref="A41:C41"/>
    <mergeCell ref="A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12"/>
    <col collapsed="false" customWidth="true" hidden="false" outlineLevel="0" max="4" min="4" style="1" width="34"/>
    <col collapsed="false" customWidth="true" hidden="false" outlineLevel="0" max="5" min="5" style="1" width="14"/>
    <col collapsed="false" customWidth="true" hidden="false" outlineLevel="0" max="6" min="6" style="1" width="50"/>
    <col collapsed="false" customWidth="true" hidden="false" outlineLevel="0" max="7" min="7" style="1" width="16"/>
    <col collapsed="false" customWidth="true" hidden="false" outlineLevel="0" max="8" min="8" style="1" width="9"/>
    <col collapsed="false" customWidth="true" hidden="false" outlineLevel="0" max="9" min="9" style="1" width="24"/>
    <col collapsed="false" customWidth="true" hidden="false" outlineLevel="0" max="10" min="10" style="1" width="20"/>
    <col collapsed="false" customWidth="true" hidden="false" outlineLevel="0" max="11" min="11" style="1" width="17"/>
    <col collapsed="false" customWidth="true" hidden="false" outlineLevel="0" max="12" min="12" style="1" width="22"/>
    <col collapsed="false" customWidth="true" hidden="false" outlineLevel="0" max="13" min="13" style="1" width="15"/>
    <col collapsed="false" customWidth="true" hidden="false" outlineLevel="0" max="14" min="14" style="1" width="30"/>
    <col collapsed="false" customWidth="true" hidden="false" outlineLevel="0" max="15" min="15" style="1" width="9"/>
    <col collapsed="false" customWidth="true" hidden="false" outlineLevel="0" max="16" min="16" style="1" width="10"/>
    <col collapsed="false" customWidth="true" hidden="false" outlineLevel="0" max="17" min="17" style="1" width="24"/>
    <col collapsed="false" customWidth="true" hidden="false" outlineLevel="0" max="18" min="18" style="1" width="14"/>
    <col collapsed="false" customWidth="true" hidden="false" outlineLevel="0" max="19" min="19" style="1" width="20"/>
    <col collapsed="false" customWidth="true" hidden="false" outlineLevel="0" max="20" min="20" style="1" width="30"/>
  </cols>
  <sheetData>
    <row r="1" customFormat="false" ht="17.35" hidden="false" customHeight="false" outlineLevel="0" collapsed="false">
      <c r="A1" s="2" t="s">
        <v>80</v>
      </c>
    </row>
    <row r="2" customFormat="false" ht="15" hidden="false" customHeight="false" outlineLevel="0" collapsed="false">
      <c r="A2" s="3" t="s">
        <v>81</v>
      </c>
    </row>
    <row r="3" customFormat="false" ht="15" hidden="false" customHeight="false" outlineLevel="0" collapsed="false">
      <c r="A3" s="11" t="s">
        <v>82</v>
      </c>
    </row>
    <row r="4" customFormat="false" ht="15" hidden="false" customHeight="false" outlineLevel="0" collapsed="false">
      <c r="A4" s="3" t="s">
        <v>83</v>
      </c>
    </row>
    <row r="5" customFormat="false" ht="39.75" hidden="false" customHeight="true" outlineLevel="0" collapsed="false">
      <c r="A5" s="12" t="s">
        <v>84</v>
      </c>
      <c r="B5" s="12" t="s">
        <v>85</v>
      </c>
      <c r="C5" s="12" t="s">
        <v>86</v>
      </c>
      <c r="D5" s="12" t="s">
        <v>87</v>
      </c>
      <c r="E5" s="12" t="s">
        <v>88</v>
      </c>
      <c r="F5" s="12" t="s">
        <v>89</v>
      </c>
      <c r="G5" s="12" t="s">
        <v>90</v>
      </c>
      <c r="H5" s="12" t="s">
        <v>91</v>
      </c>
      <c r="I5" s="12" t="s">
        <v>92</v>
      </c>
      <c r="J5" s="12" t="s">
        <v>48</v>
      </c>
      <c r="K5" s="12" t="s">
        <v>50</v>
      </c>
      <c r="L5" s="12" t="s">
        <v>52</v>
      </c>
      <c r="M5" s="12" t="s">
        <v>54</v>
      </c>
      <c r="N5" s="12" t="s">
        <v>44</v>
      </c>
      <c r="O5" s="12" t="s">
        <v>93</v>
      </c>
      <c r="P5" s="12" t="s">
        <v>94</v>
      </c>
      <c r="Q5" s="12" t="s">
        <v>26</v>
      </c>
      <c r="R5" s="12" t="s">
        <v>95</v>
      </c>
      <c r="S5" s="12" t="s">
        <v>96</v>
      </c>
      <c r="T5" s="12" t="s">
        <v>97</v>
      </c>
    </row>
    <row r="6" customFormat="false" ht="22.35" hidden="false" customHeight="false" outlineLevel="0" collapsed="false">
      <c r="A6" s="13" t="s">
        <v>98</v>
      </c>
      <c r="B6" s="13" t="s">
        <v>99</v>
      </c>
      <c r="C6" s="13" t="s">
        <v>100</v>
      </c>
      <c r="D6" s="13" t="s">
        <v>101</v>
      </c>
      <c r="E6" s="13" t="s">
        <v>102</v>
      </c>
      <c r="F6" s="14"/>
      <c r="G6" s="13"/>
      <c r="H6" s="13" t="s">
        <v>103</v>
      </c>
      <c r="I6" s="13" t="s">
        <v>104</v>
      </c>
      <c r="J6" s="15"/>
      <c r="K6" s="15"/>
      <c r="L6" s="15"/>
      <c r="M6" s="15"/>
      <c r="N6" s="15"/>
      <c r="O6" s="16" t="str">
        <f aca="false">IFERROR(INDEX(Lists!$B$3:$B$7,MATCH(K6,Lists!$A$3:$A$7,0)),"")</f>
        <v/>
      </c>
      <c r="P6" s="16" t="str">
        <f aca="false">IFERROR(INDEX('Evidence Pulls'!$N$6:$N$125,MATCH($J6,'Evidence Pulls'!$A$6:$A$125,0)),"")</f>
        <v/>
      </c>
      <c r="Q6" s="16" t="str">
        <f aca="false">IFERROR(INDEX('Evidence Pulls'!$G$6:$G$125,MATCH($J6,'Evidence Pulls'!$A$6:$A$125,0)),"")</f>
        <v/>
      </c>
      <c r="R6" s="16" t="str">
        <f aca="false">IFERROR(INDEX('Evidence Pulls'!$O$6:$O$125,MATCH($J6,'Evidence Pulls'!$A$6:$A$125,0)),"")</f>
        <v/>
      </c>
      <c r="S6" s="16" t="str">
        <f aca="false">IF(L6&lt;&gt;"",L6,IF(K6="","Not assessed",IF(N(O6)&gt;=3,"Demonstrated","Gap - remediate")))</f>
        <v>Not assessed</v>
      </c>
      <c r="T6" s="16" t="str">
        <f aca="false">IF(J6="","No evidence pull assigned",IF(COUNTIF('Evidence Pulls'!$A$6:$A$125,J6)=0,"Pull ID not on Evidence Pulls sheet",IF(K6="","Not graded",IF(AND(G6="MANDATORY",L6="Gap - recommend tailoring"),"INVALID: safety-mandatory, not tailorable",IF(OR(P6="",P6=0),"NO NAMED EXECUTOR",IF(AND(H6="Full",N(O6)&gt;=3,N(IFERROR(INDEX('Evidence Pulls'!$J$6:$J$125,MATCH($J6,'Evidence Pulls'!$A$6:$A$125,0)),""))=0),"Operating claimed with no sample",IF(AND(N(O6)&gt;=3,P6=1),"Operating rests on one individual",IF(AND(G6="MANDATORY",N(O6)&lt;3),"SAFETY GATE: below Operating","OK"))))))))</f>
        <v>No evidence pull assigned</v>
      </c>
    </row>
    <row r="7" customFormat="false" ht="22.35" hidden="false" customHeight="false" outlineLevel="0" collapsed="false">
      <c r="A7" s="17" t="s">
        <v>105</v>
      </c>
      <c r="B7" s="17" t="s">
        <v>99</v>
      </c>
      <c r="C7" s="17" t="s">
        <v>100</v>
      </c>
      <c r="D7" s="17" t="s">
        <v>101</v>
      </c>
      <c r="E7" s="17" t="s">
        <v>106</v>
      </c>
      <c r="F7" s="17"/>
      <c r="G7" s="18" t="s">
        <v>107</v>
      </c>
      <c r="H7" s="18" t="s">
        <v>108</v>
      </c>
      <c r="I7" s="17" t="s">
        <v>104</v>
      </c>
      <c r="J7" s="15"/>
      <c r="K7" s="15"/>
      <c r="L7" s="15"/>
      <c r="M7" s="15"/>
      <c r="N7" s="15"/>
      <c r="O7" s="16" t="str">
        <f aca="false">IFERROR(INDEX(Lists!$B$3:$B$7,MATCH(K7,Lists!$A$3:$A$7,0)),"")</f>
        <v/>
      </c>
      <c r="P7" s="16" t="str">
        <f aca="false">IFERROR(INDEX('Evidence Pulls'!$N$6:$N$125,MATCH($J7,'Evidence Pulls'!$A$6:$A$125,0)),"")</f>
        <v/>
      </c>
      <c r="Q7" s="16" t="str">
        <f aca="false">IFERROR(INDEX('Evidence Pulls'!$G$6:$G$125,MATCH($J7,'Evidence Pulls'!$A$6:$A$125,0)),"")</f>
        <v/>
      </c>
      <c r="R7" s="16" t="str">
        <f aca="false">IFERROR(INDEX('Evidence Pulls'!$O$6:$O$125,MATCH($J7,'Evidence Pulls'!$A$6:$A$125,0)),"")</f>
        <v/>
      </c>
      <c r="S7" s="16" t="str">
        <f aca="false">IF(L7&lt;&gt;"",L7,IF(K7="","Not assessed",IF(N(O7)&gt;=3,"Demonstrated","Gap - remediate")))</f>
        <v>Not assessed</v>
      </c>
      <c r="T7" s="16" t="str">
        <f aca="false">IF(J7="","No evidence pull assigned",IF(COUNTIF('Evidence Pulls'!$A$6:$A$125,J7)=0,"Pull ID not on Evidence Pulls sheet",IF(K7="","Not graded",IF(AND(G7="MANDATORY",L7="Gap - recommend tailoring"),"INVALID: safety-mandatory, not tailorable",IF(OR(P7="",P7=0),"NO NAMED EXECUTOR",IF(AND(H7="Full",N(O7)&gt;=3,N(IFERROR(INDEX('Evidence Pulls'!$J$6:$J$125,MATCH($J7,'Evidence Pulls'!$A$6:$A$125,0)),""))=0),"Operating claimed with no sample",IF(AND(N(O7)&gt;=3,P7=1),"Operating rests on one individual",IF(AND(G7="MANDATORY",N(O7)&lt;3),"SAFETY GATE: below Operating","OK"))))))))</f>
        <v>No evidence pull assigned</v>
      </c>
    </row>
    <row r="8" customFormat="false" ht="22.35" hidden="false" customHeight="false" outlineLevel="0" collapsed="false">
      <c r="A8" s="13" t="s">
        <v>109</v>
      </c>
      <c r="B8" s="13" t="s">
        <v>99</v>
      </c>
      <c r="C8" s="13" t="s">
        <v>100</v>
      </c>
      <c r="D8" s="13" t="s">
        <v>101</v>
      </c>
      <c r="E8" s="13" t="s">
        <v>110</v>
      </c>
      <c r="F8" s="14"/>
      <c r="G8" s="13"/>
      <c r="H8" s="13" t="s">
        <v>103</v>
      </c>
      <c r="I8" s="13" t="s">
        <v>104</v>
      </c>
      <c r="J8" s="15"/>
      <c r="K8" s="15"/>
      <c r="L8" s="15"/>
      <c r="M8" s="15"/>
      <c r="N8" s="15"/>
      <c r="O8" s="16" t="str">
        <f aca="false">IFERROR(INDEX(Lists!$B$3:$B$7,MATCH(K8,Lists!$A$3:$A$7,0)),"")</f>
        <v/>
      </c>
      <c r="P8" s="16" t="str">
        <f aca="false">IFERROR(INDEX('Evidence Pulls'!$N$6:$N$125,MATCH($J8,'Evidence Pulls'!$A$6:$A$125,0)),"")</f>
        <v/>
      </c>
      <c r="Q8" s="16" t="str">
        <f aca="false">IFERROR(INDEX('Evidence Pulls'!$G$6:$G$125,MATCH($J8,'Evidence Pulls'!$A$6:$A$125,0)),"")</f>
        <v/>
      </c>
      <c r="R8" s="16" t="str">
        <f aca="false">IFERROR(INDEX('Evidence Pulls'!$O$6:$O$125,MATCH($J8,'Evidence Pulls'!$A$6:$A$125,0)),"")</f>
        <v/>
      </c>
      <c r="S8" s="16" t="str">
        <f aca="false">IF(L8&lt;&gt;"",L8,IF(K8="","Not assessed",IF(N(O8)&gt;=3,"Demonstrated","Gap - remediate")))</f>
        <v>Not assessed</v>
      </c>
      <c r="T8" s="16" t="str">
        <f aca="false">IF(J8="","No evidence pull assigned",IF(COUNTIF('Evidence Pulls'!$A$6:$A$125,J8)=0,"Pull ID not on Evidence Pulls sheet",IF(K8="","Not graded",IF(AND(G8="MANDATORY",L8="Gap - recommend tailoring"),"INVALID: safety-mandatory, not tailorable",IF(OR(P8="",P8=0),"NO NAMED EXECUTOR",IF(AND(H8="Full",N(O8)&gt;=3,N(IFERROR(INDEX('Evidence Pulls'!$J$6:$J$125,MATCH($J8,'Evidence Pulls'!$A$6:$A$125,0)),""))=0),"Operating claimed with no sample",IF(AND(N(O8)&gt;=3,P8=1),"Operating rests on one individual",IF(AND(G8="MANDATORY",N(O8)&lt;3),"SAFETY GATE: below Operating","OK"))))))))</f>
        <v>No evidence pull assigned</v>
      </c>
    </row>
    <row r="9" customFormat="false" ht="22.35" hidden="false" customHeight="false" outlineLevel="0" collapsed="false">
      <c r="A9" s="17" t="s">
        <v>111</v>
      </c>
      <c r="B9" s="17" t="s">
        <v>99</v>
      </c>
      <c r="C9" s="17" t="s">
        <v>100</v>
      </c>
      <c r="D9" s="17" t="s">
        <v>101</v>
      </c>
      <c r="E9" s="17" t="s">
        <v>112</v>
      </c>
      <c r="F9" s="17"/>
      <c r="G9" s="18" t="s">
        <v>107</v>
      </c>
      <c r="H9" s="18" t="s">
        <v>108</v>
      </c>
      <c r="I9" s="17" t="s">
        <v>104</v>
      </c>
      <c r="J9" s="15"/>
      <c r="K9" s="15"/>
      <c r="L9" s="15"/>
      <c r="M9" s="15"/>
      <c r="N9" s="15"/>
      <c r="O9" s="16" t="str">
        <f aca="false">IFERROR(INDEX(Lists!$B$3:$B$7,MATCH(K9,Lists!$A$3:$A$7,0)),"")</f>
        <v/>
      </c>
      <c r="P9" s="16" t="str">
        <f aca="false">IFERROR(INDEX('Evidence Pulls'!$N$6:$N$125,MATCH($J9,'Evidence Pulls'!$A$6:$A$125,0)),"")</f>
        <v/>
      </c>
      <c r="Q9" s="16" t="str">
        <f aca="false">IFERROR(INDEX('Evidence Pulls'!$G$6:$G$125,MATCH($J9,'Evidence Pulls'!$A$6:$A$125,0)),"")</f>
        <v/>
      </c>
      <c r="R9" s="16" t="str">
        <f aca="false">IFERROR(INDEX('Evidence Pulls'!$O$6:$O$125,MATCH($J9,'Evidence Pulls'!$A$6:$A$125,0)),"")</f>
        <v/>
      </c>
      <c r="S9" s="16" t="str">
        <f aca="false">IF(L9&lt;&gt;"",L9,IF(K9="","Not assessed",IF(N(O9)&gt;=3,"Demonstrated","Gap - remediate")))</f>
        <v>Not assessed</v>
      </c>
      <c r="T9" s="16" t="str">
        <f aca="false">IF(J9="","No evidence pull assigned",IF(COUNTIF('Evidence Pulls'!$A$6:$A$125,J9)=0,"Pull ID not on Evidence Pulls sheet",IF(K9="","Not graded",IF(AND(G9="MANDATORY",L9="Gap - recommend tailoring"),"INVALID: safety-mandatory, not tailorable",IF(OR(P9="",P9=0),"NO NAMED EXECUTOR",IF(AND(H9="Full",N(O9)&gt;=3,N(IFERROR(INDEX('Evidence Pulls'!$J$6:$J$125,MATCH($J9,'Evidence Pulls'!$A$6:$A$125,0)),""))=0),"Operating claimed with no sample",IF(AND(N(O9)&gt;=3,P9=1),"Operating rests on one individual",IF(AND(G9="MANDATORY",N(O9)&lt;3),"SAFETY GATE: below Operating","OK"))))))))</f>
        <v>No evidence pull assigned</v>
      </c>
    </row>
    <row r="10" customFormat="false" ht="15" hidden="false" customHeight="false" outlineLevel="0" collapsed="false">
      <c r="A10" s="13" t="s">
        <v>113</v>
      </c>
      <c r="B10" s="13" t="s">
        <v>114</v>
      </c>
      <c r="C10" s="13" t="s">
        <v>115</v>
      </c>
      <c r="D10" s="13" t="s">
        <v>116</v>
      </c>
      <c r="E10" s="13" t="s">
        <v>117</v>
      </c>
      <c r="F10" s="14"/>
      <c r="G10" s="13"/>
      <c r="H10" s="13" t="s">
        <v>103</v>
      </c>
      <c r="I10" s="13" t="s">
        <v>104</v>
      </c>
      <c r="J10" s="15"/>
      <c r="K10" s="15"/>
      <c r="L10" s="15"/>
      <c r="M10" s="15"/>
      <c r="N10" s="15"/>
      <c r="O10" s="16" t="str">
        <f aca="false">IFERROR(INDEX(Lists!$B$3:$B$7,MATCH(K10,Lists!$A$3:$A$7,0)),"")</f>
        <v/>
      </c>
      <c r="P10" s="16" t="str">
        <f aca="false">IFERROR(INDEX('Evidence Pulls'!$N$6:$N$125,MATCH($J10,'Evidence Pulls'!$A$6:$A$125,0)),"")</f>
        <v/>
      </c>
      <c r="Q10" s="16" t="str">
        <f aca="false">IFERROR(INDEX('Evidence Pulls'!$G$6:$G$125,MATCH($J10,'Evidence Pulls'!$A$6:$A$125,0)),"")</f>
        <v/>
      </c>
      <c r="R10" s="16" t="str">
        <f aca="false">IFERROR(INDEX('Evidence Pulls'!$O$6:$O$125,MATCH($J10,'Evidence Pulls'!$A$6:$A$125,0)),"")</f>
        <v/>
      </c>
      <c r="S10" s="16" t="str">
        <f aca="false">IF(L10&lt;&gt;"",L10,IF(K10="","Not assessed",IF(N(O10)&gt;=3,"Demonstrated","Gap - remediate")))</f>
        <v>Not assessed</v>
      </c>
      <c r="T10" s="16" t="str">
        <f aca="false">IF(J10="","No evidence pull assigned",IF(COUNTIF('Evidence Pulls'!$A$6:$A$125,J10)=0,"Pull ID not on Evidence Pulls sheet",IF(K10="","Not graded",IF(AND(G10="MANDATORY",L10="Gap - recommend tailoring"),"INVALID: safety-mandatory, not tailorable",IF(OR(P10="",P10=0),"NO NAMED EXECUTOR",IF(AND(H10="Full",N(O10)&gt;=3,N(IFERROR(INDEX('Evidence Pulls'!$J$6:$J$125,MATCH($J10,'Evidence Pulls'!$A$6:$A$125,0)),""))=0),"Operating claimed with no sample",IF(AND(N(O10)&gt;=3,P10=1),"Operating rests on one individual",IF(AND(G10="MANDATORY",N(O10)&lt;3),"SAFETY GATE: below Operating","OK"))))))))</f>
        <v>No evidence pull assigned</v>
      </c>
    </row>
    <row r="11" customFormat="false" ht="15" hidden="false" customHeight="false" outlineLevel="0" collapsed="false">
      <c r="A11" s="13" t="s">
        <v>118</v>
      </c>
      <c r="B11" s="13" t="s">
        <v>114</v>
      </c>
      <c r="C11" s="13" t="s">
        <v>115</v>
      </c>
      <c r="D11" s="13" t="s">
        <v>116</v>
      </c>
      <c r="E11" s="13" t="s">
        <v>119</v>
      </c>
      <c r="F11" s="14"/>
      <c r="G11" s="13"/>
      <c r="H11" s="13" t="s">
        <v>103</v>
      </c>
      <c r="I11" s="13" t="s">
        <v>104</v>
      </c>
      <c r="J11" s="15"/>
      <c r="K11" s="15"/>
      <c r="L11" s="15"/>
      <c r="M11" s="15"/>
      <c r="N11" s="15"/>
      <c r="O11" s="16" t="str">
        <f aca="false">IFERROR(INDEX(Lists!$B$3:$B$7,MATCH(K11,Lists!$A$3:$A$7,0)),"")</f>
        <v/>
      </c>
      <c r="P11" s="16" t="str">
        <f aca="false">IFERROR(INDEX('Evidence Pulls'!$N$6:$N$125,MATCH($J11,'Evidence Pulls'!$A$6:$A$125,0)),"")</f>
        <v/>
      </c>
      <c r="Q11" s="16" t="str">
        <f aca="false">IFERROR(INDEX('Evidence Pulls'!$G$6:$G$125,MATCH($J11,'Evidence Pulls'!$A$6:$A$125,0)),"")</f>
        <v/>
      </c>
      <c r="R11" s="16" t="str">
        <f aca="false">IFERROR(INDEX('Evidence Pulls'!$O$6:$O$125,MATCH($J11,'Evidence Pulls'!$A$6:$A$125,0)),"")</f>
        <v/>
      </c>
      <c r="S11" s="16" t="str">
        <f aca="false">IF(L11&lt;&gt;"",L11,IF(K11="","Not assessed",IF(N(O11)&gt;=3,"Demonstrated","Gap - remediate")))</f>
        <v>Not assessed</v>
      </c>
      <c r="T11" s="16" t="str">
        <f aca="false">IF(J11="","No evidence pull assigned",IF(COUNTIF('Evidence Pulls'!$A$6:$A$125,J11)=0,"Pull ID not on Evidence Pulls sheet",IF(K11="","Not graded",IF(AND(G11="MANDATORY",L11="Gap - recommend tailoring"),"INVALID: safety-mandatory, not tailorable",IF(OR(P11="",P11=0),"NO NAMED EXECUTOR",IF(AND(H11="Full",N(O11)&gt;=3,N(IFERROR(INDEX('Evidence Pulls'!$J$6:$J$125,MATCH($J11,'Evidence Pulls'!$A$6:$A$125,0)),""))=0),"Operating claimed with no sample",IF(AND(N(O11)&gt;=3,P11=1),"Operating rests on one individual",IF(AND(G11="MANDATORY",N(O11)&lt;3),"SAFETY GATE: below Operating","OK"))))))))</f>
        <v>No evidence pull assigned</v>
      </c>
    </row>
    <row r="12" customFormat="false" ht="15" hidden="false" customHeight="false" outlineLevel="0" collapsed="false">
      <c r="A12" s="13" t="s">
        <v>120</v>
      </c>
      <c r="B12" s="13" t="s">
        <v>114</v>
      </c>
      <c r="C12" s="13" t="s">
        <v>115</v>
      </c>
      <c r="D12" s="13" t="s">
        <v>116</v>
      </c>
      <c r="E12" s="13" t="s">
        <v>121</v>
      </c>
      <c r="F12" s="14"/>
      <c r="G12" s="13"/>
      <c r="H12" s="13" t="s">
        <v>103</v>
      </c>
      <c r="I12" s="13" t="s">
        <v>104</v>
      </c>
      <c r="J12" s="15"/>
      <c r="K12" s="15"/>
      <c r="L12" s="15"/>
      <c r="M12" s="15"/>
      <c r="N12" s="15"/>
      <c r="O12" s="16" t="str">
        <f aca="false">IFERROR(INDEX(Lists!$B$3:$B$7,MATCH(K12,Lists!$A$3:$A$7,0)),"")</f>
        <v/>
      </c>
      <c r="P12" s="16" t="str">
        <f aca="false">IFERROR(INDEX('Evidence Pulls'!$N$6:$N$125,MATCH($J12,'Evidence Pulls'!$A$6:$A$125,0)),"")</f>
        <v/>
      </c>
      <c r="Q12" s="16" t="str">
        <f aca="false">IFERROR(INDEX('Evidence Pulls'!$G$6:$G$125,MATCH($J12,'Evidence Pulls'!$A$6:$A$125,0)),"")</f>
        <v/>
      </c>
      <c r="R12" s="16" t="str">
        <f aca="false">IFERROR(INDEX('Evidence Pulls'!$O$6:$O$125,MATCH($J12,'Evidence Pulls'!$A$6:$A$125,0)),"")</f>
        <v/>
      </c>
      <c r="S12" s="16" t="str">
        <f aca="false">IF(L12&lt;&gt;"",L12,IF(K12="","Not assessed",IF(N(O12)&gt;=3,"Demonstrated","Gap - remediate")))</f>
        <v>Not assessed</v>
      </c>
      <c r="T12" s="16" t="str">
        <f aca="false">IF(J12="","No evidence pull assigned",IF(COUNTIF('Evidence Pulls'!$A$6:$A$125,J12)=0,"Pull ID not on Evidence Pulls sheet",IF(K12="","Not graded",IF(AND(G12="MANDATORY",L12="Gap - recommend tailoring"),"INVALID: safety-mandatory, not tailorable",IF(OR(P12="",P12=0),"NO NAMED EXECUTOR",IF(AND(H12="Full",N(O12)&gt;=3,N(IFERROR(INDEX('Evidence Pulls'!$J$6:$J$125,MATCH($J12,'Evidence Pulls'!$A$6:$A$125,0)),""))=0),"Operating claimed with no sample",IF(AND(N(O12)&gt;=3,P12=1),"Operating rests on one individual",IF(AND(G12="MANDATORY",N(O12)&lt;3),"SAFETY GATE: below Operating","OK"))))))))</f>
        <v>No evidence pull assigned</v>
      </c>
    </row>
    <row r="13" customFormat="false" ht="15" hidden="false" customHeight="false" outlineLevel="0" collapsed="false">
      <c r="A13" s="13" t="s">
        <v>122</v>
      </c>
      <c r="B13" s="13" t="s">
        <v>114</v>
      </c>
      <c r="C13" s="13" t="s">
        <v>115</v>
      </c>
      <c r="D13" s="13" t="s">
        <v>116</v>
      </c>
      <c r="E13" s="13" t="s">
        <v>123</v>
      </c>
      <c r="F13" s="14"/>
      <c r="G13" s="13"/>
      <c r="H13" s="13" t="s">
        <v>103</v>
      </c>
      <c r="I13" s="13" t="s">
        <v>104</v>
      </c>
      <c r="J13" s="15"/>
      <c r="K13" s="15"/>
      <c r="L13" s="15"/>
      <c r="M13" s="15"/>
      <c r="N13" s="15"/>
      <c r="O13" s="16" t="str">
        <f aca="false">IFERROR(INDEX(Lists!$B$3:$B$7,MATCH(K13,Lists!$A$3:$A$7,0)),"")</f>
        <v/>
      </c>
      <c r="P13" s="16" t="str">
        <f aca="false">IFERROR(INDEX('Evidence Pulls'!$N$6:$N$125,MATCH($J13,'Evidence Pulls'!$A$6:$A$125,0)),"")</f>
        <v/>
      </c>
      <c r="Q13" s="16" t="str">
        <f aca="false">IFERROR(INDEX('Evidence Pulls'!$G$6:$G$125,MATCH($J13,'Evidence Pulls'!$A$6:$A$125,0)),"")</f>
        <v/>
      </c>
      <c r="R13" s="16" t="str">
        <f aca="false">IFERROR(INDEX('Evidence Pulls'!$O$6:$O$125,MATCH($J13,'Evidence Pulls'!$A$6:$A$125,0)),"")</f>
        <v/>
      </c>
      <c r="S13" s="16" t="str">
        <f aca="false">IF(L13&lt;&gt;"",L13,IF(K13="","Not assessed",IF(N(O13)&gt;=3,"Demonstrated","Gap - remediate")))</f>
        <v>Not assessed</v>
      </c>
      <c r="T13" s="16" t="str">
        <f aca="false">IF(J13="","No evidence pull assigned",IF(COUNTIF('Evidence Pulls'!$A$6:$A$125,J13)=0,"Pull ID not on Evidence Pulls sheet",IF(K13="","Not graded",IF(AND(G13="MANDATORY",L13="Gap - recommend tailoring"),"INVALID: safety-mandatory, not tailorable",IF(OR(P13="",P13=0),"NO NAMED EXECUTOR",IF(AND(H13="Full",N(O13)&gt;=3,N(IFERROR(INDEX('Evidence Pulls'!$J$6:$J$125,MATCH($J13,'Evidence Pulls'!$A$6:$A$125,0)),""))=0),"Operating claimed with no sample",IF(AND(N(O13)&gt;=3,P13=1),"Operating rests on one individual",IF(AND(G13="MANDATORY",N(O13)&lt;3),"SAFETY GATE: below Operating","OK"))))))))</f>
        <v>No evidence pull assigned</v>
      </c>
    </row>
    <row r="14" customFormat="false" ht="15" hidden="false" customHeight="false" outlineLevel="0" collapsed="false">
      <c r="A14" s="13" t="s">
        <v>124</v>
      </c>
      <c r="B14" s="13" t="s">
        <v>114</v>
      </c>
      <c r="C14" s="13" t="s">
        <v>115</v>
      </c>
      <c r="D14" s="13" t="s">
        <v>116</v>
      </c>
      <c r="E14" s="13" t="s">
        <v>125</v>
      </c>
      <c r="F14" s="14"/>
      <c r="G14" s="13"/>
      <c r="H14" s="13" t="s">
        <v>103</v>
      </c>
      <c r="I14" s="13" t="s">
        <v>104</v>
      </c>
      <c r="J14" s="15"/>
      <c r="K14" s="15"/>
      <c r="L14" s="15"/>
      <c r="M14" s="15"/>
      <c r="N14" s="15"/>
      <c r="O14" s="16" t="str">
        <f aca="false">IFERROR(INDEX(Lists!$B$3:$B$7,MATCH(K14,Lists!$A$3:$A$7,0)),"")</f>
        <v/>
      </c>
      <c r="P14" s="16" t="str">
        <f aca="false">IFERROR(INDEX('Evidence Pulls'!$N$6:$N$125,MATCH($J14,'Evidence Pulls'!$A$6:$A$125,0)),"")</f>
        <v/>
      </c>
      <c r="Q14" s="16" t="str">
        <f aca="false">IFERROR(INDEX('Evidence Pulls'!$G$6:$G$125,MATCH($J14,'Evidence Pulls'!$A$6:$A$125,0)),"")</f>
        <v/>
      </c>
      <c r="R14" s="16" t="str">
        <f aca="false">IFERROR(INDEX('Evidence Pulls'!$O$6:$O$125,MATCH($J14,'Evidence Pulls'!$A$6:$A$125,0)),"")</f>
        <v/>
      </c>
      <c r="S14" s="16" t="str">
        <f aca="false">IF(L14&lt;&gt;"",L14,IF(K14="","Not assessed",IF(N(O14)&gt;=3,"Demonstrated","Gap - remediate")))</f>
        <v>Not assessed</v>
      </c>
      <c r="T14" s="16" t="str">
        <f aca="false">IF(J14="","No evidence pull assigned",IF(COUNTIF('Evidence Pulls'!$A$6:$A$125,J14)=0,"Pull ID not on Evidence Pulls sheet",IF(K14="","Not graded",IF(AND(G14="MANDATORY",L14="Gap - recommend tailoring"),"INVALID: safety-mandatory, not tailorable",IF(OR(P14="",P14=0),"NO NAMED EXECUTOR",IF(AND(H14="Full",N(O14)&gt;=3,N(IFERROR(INDEX('Evidence Pulls'!$J$6:$J$125,MATCH($J14,'Evidence Pulls'!$A$6:$A$125,0)),""))=0),"Operating claimed with no sample",IF(AND(N(O14)&gt;=3,P14=1),"Operating rests on one individual",IF(AND(G14="MANDATORY",N(O14)&lt;3),"SAFETY GATE: below Operating","OK"))))))))</f>
        <v>No evidence pull assigned</v>
      </c>
    </row>
    <row r="15" customFormat="false" ht="15" hidden="false" customHeight="false" outlineLevel="0" collapsed="false">
      <c r="A15" s="13" t="s">
        <v>126</v>
      </c>
      <c r="B15" s="13" t="s">
        <v>114</v>
      </c>
      <c r="C15" s="13" t="s">
        <v>115</v>
      </c>
      <c r="D15" s="13" t="s">
        <v>116</v>
      </c>
      <c r="E15" s="13" t="s">
        <v>127</v>
      </c>
      <c r="F15" s="14"/>
      <c r="G15" s="13"/>
      <c r="H15" s="13" t="s">
        <v>103</v>
      </c>
      <c r="I15" s="13" t="s">
        <v>104</v>
      </c>
      <c r="J15" s="15"/>
      <c r="K15" s="15"/>
      <c r="L15" s="15"/>
      <c r="M15" s="15"/>
      <c r="N15" s="15"/>
      <c r="O15" s="16" t="str">
        <f aca="false">IFERROR(INDEX(Lists!$B$3:$B$7,MATCH(K15,Lists!$A$3:$A$7,0)),"")</f>
        <v/>
      </c>
      <c r="P15" s="16" t="str">
        <f aca="false">IFERROR(INDEX('Evidence Pulls'!$N$6:$N$125,MATCH($J15,'Evidence Pulls'!$A$6:$A$125,0)),"")</f>
        <v/>
      </c>
      <c r="Q15" s="16" t="str">
        <f aca="false">IFERROR(INDEX('Evidence Pulls'!$G$6:$G$125,MATCH($J15,'Evidence Pulls'!$A$6:$A$125,0)),"")</f>
        <v/>
      </c>
      <c r="R15" s="16" t="str">
        <f aca="false">IFERROR(INDEX('Evidence Pulls'!$O$6:$O$125,MATCH($J15,'Evidence Pulls'!$A$6:$A$125,0)),"")</f>
        <v/>
      </c>
      <c r="S15" s="16" t="str">
        <f aca="false">IF(L15&lt;&gt;"",L15,IF(K15="","Not assessed",IF(N(O15)&gt;=3,"Demonstrated","Gap - remediate")))</f>
        <v>Not assessed</v>
      </c>
      <c r="T15" s="16" t="str">
        <f aca="false">IF(J15="","No evidence pull assigned",IF(COUNTIF('Evidence Pulls'!$A$6:$A$125,J15)=0,"Pull ID not on Evidence Pulls sheet",IF(K15="","Not graded",IF(AND(G15="MANDATORY",L15="Gap - recommend tailoring"),"INVALID: safety-mandatory, not tailorable",IF(OR(P15="",P15=0),"NO NAMED EXECUTOR",IF(AND(H15="Full",N(O15)&gt;=3,N(IFERROR(INDEX('Evidence Pulls'!$J$6:$J$125,MATCH($J15,'Evidence Pulls'!$A$6:$A$125,0)),""))=0),"Operating claimed with no sample",IF(AND(N(O15)&gt;=3,P15=1),"Operating rests on one individual",IF(AND(G15="MANDATORY",N(O15)&lt;3),"SAFETY GATE: below Operating","OK"))))))))</f>
        <v>No evidence pull assigned</v>
      </c>
    </row>
    <row r="16" customFormat="false" ht="15" hidden="false" customHeight="false" outlineLevel="0" collapsed="false">
      <c r="A16" s="13" t="s">
        <v>128</v>
      </c>
      <c r="B16" s="13" t="s">
        <v>114</v>
      </c>
      <c r="C16" s="13" t="s">
        <v>115</v>
      </c>
      <c r="D16" s="13" t="s">
        <v>116</v>
      </c>
      <c r="E16" s="13" t="s">
        <v>129</v>
      </c>
      <c r="F16" s="14"/>
      <c r="G16" s="13"/>
      <c r="H16" s="13" t="s">
        <v>103</v>
      </c>
      <c r="I16" s="13" t="s">
        <v>104</v>
      </c>
      <c r="J16" s="15"/>
      <c r="K16" s="15"/>
      <c r="L16" s="15"/>
      <c r="M16" s="15"/>
      <c r="N16" s="15"/>
      <c r="O16" s="16" t="str">
        <f aca="false">IFERROR(INDEX(Lists!$B$3:$B$7,MATCH(K16,Lists!$A$3:$A$7,0)),"")</f>
        <v/>
      </c>
      <c r="P16" s="16" t="str">
        <f aca="false">IFERROR(INDEX('Evidence Pulls'!$N$6:$N$125,MATCH($J16,'Evidence Pulls'!$A$6:$A$125,0)),"")</f>
        <v/>
      </c>
      <c r="Q16" s="16" t="str">
        <f aca="false">IFERROR(INDEX('Evidence Pulls'!$G$6:$G$125,MATCH($J16,'Evidence Pulls'!$A$6:$A$125,0)),"")</f>
        <v/>
      </c>
      <c r="R16" s="16" t="str">
        <f aca="false">IFERROR(INDEX('Evidence Pulls'!$O$6:$O$125,MATCH($J16,'Evidence Pulls'!$A$6:$A$125,0)),"")</f>
        <v/>
      </c>
      <c r="S16" s="16" t="str">
        <f aca="false">IF(L16&lt;&gt;"",L16,IF(K16="","Not assessed",IF(N(O16)&gt;=3,"Demonstrated","Gap - remediate")))</f>
        <v>Not assessed</v>
      </c>
      <c r="T16" s="16" t="str">
        <f aca="false">IF(J16="","No evidence pull assigned",IF(COUNTIF('Evidence Pulls'!$A$6:$A$125,J16)=0,"Pull ID not on Evidence Pulls sheet",IF(K16="","Not graded",IF(AND(G16="MANDATORY",L16="Gap - recommend tailoring"),"INVALID: safety-mandatory, not tailorable",IF(OR(P16="",P16=0),"NO NAMED EXECUTOR",IF(AND(H16="Full",N(O16)&gt;=3,N(IFERROR(INDEX('Evidence Pulls'!$J$6:$J$125,MATCH($J16,'Evidence Pulls'!$A$6:$A$125,0)),""))=0),"Operating claimed with no sample",IF(AND(N(O16)&gt;=3,P16=1),"Operating rests on one individual",IF(AND(G16="MANDATORY",N(O16)&lt;3),"SAFETY GATE: below Operating","OK"))))))))</f>
        <v>No evidence pull assigned</v>
      </c>
    </row>
    <row r="17" customFormat="false" ht="15" hidden="false" customHeight="false" outlineLevel="0" collapsed="false">
      <c r="A17" s="13" t="s">
        <v>130</v>
      </c>
      <c r="B17" s="13" t="s">
        <v>114</v>
      </c>
      <c r="C17" s="13" t="s">
        <v>115</v>
      </c>
      <c r="D17" s="13" t="s">
        <v>116</v>
      </c>
      <c r="E17" s="13" t="s">
        <v>131</v>
      </c>
      <c r="F17" s="14"/>
      <c r="G17" s="13"/>
      <c r="H17" s="13" t="s">
        <v>103</v>
      </c>
      <c r="I17" s="13" t="s">
        <v>104</v>
      </c>
      <c r="J17" s="15"/>
      <c r="K17" s="15"/>
      <c r="L17" s="15"/>
      <c r="M17" s="15"/>
      <c r="N17" s="15"/>
      <c r="O17" s="16" t="str">
        <f aca="false">IFERROR(INDEX(Lists!$B$3:$B$7,MATCH(K17,Lists!$A$3:$A$7,0)),"")</f>
        <v/>
      </c>
      <c r="P17" s="16" t="str">
        <f aca="false">IFERROR(INDEX('Evidence Pulls'!$N$6:$N$125,MATCH($J17,'Evidence Pulls'!$A$6:$A$125,0)),"")</f>
        <v/>
      </c>
      <c r="Q17" s="16" t="str">
        <f aca="false">IFERROR(INDEX('Evidence Pulls'!$G$6:$G$125,MATCH($J17,'Evidence Pulls'!$A$6:$A$125,0)),"")</f>
        <v/>
      </c>
      <c r="R17" s="16" t="str">
        <f aca="false">IFERROR(INDEX('Evidence Pulls'!$O$6:$O$125,MATCH($J17,'Evidence Pulls'!$A$6:$A$125,0)),"")</f>
        <v/>
      </c>
      <c r="S17" s="16" t="str">
        <f aca="false">IF(L17&lt;&gt;"",L17,IF(K17="","Not assessed",IF(N(O17)&gt;=3,"Demonstrated","Gap - remediate")))</f>
        <v>Not assessed</v>
      </c>
      <c r="T17" s="16" t="str">
        <f aca="false">IF(J17="","No evidence pull assigned",IF(COUNTIF('Evidence Pulls'!$A$6:$A$125,J17)=0,"Pull ID not on Evidence Pulls sheet",IF(K17="","Not graded",IF(AND(G17="MANDATORY",L17="Gap - recommend tailoring"),"INVALID: safety-mandatory, not tailorable",IF(OR(P17="",P17=0),"NO NAMED EXECUTOR",IF(AND(H17="Full",N(O17)&gt;=3,N(IFERROR(INDEX('Evidence Pulls'!$J$6:$J$125,MATCH($J17,'Evidence Pulls'!$A$6:$A$125,0)),""))=0),"Operating claimed with no sample",IF(AND(N(O17)&gt;=3,P17=1),"Operating rests on one individual",IF(AND(G17="MANDATORY",N(O17)&lt;3),"SAFETY GATE: below Operating","OK"))))))))</f>
        <v>No evidence pull assigned</v>
      </c>
    </row>
    <row r="18" customFormat="false" ht="15" hidden="false" customHeight="false" outlineLevel="0" collapsed="false">
      <c r="A18" s="13" t="s">
        <v>132</v>
      </c>
      <c r="B18" s="13" t="s">
        <v>114</v>
      </c>
      <c r="C18" s="13" t="s">
        <v>115</v>
      </c>
      <c r="D18" s="13" t="s">
        <v>116</v>
      </c>
      <c r="E18" s="13" t="s">
        <v>133</v>
      </c>
      <c r="F18" s="14"/>
      <c r="G18" s="13"/>
      <c r="H18" s="13" t="s">
        <v>103</v>
      </c>
      <c r="I18" s="13" t="s">
        <v>104</v>
      </c>
      <c r="J18" s="15"/>
      <c r="K18" s="15"/>
      <c r="L18" s="15"/>
      <c r="M18" s="15"/>
      <c r="N18" s="15"/>
      <c r="O18" s="16" t="str">
        <f aca="false">IFERROR(INDEX(Lists!$B$3:$B$7,MATCH(K18,Lists!$A$3:$A$7,0)),"")</f>
        <v/>
      </c>
      <c r="P18" s="16" t="str">
        <f aca="false">IFERROR(INDEX('Evidence Pulls'!$N$6:$N$125,MATCH($J18,'Evidence Pulls'!$A$6:$A$125,0)),"")</f>
        <v/>
      </c>
      <c r="Q18" s="16" t="str">
        <f aca="false">IFERROR(INDEX('Evidence Pulls'!$G$6:$G$125,MATCH($J18,'Evidence Pulls'!$A$6:$A$125,0)),"")</f>
        <v/>
      </c>
      <c r="R18" s="16" t="str">
        <f aca="false">IFERROR(INDEX('Evidence Pulls'!$O$6:$O$125,MATCH($J18,'Evidence Pulls'!$A$6:$A$125,0)),"")</f>
        <v/>
      </c>
      <c r="S18" s="16" t="str">
        <f aca="false">IF(L18&lt;&gt;"",L18,IF(K18="","Not assessed",IF(N(O18)&gt;=3,"Demonstrated","Gap - remediate")))</f>
        <v>Not assessed</v>
      </c>
      <c r="T18" s="16" t="str">
        <f aca="false">IF(J18="","No evidence pull assigned",IF(COUNTIF('Evidence Pulls'!$A$6:$A$125,J18)=0,"Pull ID not on Evidence Pulls sheet",IF(K18="","Not graded",IF(AND(G18="MANDATORY",L18="Gap - recommend tailoring"),"INVALID: safety-mandatory, not tailorable",IF(OR(P18="",P18=0),"NO NAMED EXECUTOR",IF(AND(H18="Full",N(O18)&gt;=3,N(IFERROR(INDEX('Evidence Pulls'!$J$6:$J$125,MATCH($J18,'Evidence Pulls'!$A$6:$A$125,0)),""))=0),"Operating claimed with no sample",IF(AND(N(O18)&gt;=3,P18=1),"Operating rests on one individual",IF(AND(G18="MANDATORY",N(O18)&lt;3),"SAFETY GATE: below Operating","OK"))))))))</f>
        <v>No evidence pull assigned</v>
      </c>
    </row>
    <row r="19" customFormat="false" ht="15" hidden="false" customHeight="false" outlineLevel="0" collapsed="false">
      <c r="A19" s="13" t="s">
        <v>134</v>
      </c>
      <c r="B19" s="13" t="s">
        <v>114</v>
      </c>
      <c r="C19" s="13" t="s">
        <v>115</v>
      </c>
      <c r="D19" s="13" t="s">
        <v>116</v>
      </c>
      <c r="E19" s="13" t="s">
        <v>135</v>
      </c>
      <c r="F19" s="14"/>
      <c r="G19" s="13"/>
      <c r="H19" s="13" t="s">
        <v>103</v>
      </c>
      <c r="I19" s="13" t="s">
        <v>104</v>
      </c>
      <c r="J19" s="15"/>
      <c r="K19" s="15"/>
      <c r="L19" s="15"/>
      <c r="M19" s="15"/>
      <c r="N19" s="15"/>
      <c r="O19" s="16" t="str">
        <f aca="false">IFERROR(INDEX(Lists!$B$3:$B$7,MATCH(K19,Lists!$A$3:$A$7,0)),"")</f>
        <v/>
      </c>
      <c r="P19" s="16" t="str">
        <f aca="false">IFERROR(INDEX('Evidence Pulls'!$N$6:$N$125,MATCH($J19,'Evidence Pulls'!$A$6:$A$125,0)),"")</f>
        <v/>
      </c>
      <c r="Q19" s="16" t="str">
        <f aca="false">IFERROR(INDEX('Evidence Pulls'!$G$6:$G$125,MATCH($J19,'Evidence Pulls'!$A$6:$A$125,0)),"")</f>
        <v/>
      </c>
      <c r="R19" s="16" t="str">
        <f aca="false">IFERROR(INDEX('Evidence Pulls'!$O$6:$O$125,MATCH($J19,'Evidence Pulls'!$A$6:$A$125,0)),"")</f>
        <v/>
      </c>
      <c r="S19" s="16" t="str">
        <f aca="false">IF(L19&lt;&gt;"",L19,IF(K19="","Not assessed",IF(N(O19)&gt;=3,"Demonstrated","Gap - remediate")))</f>
        <v>Not assessed</v>
      </c>
      <c r="T19" s="16" t="str">
        <f aca="false">IF(J19="","No evidence pull assigned",IF(COUNTIF('Evidence Pulls'!$A$6:$A$125,J19)=0,"Pull ID not on Evidence Pulls sheet",IF(K19="","Not graded",IF(AND(G19="MANDATORY",L19="Gap - recommend tailoring"),"INVALID: safety-mandatory, not tailorable",IF(OR(P19="",P19=0),"NO NAMED EXECUTOR",IF(AND(H19="Full",N(O19)&gt;=3,N(IFERROR(INDEX('Evidence Pulls'!$J$6:$J$125,MATCH($J19,'Evidence Pulls'!$A$6:$A$125,0)),""))=0),"Operating claimed with no sample",IF(AND(N(O19)&gt;=3,P19=1),"Operating rests on one individual",IF(AND(G19="MANDATORY",N(O19)&lt;3),"SAFETY GATE: below Operating","OK"))))))))</f>
        <v>No evidence pull assigned</v>
      </c>
    </row>
    <row r="20" customFormat="false" ht="15" hidden="false" customHeight="false" outlineLevel="0" collapsed="false">
      <c r="A20" s="13" t="s">
        <v>136</v>
      </c>
      <c r="B20" s="13" t="s">
        <v>114</v>
      </c>
      <c r="C20" s="13" t="s">
        <v>115</v>
      </c>
      <c r="D20" s="13" t="s">
        <v>116</v>
      </c>
      <c r="E20" s="13" t="s">
        <v>137</v>
      </c>
      <c r="F20" s="14"/>
      <c r="G20" s="13"/>
      <c r="H20" s="13" t="s">
        <v>103</v>
      </c>
      <c r="I20" s="13" t="s">
        <v>104</v>
      </c>
      <c r="J20" s="15"/>
      <c r="K20" s="15"/>
      <c r="L20" s="15"/>
      <c r="M20" s="15"/>
      <c r="N20" s="15"/>
      <c r="O20" s="16" t="str">
        <f aca="false">IFERROR(INDEX(Lists!$B$3:$B$7,MATCH(K20,Lists!$A$3:$A$7,0)),"")</f>
        <v/>
      </c>
      <c r="P20" s="16" t="str">
        <f aca="false">IFERROR(INDEX('Evidence Pulls'!$N$6:$N$125,MATCH($J20,'Evidence Pulls'!$A$6:$A$125,0)),"")</f>
        <v/>
      </c>
      <c r="Q20" s="16" t="str">
        <f aca="false">IFERROR(INDEX('Evidence Pulls'!$G$6:$G$125,MATCH($J20,'Evidence Pulls'!$A$6:$A$125,0)),"")</f>
        <v/>
      </c>
      <c r="R20" s="16" t="str">
        <f aca="false">IFERROR(INDEX('Evidence Pulls'!$O$6:$O$125,MATCH($J20,'Evidence Pulls'!$A$6:$A$125,0)),"")</f>
        <v/>
      </c>
      <c r="S20" s="16" t="str">
        <f aca="false">IF(L20&lt;&gt;"",L20,IF(K20="","Not assessed",IF(N(O20)&gt;=3,"Demonstrated","Gap - remediate")))</f>
        <v>Not assessed</v>
      </c>
      <c r="T20" s="16" t="str">
        <f aca="false">IF(J20="","No evidence pull assigned",IF(COUNTIF('Evidence Pulls'!$A$6:$A$125,J20)=0,"Pull ID not on Evidence Pulls sheet",IF(K20="","Not graded",IF(AND(G20="MANDATORY",L20="Gap - recommend tailoring"),"INVALID: safety-mandatory, not tailorable",IF(OR(P20="",P20=0),"NO NAMED EXECUTOR",IF(AND(H20="Full",N(O20)&gt;=3,N(IFERROR(INDEX('Evidence Pulls'!$J$6:$J$125,MATCH($J20,'Evidence Pulls'!$A$6:$A$125,0)),""))=0),"Operating claimed with no sample",IF(AND(N(O20)&gt;=3,P20=1),"Operating rests on one individual",IF(AND(G20="MANDATORY",N(O20)&lt;3),"SAFETY GATE: below Operating","OK"))))))))</f>
        <v>No evidence pull assigned</v>
      </c>
    </row>
    <row r="21" customFormat="false" ht="22.35" hidden="false" customHeight="false" outlineLevel="0" collapsed="false">
      <c r="A21" s="13" t="s">
        <v>138</v>
      </c>
      <c r="B21" s="13" t="s">
        <v>114</v>
      </c>
      <c r="C21" s="13" t="s">
        <v>139</v>
      </c>
      <c r="D21" s="13" t="s">
        <v>140</v>
      </c>
      <c r="E21" s="13" t="s">
        <v>102</v>
      </c>
      <c r="F21" s="14"/>
      <c r="G21" s="13"/>
      <c r="H21" s="13" t="s">
        <v>103</v>
      </c>
      <c r="I21" s="13" t="s">
        <v>104</v>
      </c>
      <c r="J21" s="15"/>
      <c r="K21" s="15"/>
      <c r="L21" s="15"/>
      <c r="M21" s="15"/>
      <c r="N21" s="15"/>
      <c r="O21" s="16" t="str">
        <f aca="false">IFERROR(INDEX(Lists!$B$3:$B$7,MATCH(K21,Lists!$A$3:$A$7,0)),"")</f>
        <v/>
      </c>
      <c r="P21" s="16" t="str">
        <f aca="false">IFERROR(INDEX('Evidence Pulls'!$N$6:$N$125,MATCH($J21,'Evidence Pulls'!$A$6:$A$125,0)),"")</f>
        <v/>
      </c>
      <c r="Q21" s="16" t="str">
        <f aca="false">IFERROR(INDEX('Evidence Pulls'!$G$6:$G$125,MATCH($J21,'Evidence Pulls'!$A$6:$A$125,0)),"")</f>
        <v/>
      </c>
      <c r="R21" s="16" t="str">
        <f aca="false">IFERROR(INDEX('Evidence Pulls'!$O$6:$O$125,MATCH($J21,'Evidence Pulls'!$A$6:$A$125,0)),"")</f>
        <v/>
      </c>
      <c r="S21" s="16" t="str">
        <f aca="false">IF(L21&lt;&gt;"",L21,IF(K21="","Not assessed",IF(N(O21)&gt;=3,"Demonstrated","Gap - remediate")))</f>
        <v>Not assessed</v>
      </c>
      <c r="T21" s="16" t="str">
        <f aca="false">IF(J21="","No evidence pull assigned",IF(COUNTIF('Evidence Pulls'!$A$6:$A$125,J21)=0,"Pull ID not on Evidence Pulls sheet",IF(K21="","Not graded",IF(AND(G21="MANDATORY",L21="Gap - recommend tailoring"),"INVALID: safety-mandatory, not tailorable",IF(OR(P21="",P21=0),"NO NAMED EXECUTOR",IF(AND(H21="Full",N(O21)&gt;=3,N(IFERROR(INDEX('Evidence Pulls'!$J$6:$J$125,MATCH($J21,'Evidence Pulls'!$A$6:$A$125,0)),""))=0),"Operating claimed with no sample",IF(AND(N(O21)&gt;=3,P21=1),"Operating rests on one individual",IF(AND(G21="MANDATORY",N(O21)&lt;3),"SAFETY GATE: below Operating","OK"))))))))</f>
        <v>No evidence pull assigned</v>
      </c>
    </row>
    <row r="22" customFormat="false" ht="22.35" hidden="false" customHeight="false" outlineLevel="0" collapsed="false">
      <c r="A22" s="13" t="s">
        <v>141</v>
      </c>
      <c r="B22" s="13" t="s">
        <v>114</v>
      </c>
      <c r="C22" s="13" t="s">
        <v>139</v>
      </c>
      <c r="D22" s="13" t="s">
        <v>140</v>
      </c>
      <c r="E22" s="13" t="s">
        <v>106</v>
      </c>
      <c r="F22" s="14"/>
      <c r="G22" s="13"/>
      <c r="H22" s="13" t="s">
        <v>103</v>
      </c>
      <c r="I22" s="13" t="s">
        <v>104</v>
      </c>
      <c r="J22" s="15"/>
      <c r="K22" s="15"/>
      <c r="L22" s="15"/>
      <c r="M22" s="15"/>
      <c r="N22" s="15"/>
      <c r="O22" s="16" t="str">
        <f aca="false">IFERROR(INDEX(Lists!$B$3:$B$7,MATCH(K22,Lists!$A$3:$A$7,0)),"")</f>
        <v/>
      </c>
      <c r="P22" s="16" t="str">
        <f aca="false">IFERROR(INDEX('Evidence Pulls'!$N$6:$N$125,MATCH($J22,'Evidence Pulls'!$A$6:$A$125,0)),"")</f>
        <v/>
      </c>
      <c r="Q22" s="16" t="str">
        <f aca="false">IFERROR(INDEX('Evidence Pulls'!$G$6:$G$125,MATCH($J22,'Evidence Pulls'!$A$6:$A$125,0)),"")</f>
        <v/>
      </c>
      <c r="R22" s="16" t="str">
        <f aca="false">IFERROR(INDEX('Evidence Pulls'!$O$6:$O$125,MATCH($J22,'Evidence Pulls'!$A$6:$A$125,0)),"")</f>
        <v/>
      </c>
      <c r="S22" s="16" t="str">
        <f aca="false">IF(L22&lt;&gt;"",L22,IF(K22="","Not assessed",IF(N(O22)&gt;=3,"Demonstrated","Gap - remediate")))</f>
        <v>Not assessed</v>
      </c>
      <c r="T22" s="16" t="str">
        <f aca="false">IF(J22="","No evidence pull assigned",IF(COUNTIF('Evidence Pulls'!$A$6:$A$125,J22)=0,"Pull ID not on Evidence Pulls sheet",IF(K22="","Not graded",IF(AND(G22="MANDATORY",L22="Gap - recommend tailoring"),"INVALID: safety-mandatory, not tailorable",IF(OR(P22="",P22=0),"NO NAMED EXECUTOR",IF(AND(H22="Full",N(O22)&gt;=3,N(IFERROR(INDEX('Evidence Pulls'!$J$6:$J$125,MATCH($J22,'Evidence Pulls'!$A$6:$A$125,0)),""))=0),"Operating claimed with no sample",IF(AND(N(O22)&gt;=3,P22=1),"Operating rests on one individual",IF(AND(G22="MANDATORY",N(O22)&lt;3),"SAFETY GATE: below Operating","OK"))))))))</f>
        <v>No evidence pull assigned</v>
      </c>
    </row>
    <row r="23" customFormat="false" ht="15" hidden="false" customHeight="false" outlineLevel="0" collapsed="false">
      <c r="A23" s="13" t="s">
        <v>142</v>
      </c>
      <c r="B23" s="13" t="s">
        <v>114</v>
      </c>
      <c r="C23" s="13" t="s">
        <v>143</v>
      </c>
      <c r="D23" s="13" t="s">
        <v>144</v>
      </c>
      <c r="E23" s="13" t="s">
        <v>102</v>
      </c>
      <c r="F23" s="14"/>
      <c r="G23" s="13"/>
      <c r="H23" s="13" t="s">
        <v>103</v>
      </c>
      <c r="I23" s="13" t="s">
        <v>104</v>
      </c>
      <c r="J23" s="15"/>
      <c r="K23" s="15"/>
      <c r="L23" s="15"/>
      <c r="M23" s="15"/>
      <c r="N23" s="15"/>
      <c r="O23" s="16" t="str">
        <f aca="false">IFERROR(INDEX(Lists!$B$3:$B$7,MATCH(K23,Lists!$A$3:$A$7,0)),"")</f>
        <v/>
      </c>
      <c r="P23" s="16" t="str">
        <f aca="false">IFERROR(INDEX('Evidence Pulls'!$N$6:$N$125,MATCH($J23,'Evidence Pulls'!$A$6:$A$125,0)),"")</f>
        <v/>
      </c>
      <c r="Q23" s="16" t="str">
        <f aca="false">IFERROR(INDEX('Evidence Pulls'!$G$6:$G$125,MATCH($J23,'Evidence Pulls'!$A$6:$A$125,0)),"")</f>
        <v/>
      </c>
      <c r="R23" s="16" t="str">
        <f aca="false">IFERROR(INDEX('Evidence Pulls'!$O$6:$O$125,MATCH($J23,'Evidence Pulls'!$A$6:$A$125,0)),"")</f>
        <v/>
      </c>
      <c r="S23" s="16" t="str">
        <f aca="false">IF(L23&lt;&gt;"",L23,IF(K23="","Not assessed",IF(N(O23)&gt;=3,"Demonstrated","Gap - remediate")))</f>
        <v>Not assessed</v>
      </c>
      <c r="T23" s="16" t="str">
        <f aca="false">IF(J23="","No evidence pull assigned",IF(COUNTIF('Evidence Pulls'!$A$6:$A$125,J23)=0,"Pull ID not on Evidence Pulls sheet",IF(K23="","Not graded",IF(AND(G23="MANDATORY",L23="Gap - recommend tailoring"),"INVALID: safety-mandatory, not tailorable",IF(OR(P23="",P23=0),"NO NAMED EXECUTOR",IF(AND(H23="Full",N(O23)&gt;=3,N(IFERROR(INDEX('Evidence Pulls'!$J$6:$J$125,MATCH($J23,'Evidence Pulls'!$A$6:$A$125,0)),""))=0),"Operating claimed with no sample",IF(AND(N(O23)&gt;=3,P23=1),"Operating rests on one individual",IF(AND(G23="MANDATORY",N(O23)&lt;3),"SAFETY GATE: below Operating","OK"))))))))</f>
        <v>No evidence pull assigned</v>
      </c>
    </row>
    <row r="24" customFormat="false" ht="15" hidden="false" customHeight="false" outlineLevel="0" collapsed="false">
      <c r="A24" s="13" t="s">
        <v>145</v>
      </c>
      <c r="B24" s="13" t="s">
        <v>114</v>
      </c>
      <c r="C24" s="13" t="s">
        <v>146</v>
      </c>
      <c r="D24" s="13" t="s">
        <v>147</v>
      </c>
      <c r="E24" s="13" t="s">
        <v>102</v>
      </c>
      <c r="F24" s="14"/>
      <c r="G24" s="13"/>
      <c r="H24" s="13" t="s">
        <v>103</v>
      </c>
      <c r="I24" s="13" t="s">
        <v>104</v>
      </c>
      <c r="J24" s="15"/>
      <c r="K24" s="15"/>
      <c r="L24" s="15"/>
      <c r="M24" s="15"/>
      <c r="N24" s="15"/>
      <c r="O24" s="16" t="str">
        <f aca="false">IFERROR(INDEX(Lists!$B$3:$B$7,MATCH(K24,Lists!$A$3:$A$7,0)),"")</f>
        <v/>
      </c>
      <c r="P24" s="16" t="str">
        <f aca="false">IFERROR(INDEX('Evidence Pulls'!$N$6:$N$125,MATCH($J24,'Evidence Pulls'!$A$6:$A$125,0)),"")</f>
        <v/>
      </c>
      <c r="Q24" s="16" t="str">
        <f aca="false">IFERROR(INDEX('Evidence Pulls'!$G$6:$G$125,MATCH($J24,'Evidence Pulls'!$A$6:$A$125,0)),"")</f>
        <v/>
      </c>
      <c r="R24" s="16" t="str">
        <f aca="false">IFERROR(INDEX('Evidence Pulls'!$O$6:$O$125,MATCH($J24,'Evidence Pulls'!$A$6:$A$125,0)),"")</f>
        <v/>
      </c>
      <c r="S24" s="16" t="str">
        <f aca="false">IF(L24&lt;&gt;"",L24,IF(K24="","Not assessed",IF(N(O24)&gt;=3,"Demonstrated","Gap - remediate")))</f>
        <v>Not assessed</v>
      </c>
      <c r="T24" s="16" t="str">
        <f aca="false">IF(J24="","No evidence pull assigned",IF(COUNTIF('Evidence Pulls'!$A$6:$A$125,J24)=0,"Pull ID not on Evidence Pulls sheet",IF(K24="","Not graded",IF(AND(G24="MANDATORY",L24="Gap - recommend tailoring"),"INVALID: safety-mandatory, not tailorable",IF(OR(P24="",P24=0),"NO NAMED EXECUTOR",IF(AND(H24="Full",N(O24)&gt;=3,N(IFERROR(INDEX('Evidence Pulls'!$J$6:$J$125,MATCH($J24,'Evidence Pulls'!$A$6:$A$125,0)),""))=0),"Operating claimed with no sample",IF(AND(N(O24)&gt;=3,P24=1),"Operating rests on one individual",IF(AND(G24="MANDATORY",N(O24)&lt;3),"SAFETY GATE: below Operating","OK"))))))))</f>
        <v>No evidence pull assigned</v>
      </c>
    </row>
    <row r="25" customFormat="false" ht="22.35" hidden="false" customHeight="false" outlineLevel="0" collapsed="false">
      <c r="A25" s="13" t="s">
        <v>148</v>
      </c>
      <c r="B25" s="13" t="s">
        <v>114</v>
      </c>
      <c r="C25" s="13" t="s">
        <v>149</v>
      </c>
      <c r="D25" s="13" t="s">
        <v>150</v>
      </c>
      <c r="E25" s="13" t="s">
        <v>102</v>
      </c>
      <c r="F25" s="14"/>
      <c r="G25" s="13"/>
      <c r="H25" s="13" t="s">
        <v>103</v>
      </c>
      <c r="I25" s="13" t="s">
        <v>104</v>
      </c>
      <c r="J25" s="15"/>
      <c r="K25" s="15"/>
      <c r="L25" s="15"/>
      <c r="M25" s="15"/>
      <c r="N25" s="15"/>
      <c r="O25" s="16" t="str">
        <f aca="false">IFERROR(INDEX(Lists!$B$3:$B$7,MATCH(K25,Lists!$A$3:$A$7,0)),"")</f>
        <v/>
      </c>
      <c r="P25" s="16" t="str">
        <f aca="false">IFERROR(INDEX('Evidence Pulls'!$N$6:$N$125,MATCH($J25,'Evidence Pulls'!$A$6:$A$125,0)),"")</f>
        <v/>
      </c>
      <c r="Q25" s="16" t="str">
        <f aca="false">IFERROR(INDEX('Evidence Pulls'!$G$6:$G$125,MATCH($J25,'Evidence Pulls'!$A$6:$A$125,0)),"")</f>
        <v/>
      </c>
      <c r="R25" s="16" t="str">
        <f aca="false">IFERROR(INDEX('Evidence Pulls'!$O$6:$O$125,MATCH($J25,'Evidence Pulls'!$A$6:$A$125,0)),"")</f>
        <v/>
      </c>
      <c r="S25" s="16" t="str">
        <f aca="false">IF(L25&lt;&gt;"",L25,IF(K25="","Not assessed",IF(N(O25)&gt;=3,"Demonstrated","Gap - remediate")))</f>
        <v>Not assessed</v>
      </c>
      <c r="T25" s="16" t="str">
        <f aca="false">IF(J25="","No evidence pull assigned",IF(COUNTIF('Evidence Pulls'!$A$6:$A$125,J25)=0,"Pull ID not on Evidence Pulls sheet",IF(K25="","Not graded",IF(AND(G25="MANDATORY",L25="Gap - recommend tailoring"),"INVALID: safety-mandatory, not tailorable",IF(OR(P25="",P25=0),"NO NAMED EXECUTOR",IF(AND(H25="Full",N(O25)&gt;=3,N(IFERROR(INDEX('Evidence Pulls'!$J$6:$J$125,MATCH($J25,'Evidence Pulls'!$A$6:$A$125,0)),""))=0),"Operating claimed with no sample",IF(AND(N(O25)&gt;=3,P25=1),"Operating rests on one individual",IF(AND(G25="MANDATORY",N(O25)&lt;3),"SAFETY GATE: below Operating","OK"))))))))</f>
        <v>No evidence pull assigned</v>
      </c>
    </row>
    <row r="26" customFormat="false" ht="22.35" hidden="false" customHeight="false" outlineLevel="0" collapsed="false">
      <c r="A26" s="13" t="s">
        <v>151</v>
      </c>
      <c r="B26" s="13" t="s">
        <v>114</v>
      </c>
      <c r="C26" s="13" t="s">
        <v>149</v>
      </c>
      <c r="D26" s="13" t="s">
        <v>150</v>
      </c>
      <c r="E26" s="13" t="s">
        <v>106</v>
      </c>
      <c r="F26" s="14"/>
      <c r="G26" s="13"/>
      <c r="H26" s="13" t="s">
        <v>103</v>
      </c>
      <c r="I26" s="13" t="s">
        <v>104</v>
      </c>
      <c r="J26" s="15"/>
      <c r="K26" s="15"/>
      <c r="L26" s="15"/>
      <c r="M26" s="15"/>
      <c r="N26" s="15"/>
      <c r="O26" s="16" t="str">
        <f aca="false">IFERROR(INDEX(Lists!$B$3:$B$7,MATCH(K26,Lists!$A$3:$A$7,0)),"")</f>
        <v/>
      </c>
      <c r="P26" s="16" t="str">
        <f aca="false">IFERROR(INDEX('Evidence Pulls'!$N$6:$N$125,MATCH($J26,'Evidence Pulls'!$A$6:$A$125,0)),"")</f>
        <v/>
      </c>
      <c r="Q26" s="16" t="str">
        <f aca="false">IFERROR(INDEX('Evidence Pulls'!$G$6:$G$125,MATCH($J26,'Evidence Pulls'!$A$6:$A$125,0)),"")</f>
        <v/>
      </c>
      <c r="R26" s="16" t="str">
        <f aca="false">IFERROR(INDEX('Evidence Pulls'!$O$6:$O$125,MATCH($J26,'Evidence Pulls'!$A$6:$A$125,0)),"")</f>
        <v/>
      </c>
      <c r="S26" s="16" t="str">
        <f aca="false">IF(L26&lt;&gt;"",L26,IF(K26="","Not assessed",IF(N(O26)&gt;=3,"Demonstrated","Gap - remediate")))</f>
        <v>Not assessed</v>
      </c>
      <c r="T26" s="16" t="str">
        <f aca="false">IF(J26="","No evidence pull assigned",IF(COUNTIF('Evidence Pulls'!$A$6:$A$125,J26)=0,"Pull ID not on Evidence Pulls sheet",IF(K26="","Not graded",IF(AND(G26="MANDATORY",L26="Gap - recommend tailoring"),"INVALID: safety-mandatory, not tailorable",IF(OR(P26="",P26=0),"NO NAMED EXECUTOR",IF(AND(H26="Full",N(O26)&gt;=3,N(IFERROR(INDEX('Evidence Pulls'!$J$6:$J$125,MATCH($J26,'Evidence Pulls'!$A$6:$A$125,0)),""))=0),"Operating claimed with no sample",IF(AND(N(O26)&gt;=3,P26=1),"Operating rests on one individual",IF(AND(G26="MANDATORY",N(O26)&lt;3),"SAFETY GATE: below Operating","OK"))))))))</f>
        <v>No evidence pull assigned</v>
      </c>
    </row>
    <row r="27" customFormat="false" ht="15" hidden="false" customHeight="false" outlineLevel="0" collapsed="false">
      <c r="A27" s="13" t="s">
        <v>152</v>
      </c>
      <c r="B27" s="13" t="s">
        <v>153</v>
      </c>
      <c r="C27" s="13" t="s">
        <v>154</v>
      </c>
      <c r="D27" s="13" t="s">
        <v>155</v>
      </c>
      <c r="E27" s="13" t="s">
        <v>102</v>
      </c>
      <c r="F27" s="14"/>
      <c r="G27" s="13"/>
      <c r="H27" s="13" t="s">
        <v>103</v>
      </c>
      <c r="I27" s="13" t="s">
        <v>156</v>
      </c>
      <c r="J27" s="15"/>
      <c r="K27" s="15"/>
      <c r="L27" s="15"/>
      <c r="M27" s="15"/>
      <c r="N27" s="15"/>
      <c r="O27" s="16" t="str">
        <f aca="false">IFERROR(INDEX(Lists!$B$3:$B$7,MATCH(K27,Lists!$A$3:$A$7,0)),"")</f>
        <v/>
      </c>
      <c r="P27" s="16" t="str">
        <f aca="false">IFERROR(INDEX('Evidence Pulls'!$N$6:$N$125,MATCH($J27,'Evidence Pulls'!$A$6:$A$125,0)),"")</f>
        <v/>
      </c>
      <c r="Q27" s="16" t="str">
        <f aca="false">IFERROR(INDEX('Evidence Pulls'!$G$6:$G$125,MATCH($J27,'Evidence Pulls'!$A$6:$A$125,0)),"")</f>
        <v/>
      </c>
      <c r="R27" s="16" t="str">
        <f aca="false">IFERROR(INDEX('Evidence Pulls'!$O$6:$O$125,MATCH($J27,'Evidence Pulls'!$A$6:$A$125,0)),"")</f>
        <v/>
      </c>
      <c r="S27" s="16" t="str">
        <f aca="false">IF(L27&lt;&gt;"",L27,IF(K27="","Not assessed",IF(N(O27)&gt;=3,"Demonstrated","Gap - remediate")))</f>
        <v>Not assessed</v>
      </c>
      <c r="T27" s="16" t="str">
        <f aca="false">IF(J27="","No evidence pull assigned",IF(COUNTIF('Evidence Pulls'!$A$6:$A$125,J27)=0,"Pull ID not on Evidence Pulls sheet",IF(K27="","Not graded",IF(AND(G27="MANDATORY",L27="Gap - recommend tailoring"),"INVALID: safety-mandatory, not tailorable",IF(OR(P27="",P27=0),"NO NAMED EXECUTOR",IF(AND(H27="Full",N(O27)&gt;=3,N(IFERROR(INDEX('Evidence Pulls'!$J$6:$J$125,MATCH($J27,'Evidence Pulls'!$A$6:$A$125,0)),""))=0),"Operating claimed with no sample",IF(AND(N(O27)&gt;=3,P27=1),"Operating rests on one individual",IF(AND(G27="MANDATORY",N(O27)&lt;3),"SAFETY GATE: below Operating","OK"))))))))</f>
        <v>No evidence pull assigned</v>
      </c>
    </row>
    <row r="28" customFormat="false" ht="15" hidden="false" customHeight="false" outlineLevel="0" collapsed="false">
      <c r="A28" s="13" t="s">
        <v>157</v>
      </c>
      <c r="B28" s="13" t="s">
        <v>153</v>
      </c>
      <c r="C28" s="13" t="s">
        <v>154</v>
      </c>
      <c r="D28" s="13" t="s">
        <v>155</v>
      </c>
      <c r="E28" s="13" t="s">
        <v>158</v>
      </c>
      <c r="F28" s="14"/>
      <c r="G28" s="13"/>
      <c r="H28" s="13" t="s">
        <v>103</v>
      </c>
      <c r="I28" s="13" t="s">
        <v>156</v>
      </c>
      <c r="J28" s="15"/>
      <c r="K28" s="15"/>
      <c r="L28" s="15"/>
      <c r="M28" s="15"/>
      <c r="N28" s="15"/>
      <c r="O28" s="16" t="str">
        <f aca="false">IFERROR(INDEX(Lists!$B$3:$B$7,MATCH(K28,Lists!$A$3:$A$7,0)),"")</f>
        <v/>
      </c>
      <c r="P28" s="16" t="str">
        <f aca="false">IFERROR(INDEX('Evidence Pulls'!$N$6:$N$125,MATCH($J28,'Evidence Pulls'!$A$6:$A$125,0)),"")</f>
        <v/>
      </c>
      <c r="Q28" s="16" t="str">
        <f aca="false">IFERROR(INDEX('Evidence Pulls'!$G$6:$G$125,MATCH($J28,'Evidence Pulls'!$A$6:$A$125,0)),"")</f>
        <v/>
      </c>
      <c r="R28" s="16" t="str">
        <f aca="false">IFERROR(INDEX('Evidence Pulls'!$O$6:$O$125,MATCH($J28,'Evidence Pulls'!$A$6:$A$125,0)),"")</f>
        <v/>
      </c>
      <c r="S28" s="16" t="str">
        <f aca="false">IF(L28&lt;&gt;"",L28,IF(K28="","Not assessed",IF(N(O28)&gt;=3,"Demonstrated","Gap - remediate")))</f>
        <v>Not assessed</v>
      </c>
      <c r="T28" s="16" t="str">
        <f aca="false">IF(J28="","No evidence pull assigned",IF(COUNTIF('Evidence Pulls'!$A$6:$A$125,J28)=0,"Pull ID not on Evidence Pulls sheet",IF(K28="","Not graded",IF(AND(G28="MANDATORY",L28="Gap - recommend tailoring"),"INVALID: safety-mandatory, not tailorable",IF(OR(P28="",P28=0),"NO NAMED EXECUTOR",IF(AND(H28="Full",N(O28)&gt;=3,N(IFERROR(INDEX('Evidence Pulls'!$J$6:$J$125,MATCH($J28,'Evidence Pulls'!$A$6:$A$125,0)),""))=0),"Operating claimed with no sample",IF(AND(N(O28)&gt;=3,P28=1),"Operating rests on one individual",IF(AND(G28="MANDATORY",N(O28)&lt;3),"SAFETY GATE: below Operating","OK"))))))))</f>
        <v>No evidence pull assigned</v>
      </c>
    </row>
    <row r="29" customFormat="false" ht="15" hidden="false" customHeight="false" outlineLevel="0" collapsed="false">
      <c r="A29" s="13" t="s">
        <v>159</v>
      </c>
      <c r="B29" s="13" t="s">
        <v>153</v>
      </c>
      <c r="C29" s="13" t="s">
        <v>154</v>
      </c>
      <c r="D29" s="13" t="s">
        <v>155</v>
      </c>
      <c r="E29" s="13" t="s">
        <v>160</v>
      </c>
      <c r="F29" s="14"/>
      <c r="G29" s="13"/>
      <c r="H29" s="13" t="s">
        <v>103</v>
      </c>
      <c r="I29" s="13" t="s">
        <v>156</v>
      </c>
      <c r="J29" s="15"/>
      <c r="K29" s="15"/>
      <c r="L29" s="15"/>
      <c r="M29" s="15"/>
      <c r="N29" s="15"/>
      <c r="O29" s="16" t="str">
        <f aca="false">IFERROR(INDEX(Lists!$B$3:$B$7,MATCH(K29,Lists!$A$3:$A$7,0)),"")</f>
        <v/>
      </c>
      <c r="P29" s="16" t="str">
        <f aca="false">IFERROR(INDEX('Evidence Pulls'!$N$6:$N$125,MATCH($J29,'Evidence Pulls'!$A$6:$A$125,0)),"")</f>
        <v/>
      </c>
      <c r="Q29" s="16" t="str">
        <f aca="false">IFERROR(INDEX('Evidence Pulls'!$G$6:$G$125,MATCH($J29,'Evidence Pulls'!$A$6:$A$125,0)),"")</f>
        <v/>
      </c>
      <c r="R29" s="16" t="str">
        <f aca="false">IFERROR(INDEX('Evidence Pulls'!$O$6:$O$125,MATCH($J29,'Evidence Pulls'!$A$6:$A$125,0)),"")</f>
        <v/>
      </c>
      <c r="S29" s="16" t="str">
        <f aca="false">IF(L29&lt;&gt;"",L29,IF(K29="","Not assessed",IF(N(O29)&gt;=3,"Demonstrated","Gap - remediate")))</f>
        <v>Not assessed</v>
      </c>
      <c r="T29" s="16" t="str">
        <f aca="false">IF(J29="","No evidence pull assigned",IF(COUNTIF('Evidence Pulls'!$A$6:$A$125,J29)=0,"Pull ID not on Evidence Pulls sheet",IF(K29="","Not graded",IF(AND(G29="MANDATORY",L29="Gap - recommend tailoring"),"INVALID: safety-mandatory, not tailorable",IF(OR(P29="",P29=0),"NO NAMED EXECUTOR",IF(AND(H29="Full",N(O29)&gt;=3,N(IFERROR(INDEX('Evidence Pulls'!$J$6:$J$125,MATCH($J29,'Evidence Pulls'!$A$6:$A$125,0)),""))=0),"Operating claimed with no sample",IF(AND(N(O29)&gt;=3,P29=1),"Operating rests on one individual",IF(AND(G29="MANDATORY",N(O29)&lt;3),"SAFETY GATE: below Operating","OK"))))))))</f>
        <v>No evidence pull assigned</v>
      </c>
    </row>
    <row r="30" customFormat="false" ht="15" hidden="false" customHeight="false" outlineLevel="0" collapsed="false">
      <c r="A30" s="13" t="s">
        <v>161</v>
      </c>
      <c r="B30" s="13" t="s">
        <v>153</v>
      </c>
      <c r="C30" s="13" t="s">
        <v>154</v>
      </c>
      <c r="D30" s="13" t="s">
        <v>155</v>
      </c>
      <c r="E30" s="13" t="s">
        <v>162</v>
      </c>
      <c r="F30" s="14"/>
      <c r="G30" s="13"/>
      <c r="H30" s="13" t="s">
        <v>103</v>
      </c>
      <c r="I30" s="13" t="s">
        <v>156</v>
      </c>
      <c r="J30" s="15"/>
      <c r="K30" s="15"/>
      <c r="L30" s="15"/>
      <c r="M30" s="15"/>
      <c r="N30" s="15"/>
      <c r="O30" s="16" t="str">
        <f aca="false">IFERROR(INDEX(Lists!$B$3:$B$7,MATCH(K30,Lists!$A$3:$A$7,0)),"")</f>
        <v/>
      </c>
      <c r="P30" s="16" t="str">
        <f aca="false">IFERROR(INDEX('Evidence Pulls'!$N$6:$N$125,MATCH($J30,'Evidence Pulls'!$A$6:$A$125,0)),"")</f>
        <v/>
      </c>
      <c r="Q30" s="16" t="str">
        <f aca="false">IFERROR(INDEX('Evidence Pulls'!$G$6:$G$125,MATCH($J30,'Evidence Pulls'!$A$6:$A$125,0)),"")</f>
        <v/>
      </c>
      <c r="R30" s="16" t="str">
        <f aca="false">IFERROR(INDEX('Evidence Pulls'!$O$6:$O$125,MATCH($J30,'Evidence Pulls'!$A$6:$A$125,0)),"")</f>
        <v/>
      </c>
      <c r="S30" s="16" t="str">
        <f aca="false">IF(L30&lt;&gt;"",L30,IF(K30="","Not assessed",IF(N(O30)&gt;=3,"Demonstrated","Gap - remediate")))</f>
        <v>Not assessed</v>
      </c>
      <c r="T30" s="16" t="str">
        <f aca="false">IF(J30="","No evidence pull assigned",IF(COUNTIF('Evidence Pulls'!$A$6:$A$125,J30)=0,"Pull ID not on Evidence Pulls sheet",IF(K30="","Not graded",IF(AND(G30="MANDATORY",L30="Gap - recommend tailoring"),"INVALID: safety-mandatory, not tailorable",IF(OR(P30="",P30=0),"NO NAMED EXECUTOR",IF(AND(H30="Full",N(O30)&gt;=3,N(IFERROR(INDEX('Evidence Pulls'!$J$6:$J$125,MATCH($J30,'Evidence Pulls'!$A$6:$A$125,0)),""))=0),"Operating claimed with no sample",IF(AND(N(O30)&gt;=3,P30=1),"Operating rests on one individual",IF(AND(G30="MANDATORY",N(O30)&lt;3),"SAFETY GATE: below Operating","OK"))))))))</f>
        <v>No evidence pull assigned</v>
      </c>
    </row>
    <row r="31" customFormat="false" ht="15" hidden="false" customHeight="false" outlineLevel="0" collapsed="false">
      <c r="A31" s="13" t="s">
        <v>163</v>
      </c>
      <c r="B31" s="13" t="s">
        <v>153</v>
      </c>
      <c r="C31" s="13" t="s">
        <v>154</v>
      </c>
      <c r="D31" s="13" t="s">
        <v>155</v>
      </c>
      <c r="E31" s="13" t="s">
        <v>164</v>
      </c>
      <c r="F31" s="14"/>
      <c r="G31" s="13"/>
      <c r="H31" s="13" t="s">
        <v>103</v>
      </c>
      <c r="I31" s="13" t="s">
        <v>156</v>
      </c>
      <c r="J31" s="15"/>
      <c r="K31" s="15"/>
      <c r="L31" s="15"/>
      <c r="M31" s="15"/>
      <c r="N31" s="15"/>
      <c r="O31" s="16" t="str">
        <f aca="false">IFERROR(INDEX(Lists!$B$3:$B$7,MATCH(K31,Lists!$A$3:$A$7,0)),"")</f>
        <v/>
      </c>
      <c r="P31" s="16" t="str">
        <f aca="false">IFERROR(INDEX('Evidence Pulls'!$N$6:$N$125,MATCH($J31,'Evidence Pulls'!$A$6:$A$125,0)),"")</f>
        <v/>
      </c>
      <c r="Q31" s="16" t="str">
        <f aca="false">IFERROR(INDEX('Evidence Pulls'!$G$6:$G$125,MATCH($J31,'Evidence Pulls'!$A$6:$A$125,0)),"")</f>
        <v/>
      </c>
      <c r="R31" s="16" t="str">
        <f aca="false">IFERROR(INDEX('Evidence Pulls'!$O$6:$O$125,MATCH($J31,'Evidence Pulls'!$A$6:$A$125,0)),"")</f>
        <v/>
      </c>
      <c r="S31" s="16" t="str">
        <f aca="false">IF(L31&lt;&gt;"",L31,IF(K31="","Not assessed",IF(N(O31)&gt;=3,"Demonstrated","Gap - remediate")))</f>
        <v>Not assessed</v>
      </c>
      <c r="T31" s="16" t="str">
        <f aca="false">IF(J31="","No evidence pull assigned",IF(COUNTIF('Evidence Pulls'!$A$6:$A$125,J31)=0,"Pull ID not on Evidence Pulls sheet",IF(K31="","Not graded",IF(AND(G31="MANDATORY",L31="Gap - recommend tailoring"),"INVALID: safety-mandatory, not tailorable",IF(OR(P31="",P31=0),"NO NAMED EXECUTOR",IF(AND(H31="Full",N(O31)&gt;=3,N(IFERROR(INDEX('Evidence Pulls'!$J$6:$J$125,MATCH($J31,'Evidence Pulls'!$A$6:$A$125,0)),""))=0),"Operating claimed with no sample",IF(AND(N(O31)&gt;=3,P31=1),"Operating rests on one individual",IF(AND(G31="MANDATORY",N(O31)&lt;3),"SAFETY GATE: below Operating","OK"))))))))</f>
        <v>No evidence pull assigned</v>
      </c>
    </row>
    <row r="32" customFormat="false" ht="15" hidden="false" customHeight="false" outlineLevel="0" collapsed="false">
      <c r="A32" s="13" t="s">
        <v>165</v>
      </c>
      <c r="B32" s="13" t="s">
        <v>153</v>
      </c>
      <c r="C32" s="13" t="s">
        <v>154</v>
      </c>
      <c r="D32" s="13" t="s">
        <v>155</v>
      </c>
      <c r="E32" s="13" t="s">
        <v>166</v>
      </c>
      <c r="F32" s="14"/>
      <c r="G32" s="13"/>
      <c r="H32" s="13" t="s">
        <v>103</v>
      </c>
      <c r="I32" s="13" t="s">
        <v>156</v>
      </c>
      <c r="J32" s="15"/>
      <c r="K32" s="15"/>
      <c r="L32" s="15"/>
      <c r="M32" s="15"/>
      <c r="N32" s="15"/>
      <c r="O32" s="16" t="str">
        <f aca="false">IFERROR(INDEX(Lists!$B$3:$B$7,MATCH(K32,Lists!$A$3:$A$7,0)),"")</f>
        <v/>
      </c>
      <c r="P32" s="16" t="str">
        <f aca="false">IFERROR(INDEX('Evidence Pulls'!$N$6:$N$125,MATCH($J32,'Evidence Pulls'!$A$6:$A$125,0)),"")</f>
        <v/>
      </c>
      <c r="Q32" s="16" t="str">
        <f aca="false">IFERROR(INDEX('Evidence Pulls'!$G$6:$G$125,MATCH($J32,'Evidence Pulls'!$A$6:$A$125,0)),"")</f>
        <v/>
      </c>
      <c r="R32" s="16" t="str">
        <f aca="false">IFERROR(INDEX('Evidence Pulls'!$O$6:$O$125,MATCH($J32,'Evidence Pulls'!$A$6:$A$125,0)),"")</f>
        <v/>
      </c>
      <c r="S32" s="16" t="str">
        <f aca="false">IF(L32&lt;&gt;"",L32,IF(K32="","Not assessed",IF(N(O32)&gt;=3,"Demonstrated","Gap - remediate")))</f>
        <v>Not assessed</v>
      </c>
      <c r="T32" s="16" t="str">
        <f aca="false">IF(J32="","No evidence pull assigned",IF(COUNTIF('Evidence Pulls'!$A$6:$A$125,J32)=0,"Pull ID not on Evidence Pulls sheet",IF(K32="","Not graded",IF(AND(G32="MANDATORY",L32="Gap - recommend tailoring"),"INVALID: safety-mandatory, not tailorable",IF(OR(P32="",P32=0),"NO NAMED EXECUTOR",IF(AND(H32="Full",N(O32)&gt;=3,N(IFERROR(INDEX('Evidence Pulls'!$J$6:$J$125,MATCH($J32,'Evidence Pulls'!$A$6:$A$125,0)),""))=0),"Operating claimed with no sample",IF(AND(N(O32)&gt;=3,P32=1),"Operating rests on one individual",IF(AND(G32="MANDATORY",N(O32)&lt;3),"SAFETY GATE: below Operating","OK"))))))))</f>
        <v>No evidence pull assigned</v>
      </c>
    </row>
    <row r="33" customFormat="false" ht="15" hidden="false" customHeight="false" outlineLevel="0" collapsed="false">
      <c r="A33" s="13" t="s">
        <v>167</v>
      </c>
      <c r="B33" s="13" t="s">
        <v>153</v>
      </c>
      <c r="C33" s="13" t="s">
        <v>154</v>
      </c>
      <c r="D33" s="13" t="s">
        <v>155</v>
      </c>
      <c r="E33" s="13" t="s">
        <v>168</v>
      </c>
      <c r="F33" s="14"/>
      <c r="G33" s="13"/>
      <c r="H33" s="13" t="s">
        <v>103</v>
      </c>
      <c r="I33" s="13" t="s">
        <v>156</v>
      </c>
      <c r="J33" s="15"/>
      <c r="K33" s="15"/>
      <c r="L33" s="15"/>
      <c r="M33" s="15"/>
      <c r="N33" s="15"/>
      <c r="O33" s="16" t="str">
        <f aca="false">IFERROR(INDEX(Lists!$B$3:$B$7,MATCH(K33,Lists!$A$3:$A$7,0)),"")</f>
        <v/>
      </c>
      <c r="P33" s="16" t="str">
        <f aca="false">IFERROR(INDEX('Evidence Pulls'!$N$6:$N$125,MATCH($J33,'Evidence Pulls'!$A$6:$A$125,0)),"")</f>
        <v/>
      </c>
      <c r="Q33" s="16" t="str">
        <f aca="false">IFERROR(INDEX('Evidence Pulls'!$G$6:$G$125,MATCH($J33,'Evidence Pulls'!$A$6:$A$125,0)),"")</f>
        <v/>
      </c>
      <c r="R33" s="16" t="str">
        <f aca="false">IFERROR(INDEX('Evidence Pulls'!$O$6:$O$125,MATCH($J33,'Evidence Pulls'!$A$6:$A$125,0)),"")</f>
        <v/>
      </c>
      <c r="S33" s="16" t="str">
        <f aca="false">IF(L33&lt;&gt;"",L33,IF(K33="","Not assessed",IF(N(O33)&gt;=3,"Demonstrated","Gap - remediate")))</f>
        <v>Not assessed</v>
      </c>
      <c r="T33" s="16" t="str">
        <f aca="false">IF(J33="","No evidence pull assigned",IF(COUNTIF('Evidence Pulls'!$A$6:$A$125,J33)=0,"Pull ID not on Evidence Pulls sheet",IF(K33="","Not graded",IF(AND(G33="MANDATORY",L33="Gap - recommend tailoring"),"INVALID: safety-mandatory, not tailorable",IF(OR(P33="",P33=0),"NO NAMED EXECUTOR",IF(AND(H33="Full",N(O33)&gt;=3,N(IFERROR(INDEX('Evidence Pulls'!$J$6:$J$125,MATCH($J33,'Evidence Pulls'!$A$6:$A$125,0)),""))=0),"Operating claimed with no sample",IF(AND(N(O33)&gt;=3,P33=1),"Operating rests on one individual",IF(AND(G33="MANDATORY",N(O33)&lt;3),"SAFETY GATE: below Operating","OK"))))))))</f>
        <v>No evidence pull assigned</v>
      </c>
    </row>
    <row r="34" customFormat="false" ht="15" hidden="false" customHeight="false" outlineLevel="0" collapsed="false">
      <c r="A34" s="13" t="s">
        <v>169</v>
      </c>
      <c r="B34" s="13" t="s">
        <v>153</v>
      </c>
      <c r="C34" s="13" t="s">
        <v>154</v>
      </c>
      <c r="D34" s="13" t="s">
        <v>155</v>
      </c>
      <c r="E34" s="13" t="s">
        <v>170</v>
      </c>
      <c r="F34" s="14"/>
      <c r="G34" s="13"/>
      <c r="H34" s="13" t="s">
        <v>103</v>
      </c>
      <c r="I34" s="13" t="s">
        <v>156</v>
      </c>
      <c r="J34" s="15"/>
      <c r="K34" s="15"/>
      <c r="L34" s="15"/>
      <c r="M34" s="15"/>
      <c r="N34" s="15"/>
      <c r="O34" s="16" t="str">
        <f aca="false">IFERROR(INDEX(Lists!$B$3:$B$7,MATCH(K34,Lists!$A$3:$A$7,0)),"")</f>
        <v/>
      </c>
      <c r="P34" s="16" t="str">
        <f aca="false">IFERROR(INDEX('Evidence Pulls'!$N$6:$N$125,MATCH($J34,'Evidence Pulls'!$A$6:$A$125,0)),"")</f>
        <v/>
      </c>
      <c r="Q34" s="16" t="str">
        <f aca="false">IFERROR(INDEX('Evidence Pulls'!$G$6:$G$125,MATCH($J34,'Evidence Pulls'!$A$6:$A$125,0)),"")</f>
        <v/>
      </c>
      <c r="R34" s="16" t="str">
        <f aca="false">IFERROR(INDEX('Evidence Pulls'!$O$6:$O$125,MATCH($J34,'Evidence Pulls'!$A$6:$A$125,0)),"")</f>
        <v/>
      </c>
      <c r="S34" s="16" t="str">
        <f aca="false">IF(L34&lt;&gt;"",L34,IF(K34="","Not assessed",IF(N(O34)&gt;=3,"Demonstrated","Gap - remediate")))</f>
        <v>Not assessed</v>
      </c>
      <c r="T34" s="16" t="str">
        <f aca="false">IF(J34="","No evidence pull assigned",IF(COUNTIF('Evidence Pulls'!$A$6:$A$125,J34)=0,"Pull ID not on Evidence Pulls sheet",IF(K34="","Not graded",IF(AND(G34="MANDATORY",L34="Gap - recommend tailoring"),"INVALID: safety-mandatory, not tailorable",IF(OR(P34="",P34=0),"NO NAMED EXECUTOR",IF(AND(H34="Full",N(O34)&gt;=3,N(IFERROR(INDEX('Evidence Pulls'!$J$6:$J$125,MATCH($J34,'Evidence Pulls'!$A$6:$A$125,0)),""))=0),"Operating claimed with no sample",IF(AND(N(O34)&gt;=3,P34=1),"Operating rests on one individual",IF(AND(G34="MANDATORY",N(O34)&lt;3),"SAFETY GATE: below Operating","OK"))))))))</f>
        <v>No evidence pull assigned</v>
      </c>
    </row>
    <row r="35" customFormat="false" ht="15" hidden="false" customHeight="false" outlineLevel="0" collapsed="false">
      <c r="A35" s="13" t="s">
        <v>171</v>
      </c>
      <c r="B35" s="13" t="s">
        <v>153</v>
      </c>
      <c r="C35" s="13" t="s">
        <v>154</v>
      </c>
      <c r="D35" s="13" t="s">
        <v>155</v>
      </c>
      <c r="E35" s="13" t="s">
        <v>172</v>
      </c>
      <c r="F35" s="14"/>
      <c r="G35" s="13"/>
      <c r="H35" s="13" t="s">
        <v>103</v>
      </c>
      <c r="I35" s="13" t="s">
        <v>156</v>
      </c>
      <c r="J35" s="15"/>
      <c r="K35" s="15"/>
      <c r="L35" s="15"/>
      <c r="M35" s="15"/>
      <c r="N35" s="15"/>
      <c r="O35" s="16" t="str">
        <f aca="false">IFERROR(INDEX(Lists!$B$3:$B$7,MATCH(K35,Lists!$A$3:$A$7,0)),"")</f>
        <v/>
      </c>
      <c r="P35" s="16" t="str">
        <f aca="false">IFERROR(INDEX('Evidence Pulls'!$N$6:$N$125,MATCH($J35,'Evidence Pulls'!$A$6:$A$125,0)),"")</f>
        <v/>
      </c>
      <c r="Q35" s="16" t="str">
        <f aca="false">IFERROR(INDEX('Evidence Pulls'!$G$6:$G$125,MATCH($J35,'Evidence Pulls'!$A$6:$A$125,0)),"")</f>
        <v/>
      </c>
      <c r="R35" s="16" t="str">
        <f aca="false">IFERROR(INDEX('Evidence Pulls'!$O$6:$O$125,MATCH($J35,'Evidence Pulls'!$A$6:$A$125,0)),"")</f>
        <v/>
      </c>
      <c r="S35" s="16" t="str">
        <f aca="false">IF(L35&lt;&gt;"",L35,IF(K35="","Not assessed",IF(N(O35)&gt;=3,"Demonstrated","Gap - remediate")))</f>
        <v>Not assessed</v>
      </c>
      <c r="T35" s="16" t="str">
        <f aca="false">IF(J35="","No evidence pull assigned",IF(COUNTIF('Evidence Pulls'!$A$6:$A$125,J35)=0,"Pull ID not on Evidence Pulls sheet",IF(K35="","Not graded",IF(AND(G35="MANDATORY",L35="Gap - recommend tailoring"),"INVALID: safety-mandatory, not tailorable",IF(OR(P35="",P35=0),"NO NAMED EXECUTOR",IF(AND(H35="Full",N(O35)&gt;=3,N(IFERROR(INDEX('Evidence Pulls'!$J$6:$J$125,MATCH($J35,'Evidence Pulls'!$A$6:$A$125,0)),""))=0),"Operating claimed with no sample",IF(AND(N(O35)&gt;=3,P35=1),"Operating rests on one individual",IF(AND(G35="MANDATORY",N(O35)&lt;3),"SAFETY GATE: below Operating","OK"))))))))</f>
        <v>No evidence pull assigned</v>
      </c>
    </row>
    <row r="36" customFormat="false" ht="15" hidden="false" customHeight="false" outlineLevel="0" collapsed="false">
      <c r="A36" s="13" t="s">
        <v>173</v>
      </c>
      <c r="B36" s="13" t="s">
        <v>153</v>
      </c>
      <c r="C36" s="13" t="s">
        <v>154</v>
      </c>
      <c r="D36" s="13" t="s">
        <v>155</v>
      </c>
      <c r="E36" s="13" t="s">
        <v>174</v>
      </c>
      <c r="F36" s="14"/>
      <c r="G36" s="13"/>
      <c r="H36" s="13" t="s">
        <v>103</v>
      </c>
      <c r="I36" s="13" t="s">
        <v>156</v>
      </c>
      <c r="J36" s="15"/>
      <c r="K36" s="15"/>
      <c r="L36" s="15"/>
      <c r="M36" s="15"/>
      <c r="N36" s="15"/>
      <c r="O36" s="16" t="str">
        <f aca="false">IFERROR(INDEX(Lists!$B$3:$B$7,MATCH(K36,Lists!$A$3:$A$7,0)),"")</f>
        <v/>
      </c>
      <c r="P36" s="16" t="str">
        <f aca="false">IFERROR(INDEX('Evidence Pulls'!$N$6:$N$125,MATCH($J36,'Evidence Pulls'!$A$6:$A$125,0)),"")</f>
        <v/>
      </c>
      <c r="Q36" s="16" t="str">
        <f aca="false">IFERROR(INDEX('Evidence Pulls'!$G$6:$G$125,MATCH($J36,'Evidence Pulls'!$A$6:$A$125,0)),"")</f>
        <v/>
      </c>
      <c r="R36" s="16" t="str">
        <f aca="false">IFERROR(INDEX('Evidence Pulls'!$O$6:$O$125,MATCH($J36,'Evidence Pulls'!$A$6:$A$125,0)),"")</f>
        <v/>
      </c>
      <c r="S36" s="16" t="str">
        <f aca="false">IF(L36&lt;&gt;"",L36,IF(K36="","Not assessed",IF(N(O36)&gt;=3,"Demonstrated","Gap - remediate")))</f>
        <v>Not assessed</v>
      </c>
      <c r="T36" s="16" t="str">
        <f aca="false">IF(J36="","No evidence pull assigned",IF(COUNTIF('Evidence Pulls'!$A$6:$A$125,J36)=0,"Pull ID not on Evidence Pulls sheet",IF(K36="","Not graded",IF(AND(G36="MANDATORY",L36="Gap - recommend tailoring"),"INVALID: safety-mandatory, not tailorable",IF(OR(P36="",P36=0),"NO NAMED EXECUTOR",IF(AND(H36="Full",N(O36)&gt;=3,N(IFERROR(INDEX('Evidence Pulls'!$J$6:$J$125,MATCH($J36,'Evidence Pulls'!$A$6:$A$125,0)),""))=0),"Operating claimed with no sample",IF(AND(N(O36)&gt;=3,P36=1),"Operating rests on one individual",IF(AND(G36="MANDATORY",N(O36)&lt;3),"SAFETY GATE: below Operating","OK"))))))))</f>
        <v>No evidence pull assigned</v>
      </c>
    </row>
    <row r="37" customFormat="false" ht="15" hidden="false" customHeight="false" outlineLevel="0" collapsed="false">
      <c r="A37" s="13" t="s">
        <v>175</v>
      </c>
      <c r="B37" s="13" t="s">
        <v>153</v>
      </c>
      <c r="C37" s="13" t="s">
        <v>154</v>
      </c>
      <c r="D37" s="13" t="s">
        <v>155</v>
      </c>
      <c r="E37" s="13" t="s">
        <v>176</v>
      </c>
      <c r="F37" s="14"/>
      <c r="G37" s="13"/>
      <c r="H37" s="13" t="s">
        <v>103</v>
      </c>
      <c r="I37" s="13" t="s">
        <v>156</v>
      </c>
      <c r="J37" s="15"/>
      <c r="K37" s="15"/>
      <c r="L37" s="15"/>
      <c r="M37" s="15"/>
      <c r="N37" s="15"/>
      <c r="O37" s="16" t="str">
        <f aca="false">IFERROR(INDEX(Lists!$B$3:$B$7,MATCH(K37,Lists!$A$3:$A$7,0)),"")</f>
        <v/>
      </c>
      <c r="P37" s="16" t="str">
        <f aca="false">IFERROR(INDEX('Evidence Pulls'!$N$6:$N$125,MATCH($J37,'Evidence Pulls'!$A$6:$A$125,0)),"")</f>
        <v/>
      </c>
      <c r="Q37" s="16" t="str">
        <f aca="false">IFERROR(INDEX('Evidence Pulls'!$G$6:$G$125,MATCH($J37,'Evidence Pulls'!$A$6:$A$125,0)),"")</f>
        <v/>
      </c>
      <c r="R37" s="16" t="str">
        <f aca="false">IFERROR(INDEX('Evidence Pulls'!$O$6:$O$125,MATCH($J37,'Evidence Pulls'!$A$6:$A$125,0)),"")</f>
        <v/>
      </c>
      <c r="S37" s="16" t="str">
        <f aca="false">IF(L37&lt;&gt;"",L37,IF(K37="","Not assessed",IF(N(O37)&gt;=3,"Demonstrated","Gap - remediate")))</f>
        <v>Not assessed</v>
      </c>
      <c r="T37" s="16" t="str">
        <f aca="false">IF(J37="","No evidence pull assigned",IF(COUNTIF('Evidence Pulls'!$A$6:$A$125,J37)=0,"Pull ID not on Evidence Pulls sheet",IF(K37="","Not graded",IF(AND(G37="MANDATORY",L37="Gap - recommend tailoring"),"INVALID: safety-mandatory, not tailorable",IF(OR(P37="",P37=0),"NO NAMED EXECUTOR",IF(AND(H37="Full",N(O37)&gt;=3,N(IFERROR(INDEX('Evidence Pulls'!$J$6:$J$125,MATCH($J37,'Evidence Pulls'!$A$6:$A$125,0)),""))=0),"Operating claimed with no sample",IF(AND(N(O37)&gt;=3,P37=1),"Operating rests on one individual",IF(AND(G37="MANDATORY",N(O37)&lt;3),"SAFETY GATE: below Operating","OK"))))))))</f>
        <v>No evidence pull assigned</v>
      </c>
    </row>
    <row r="38" customFormat="false" ht="15" hidden="false" customHeight="false" outlineLevel="0" collapsed="false">
      <c r="A38" s="13" t="s">
        <v>177</v>
      </c>
      <c r="B38" s="13" t="s">
        <v>153</v>
      </c>
      <c r="C38" s="13" t="s">
        <v>154</v>
      </c>
      <c r="D38" s="13" t="s">
        <v>155</v>
      </c>
      <c r="E38" s="13" t="s">
        <v>178</v>
      </c>
      <c r="F38" s="14"/>
      <c r="G38" s="13"/>
      <c r="H38" s="13" t="s">
        <v>103</v>
      </c>
      <c r="I38" s="13" t="s">
        <v>156</v>
      </c>
      <c r="J38" s="15"/>
      <c r="K38" s="15"/>
      <c r="L38" s="15"/>
      <c r="M38" s="15"/>
      <c r="N38" s="15"/>
      <c r="O38" s="16" t="str">
        <f aca="false">IFERROR(INDEX(Lists!$B$3:$B$7,MATCH(K38,Lists!$A$3:$A$7,0)),"")</f>
        <v/>
      </c>
      <c r="P38" s="16" t="str">
        <f aca="false">IFERROR(INDEX('Evidence Pulls'!$N$6:$N$125,MATCH($J38,'Evidence Pulls'!$A$6:$A$125,0)),"")</f>
        <v/>
      </c>
      <c r="Q38" s="16" t="str">
        <f aca="false">IFERROR(INDEX('Evidence Pulls'!$G$6:$G$125,MATCH($J38,'Evidence Pulls'!$A$6:$A$125,0)),"")</f>
        <v/>
      </c>
      <c r="R38" s="16" t="str">
        <f aca="false">IFERROR(INDEX('Evidence Pulls'!$O$6:$O$125,MATCH($J38,'Evidence Pulls'!$A$6:$A$125,0)),"")</f>
        <v/>
      </c>
      <c r="S38" s="16" t="str">
        <f aca="false">IF(L38&lt;&gt;"",L38,IF(K38="","Not assessed",IF(N(O38)&gt;=3,"Demonstrated","Gap - remediate")))</f>
        <v>Not assessed</v>
      </c>
      <c r="T38" s="16" t="str">
        <f aca="false">IF(J38="","No evidence pull assigned",IF(COUNTIF('Evidence Pulls'!$A$6:$A$125,J38)=0,"Pull ID not on Evidence Pulls sheet",IF(K38="","Not graded",IF(AND(G38="MANDATORY",L38="Gap - recommend tailoring"),"INVALID: safety-mandatory, not tailorable",IF(OR(P38="",P38=0),"NO NAMED EXECUTOR",IF(AND(H38="Full",N(O38)&gt;=3,N(IFERROR(INDEX('Evidence Pulls'!$J$6:$J$125,MATCH($J38,'Evidence Pulls'!$A$6:$A$125,0)),""))=0),"Operating claimed with no sample",IF(AND(N(O38)&gt;=3,P38=1),"Operating rests on one individual",IF(AND(G38="MANDATORY",N(O38)&lt;3),"SAFETY GATE: below Operating","OK"))))))))</f>
        <v>No evidence pull assigned</v>
      </c>
    </row>
    <row r="39" customFormat="false" ht="15" hidden="false" customHeight="false" outlineLevel="0" collapsed="false">
      <c r="A39" s="13" t="s">
        <v>179</v>
      </c>
      <c r="B39" s="13" t="s">
        <v>153</v>
      </c>
      <c r="C39" s="13" t="s">
        <v>154</v>
      </c>
      <c r="D39" s="13" t="s">
        <v>155</v>
      </c>
      <c r="E39" s="13" t="s">
        <v>180</v>
      </c>
      <c r="F39" s="14"/>
      <c r="G39" s="13"/>
      <c r="H39" s="13" t="s">
        <v>103</v>
      </c>
      <c r="I39" s="13" t="s">
        <v>156</v>
      </c>
      <c r="J39" s="15"/>
      <c r="K39" s="15"/>
      <c r="L39" s="15"/>
      <c r="M39" s="15"/>
      <c r="N39" s="15"/>
      <c r="O39" s="16" t="str">
        <f aca="false">IFERROR(INDEX(Lists!$B$3:$B$7,MATCH(K39,Lists!$A$3:$A$7,0)),"")</f>
        <v/>
      </c>
      <c r="P39" s="16" t="str">
        <f aca="false">IFERROR(INDEX('Evidence Pulls'!$N$6:$N$125,MATCH($J39,'Evidence Pulls'!$A$6:$A$125,0)),"")</f>
        <v/>
      </c>
      <c r="Q39" s="16" t="str">
        <f aca="false">IFERROR(INDEX('Evidence Pulls'!$G$6:$G$125,MATCH($J39,'Evidence Pulls'!$A$6:$A$125,0)),"")</f>
        <v/>
      </c>
      <c r="R39" s="16" t="str">
        <f aca="false">IFERROR(INDEX('Evidence Pulls'!$O$6:$O$125,MATCH($J39,'Evidence Pulls'!$A$6:$A$125,0)),"")</f>
        <v/>
      </c>
      <c r="S39" s="16" t="str">
        <f aca="false">IF(L39&lt;&gt;"",L39,IF(K39="","Not assessed",IF(N(O39)&gt;=3,"Demonstrated","Gap - remediate")))</f>
        <v>Not assessed</v>
      </c>
      <c r="T39" s="16" t="str">
        <f aca="false">IF(J39="","No evidence pull assigned",IF(COUNTIF('Evidence Pulls'!$A$6:$A$125,J39)=0,"Pull ID not on Evidence Pulls sheet",IF(K39="","Not graded",IF(AND(G39="MANDATORY",L39="Gap - recommend tailoring"),"INVALID: safety-mandatory, not tailorable",IF(OR(P39="",P39=0),"NO NAMED EXECUTOR",IF(AND(H39="Full",N(O39)&gt;=3,N(IFERROR(INDEX('Evidence Pulls'!$J$6:$J$125,MATCH($J39,'Evidence Pulls'!$A$6:$A$125,0)),""))=0),"Operating claimed with no sample",IF(AND(N(O39)&gt;=3,P39=1),"Operating rests on one individual",IF(AND(G39="MANDATORY",N(O39)&lt;3),"SAFETY GATE: below Operating","OK"))))))))</f>
        <v>No evidence pull assigned</v>
      </c>
    </row>
    <row r="40" customFormat="false" ht="15" hidden="false" customHeight="false" outlineLevel="0" collapsed="false">
      <c r="A40" s="13" t="s">
        <v>181</v>
      </c>
      <c r="B40" s="13" t="s">
        <v>153</v>
      </c>
      <c r="C40" s="13" t="s">
        <v>154</v>
      </c>
      <c r="D40" s="13" t="s">
        <v>155</v>
      </c>
      <c r="E40" s="13" t="s">
        <v>182</v>
      </c>
      <c r="F40" s="14"/>
      <c r="G40" s="13"/>
      <c r="H40" s="13" t="s">
        <v>103</v>
      </c>
      <c r="I40" s="13" t="s">
        <v>156</v>
      </c>
      <c r="J40" s="15"/>
      <c r="K40" s="15"/>
      <c r="L40" s="15"/>
      <c r="M40" s="15"/>
      <c r="N40" s="15"/>
      <c r="O40" s="16" t="str">
        <f aca="false">IFERROR(INDEX(Lists!$B$3:$B$7,MATCH(K40,Lists!$A$3:$A$7,0)),"")</f>
        <v/>
      </c>
      <c r="P40" s="16" t="str">
        <f aca="false">IFERROR(INDEX('Evidence Pulls'!$N$6:$N$125,MATCH($J40,'Evidence Pulls'!$A$6:$A$125,0)),"")</f>
        <v/>
      </c>
      <c r="Q40" s="16" t="str">
        <f aca="false">IFERROR(INDEX('Evidence Pulls'!$G$6:$G$125,MATCH($J40,'Evidence Pulls'!$A$6:$A$125,0)),"")</f>
        <v/>
      </c>
      <c r="R40" s="16" t="str">
        <f aca="false">IFERROR(INDEX('Evidence Pulls'!$O$6:$O$125,MATCH($J40,'Evidence Pulls'!$A$6:$A$125,0)),"")</f>
        <v/>
      </c>
      <c r="S40" s="16" t="str">
        <f aca="false">IF(L40&lt;&gt;"",L40,IF(K40="","Not assessed",IF(N(O40)&gt;=3,"Demonstrated","Gap - remediate")))</f>
        <v>Not assessed</v>
      </c>
      <c r="T40" s="16" t="str">
        <f aca="false">IF(J40="","No evidence pull assigned",IF(COUNTIF('Evidence Pulls'!$A$6:$A$125,J40)=0,"Pull ID not on Evidence Pulls sheet",IF(K40="","Not graded",IF(AND(G40="MANDATORY",L40="Gap - recommend tailoring"),"INVALID: safety-mandatory, not tailorable",IF(OR(P40="",P40=0),"NO NAMED EXECUTOR",IF(AND(H40="Full",N(O40)&gt;=3,N(IFERROR(INDEX('Evidence Pulls'!$J$6:$J$125,MATCH($J40,'Evidence Pulls'!$A$6:$A$125,0)),""))=0),"Operating claimed with no sample",IF(AND(N(O40)&gt;=3,P40=1),"Operating rests on one individual",IF(AND(G40="MANDATORY",N(O40)&lt;3),"SAFETY GATE: below Operating","OK"))))))))</f>
        <v>No evidence pull assigned</v>
      </c>
    </row>
    <row r="41" customFormat="false" ht="15" hidden="false" customHeight="false" outlineLevel="0" collapsed="false">
      <c r="A41" s="13" t="s">
        <v>183</v>
      </c>
      <c r="B41" s="13" t="s">
        <v>153</v>
      </c>
      <c r="C41" s="13" t="s">
        <v>154</v>
      </c>
      <c r="D41" s="13" t="s">
        <v>155</v>
      </c>
      <c r="E41" s="13" t="s">
        <v>184</v>
      </c>
      <c r="F41" s="14"/>
      <c r="G41" s="13"/>
      <c r="H41" s="13" t="s">
        <v>103</v>
      </c>
      <c r="I41" s="13" t="s">
        <v>156</v>
      </c>
      <c r="J41" s="15"/>
      <c r="K41" s="15"/>
      <c r="L41" s="15"/>
      <c r="M41" s="15"/>
      <c r="N41" s="15"/>
      <c r="O41" s="16" t="str">
        <f aca="false">IFERROR(INDEX(Lists!$B$3:$B$7,MATCH(K41,Lists!$A$3:$A$7,0)),"")</f>
        <v/>
      </c>
      <c r="P41" s="16" t="str">
        <f aca="false">IFERROR(INDEX('Evidence Pulls'!$N$6:$N$125,MATCH($J41,'Evidence Pulls'!$A$6:$A$125,0)),"")</f>
        <v/>
      </c>
      <c r="Q41" s="16" t="str">
        <f aca="false">IFERROR(INDEX('Evidence Pulls'!$G$6:$G$125,MATCH($J41,'Evidence Pulls'!$A$6:$A$125,0)),"")</f>
        <v/>
      </c>
      <c r="R41" s="16" t="str">
        <f aca="false">IFERROR(INDEX('Evidence Pulls'!$O$6:$O$125,MATCH($J41,'Evidence Pulls'!$A$6:$A$125,0)),"")</f>
        <v/>
      </c>
      <c r="S41" s="16" t="str">
        <f aca="false">IF(L41&lt;&gt;"",L41,IF(K41="","Not assessed",IF(N(O41)&gt;=3,"Demonstrated","Gap - remediate")))</f>
        <v>Not assessed</v>
      </c>
      <c r="T41" s="16" t="str">
        <f aca="false">IF(J41="","No evidence pull assigned",IF(COUNTIF('Evidence Pulls'!$A$6:$A$125,J41)=0,"Pull ID not on Evidence Pulls sheet",IF(K41="","Not graded",IF(AND(G41="MANDATORY",L41="Gap - recommend tailoring"),"INVALID: safety-mandatory, not tailorable",IF(OR(P41="",P41=0),"NO NAMED EXECUTOR",IF(AND(H41="Full",N(O41)&gt;=3,N(IFERROR(INDEX('Evidence Pulls'!$J$6:$J$125,MATCH($J41,'Evidence Pulls'!$A$6:$A$125,0)),""))=0),"Operating claimed with no sample",IF(AND(N(O41)&gt;=3,P41=1),"Operating rests on one individual",IF(AND(G41="MANDATORY",N(O41)&lt;3),"SAFETY GATE: below Operating","OK"))))))))</f>
        <v>No evidence pull assigned</v>
      </c>
    </row>
    <row r="42" customFormat="false" ht="15" hidden="false" customHeight="false" outlineLevel="0" collapsed="false">
      <c r="A42" s="13" t="s">
        <v>185</v>
      </c>
      <c r="B42" s="13" t="s">
        <v>153</v>
      </c>
      <c r="C42" s="13" t="s">
        <v>154</v>
      </c>
      <c r="D42" s="13" t="s">
        <v>155</v>
      </c>
      <c r="E42" s="13" t="s">
        <v>186</v>
      </c>
      <c r="F42" s="14"/>
      <c r="G42" s="13"/>
      <c r="H42" s="13" t="s">
        <v>103</v>
      </c>
      <c r="I42" s="13" t="s">
        <v>156</v>
      </c>
      <c r="J42" s="15"/>
      <c r="K42" s="15"/>
      <c r="L42" s="15"/>
      <c r="M42" s="15"/>
      <c r="N42" s="15"/>
      <c r="O42" s="16" t="str">
        <f aca="false">IFERROR(INDEX(Lists!$B$3:$B$7,MATCH(K42,Lists!$A$3:$A$7,0)),"")</f>
        <v/>
      </c>
      <c r="P42" s="16" t="str">
        <f aca="false">IFERROR(INDEX('Evidence Pulls'!$N$6:$N$125,MATCH($J42,'Evidence Pulls'!$A$6:$A$125,0)),"")</f>
        <v/>
      </c>
      <c r="Q42" s="16" t="str">
        <f aca="false">IFERROR(INDEX('Evidence Pulls'!$G$6:$G$125,MATCH($J42,'Evidence Pulls'!$A$6:$A$125,0)),"")</f>
        <v/>
      </c>
      <c r="R42" s="16" t="str">
        <f aca="false">IFERROR(INDEX('Evidence Pulls'!$O$6:$O$125,MATCH($J42,'Evidence Pulls'!$A$6:$A$125,0)),"")</f>
        <v/>
      </c>
      <c r="S42" s="16" t="str">
        <f aca="false">IF(L42&lt;&gt;"",L42,IF(K42="","Not assessed",IF(N(O42)&gt;=3,"Demonstrated","Gap - remediate")))</f>
        <v>Not assessed</v>
      </c>
      <c r="T42" s="16" t="str">
        <f aca="false">IF(J42="","No evidence pull assigned",IF(COUNTIF('Evidence Pulls'!$A$6:$A$125,J42)=0,"Pull ID not on Evidence Pulls sheet",IF(K42="","Not graded",IF(AND(G42="MANDATORY",L42="Gap - recommend tailoring"),"INVALID: safety-mandatory, not tailorable",IF(OR(P42="",P42=0),"NO NAMED EXECUTOR",IF(AND(H42="Full",N(O42)&gt;=3,N(IFERROR(INDEX('Evidence Pulls'!$J$6:$J$125,MATCH($J42,'Evidence Pulls'!$A$6:$A$125,0)),""))=0),"Operating claimed with no sample",IF(AND(N(O42)&gt;=3,P42=1),"Operating rests on one individual",IF(AND(G42="MANDATORY",N(O42)&lt;3),"SAFETY GATE: below Operating","OK"))))))))</f>
        <v>No evidence pull assigned</v>
      </c>
    </row>
    <row r="43" customFormat="false" ht="15" hidden="false" customHeight="false" outlineLevel="0" collapsed="false">
      <c r="A43" s="13" t="s">
        <v>187</v>
      </c>
      <c r="B43" s="13" t="s">
        <v>153</v>
      </c>
      <c r="C43" s="13" t="s">
        <v>188</v>
      </c>
      <c r="D43" s="13" t="s">
        <v>189</v>
      </c>
      <c r="E43" s="13" t="s">
        <v>102</v>
      </c>
      <c r="F43" s="14"/>
      <c r="G43" s="13"/>
      <c r="H43" s="13" t="s">
        <v>103</v>
      </c>
      <c r="I43" s="13" t="s">
        <v>156</v>
      </c>
      <c r="J43" s="15"/>
      <c r="K43" s="15"/>
      <c r="L43" s="15"/>
      <c r="M43" s="15"/>
      <c r="N43" s="15"/>
      <c r="O43" s="16" t="str">
        <f aca="false">IFERROR(INDEX(Lists!$B$3:$B$7,MATCH(K43,Lists!$A$3:$A$7,0)),"")</f>
        <v/>
      </c>
      <c r="P43" s="16" t="str">
        <f aca="false">IFERROR(INDEX('Evidence Pulls'!$N$6:$N$125,MATCH($J43,'Evidence Pulls'!$A$6:$A$125,0)),"")</f>
        <v/>
      </c>
      <c r="Q43" s="16" t="str">
        <f aca="false">IFERROR(INDEX('Evidence Pulls'!$G$6:$G$125,MATCH($J43,'Evidence Pulls'!$A$6:$A$125,0)),"")</f>
        <v/>
      </c>
      <c r="R43" s="16" t="str">
        <f aca="false">IFERROR(INDEX('Evidence Pulls'!$O$6:$O$125,MATCH($J43,'Evidence Pulls'!$A$6:$A$125,0)),"")</f>
        <v/>
      </c>
      <c r="S43" s="16" t="str">
        <f aca="false">IF(L43&lt;&gt;"",L43,IF(K43="","Not assessed",IF(N(O43)&gt;=3,"Demonstrated","Gap - remediate")))</f>
        <v>Not assessed</v>
      </c>
      <c r="T43" s="16" t="str">
        <f aca="false">IF(J43="","No evidence pull assigned",IF(COUNTIF('Evidence Pulls'!$A$6:$A$125,J43)=0,"Pull ID not on Evidence Pulls sheet",IF(K43="","Not graded",IF(AND(G43="MANDATORY",L43="Gap - recommend tailoring"),"INVALID: safety-mandatory, not tailorable",IF(OR(P43="",P43=0),"NO NAMED EXECUTOR",IF(AND(H43="Full",N(O43)&gt;=3,N(IFERROR(INDEX('Evidence Pulls'!$J$6:$J$125,MATCH($J43,'Evidence Pulls'!$A$6:$A$125,0)),""))=0),"Operating claimed with no sample",IF(AND(N(O43)&gt;=3,P43=1),"Operating rests on one individual",IF(AND(G43="MANDATORY",N(O43)&lt;3),"SAFETY GATE: below Operating","OK"))))))))</f>
        <v>No evidence pull assigned</v>
      </c>
    </row>
    <row r="44" customFormat="false" ht="15" hidden="false" customHeight="false" outlineLevel="0" collapsed="false">
      <c r="A44" s="13" t="s">
        <v>190</v>
      </c>
      <c r="B44" s="13" t="s">
        <v>153</v>
      </c>
      <c r="C44" s="13" t="s">
        <v>188</v>
      </c>
      <c r="D44" s="13" t="s">
        <v>189</v>
      </c>
      <c r="E44" s="13" t="s">
        <v>158</v>
      </c>
      <c r="F44" s="14"/>
      <c r="G44" s="13"/>
      <c r="H44" s="13" t="s">
        <v>103</v>
      </c>
      <c r="I44" s="13" t="s">
        <v>156</v>
      </c>
      <c r="J44" s="15"/>
      <c r="K44" s="15"/>
      <c r="L44" s="15"/>
      <c r="M44" s="15"/>
      <c r="N44" s="15"/>
      <c r="O44" s="16" t="str">
        <f aca="false">IFERROR(INDEX(Lists!$B$3:$B$7,MATCH(K44,Lists!$A$3:$A$7,0)),"")</f>
        <v/>
      </c>
      <c r="P44" s="16" t="str">
        <f aca="false">IFERROR(INDEX('Evidence Pulls'!$N$6:$N$125,MATCH($J44,'Evidence Pulls'!$A$6:$A$125,0)),"")</f>
        <v/>
      </c>
      <c r="Q44" s="16" t="str">
        <f aca="false">IFERROR(INDEX('Evidence Pulls'!$G$6:$G$125,MATCH($J44,'Evidence Pulls'!$A$6:$A$125,0)),"")</f>
        <v/>
      </c>
      <c r="R44" s="16" t="str">
        <f aca="false">IFERROR(INDEX('Evidence Pulls'!$O$6:$O$125,MATCH($J44,'Evidence Pulls'!$A$6:$A$125,0)),"")</f>
        <v/>
      </c>
      <c r="S44" s="16" t="str">
        <f aca="false">IF(L44&lt;&gt;"",L44,IF(K44="","Not assessed",IF(N(O44)&gt;=3,"Demonstrated","Gap - remediate")))</f>
        <v>Not assessed</v>
      </c>
      <c r="T44" s="16" t="str">
        <f aca="false">IF(J44="","No evidence pull assigned",IF(COUNTIF('Evidence Pulls'!$A$6:$A$125,J44)=0,"Pull ID not on Evidence Pulls sheet",IF(K44="","Not graded",IF(AND(G44="MANDATORY",L44="Gap - recommend tailoring"),"INVALID: safety-mandatory, not tailorable",IF(OR(P44="",P44=0),"NO NAMED EXECUTOR",IF(AND(H44="Full",N(O44)&gt;=3,N(IFERROR(INDEX('Evidence Pulls'!$J$6:$J$125,MATCH($J44,'Evidence Pulls'!$A$6:$A$125,0)),""))=0),"Operating claimed with no sample",IF(AND(N(O44)&gt;=3,P44=1),"Operating rests on one individual",IF(AND(G44="MANDATORY",N(O44)&lt;3),"SAFETY GATE: below Operating","OK"))))))))</f>
        <v>No evidence pull assigned</v>
      </c>
    </row>
    <row r="45" customFormat="false" ht="15" hidden="false" customHeight="false" outlineLevel="0" collapsed="false">
      <c r="A45" s="17" t="s">
        <v>191</v>
      </c>
      <c r="B45" s="17" t="s">
        <v>153</v>
      </c>
      <c r="C45" s="17" t="s">
        <v>188</v>
      </c>
      <c r="D45" s="17" t="s">
        <v>189</v>
      </c>
      <c r="E45" s="17" t="s">
        <v>160</v>
      </c>
      <c r="F45" s="17"/>
      <c r="G45" s="18" t="s">
        <v>107</v>
      </c>
      <c r="H45" s="18" t="s">
        <v>108</v>
      </c>
      <c r="I45" s="17" t="s">
        <v>156</v>
      </c>
      <c r="J45" s="15"/>
      <c r="K45" s="15"/>
      <c r="L45" s="15"/>
      <c r="M45" s="15"/>
      <c r="N45" s="15"/>
      <c r="O45" s="16" t="str">
        <f aca="false">IFERROR(INDEX(Lists!$B$3:$B$7,MATCH(K45,Lists!$A$3:$A$7,0)),"")</f>
        <v/>
      </c>
      <c r="P45" s="16" t="str">
        <f aca="false">IFERROR(INDEX('Evidence Pulls'!$N$6:$N$125,MATCH($J45,'Evidence Pulls'!$A$6:$A$125,0)),"")</f>
        <v/>
      </c>
      <c r="Q45" s="16" t="str">
        <f aca="false">IFERROR(INDEX('Evidence Pulls'!$G$6:$G$125,MATCH($J45,'Evidence Pulls'!$A$6:$A$125,0)),"")</f>
        <v/>
      </c>
      <c r="R45" s="16" t="str">
        <f aca="false">IFERROR(INDEX('Evidence Pulls'!$O$6:$O$125,MATCH($J45,'Evidence Pulls'!$A$6:$A$125,0)),"")</f>
        <v/>
      </c>
      <c r="S45" s="16" t="str">
        <f aca="false">IF(L45&lt;&gt;"",L45,IF(K45="","Not assessed",IF(N(O45)&gt;=3,"Demonstrated","Gap - remediate")))</f>
        <v>Not assessed</v>
      </c>
      <c r="T45" s="16" t="str">
        <f aca="false">IF(J45="","No evidence pull assigned",IF(COUNTIF('Evidence Pulls'!$A$6:$A$125,J45)=0,"Pull ID not on Evidence Pulls sheet",IF(K45="","Not graded",IF(AND(G45="MANDATORY",L45="Gap - recommend tailoring"),"INVALID: safety-mandatory, not tailorable",IF(OR(P45="",P45=0),"NO NAMED EXECUTOR",IF(AND(H45="Full",N(O45)&gt;=3,N(IFERROR(INDEX('Evidence Pulls'!$J$6:$J$125,MATCH($J45,'Evidence Pulls'!$A$6:$A$125,0)),""))=0),"Operating claimed with no sample",IF(AND(N(O45)&gt;=3,P45=1),"Operating rests on one individual",IF(AND(G45="MANDATORY",N(O45)&lt;3),"SAFETY GATE: below Operating","OK"))))))))</f>
        <v>No evidence pull assigned</v>
      </c>
    </row>
    <row r="46" customFormat="false" ht="15" hidden="false" customHeight="false" outlineLevel="0" collapsed="false">
      <c r="A46" s="13" t="s">
        <v>192</v>
      </c>
      <c r="B46" s="13" t="s">
        <v>153</v>
      </c>
      <c r="C46" s="13" t="s">
        <v>188</v>
      </c>
      <c r="D46" s="13" t="s">
        <v>189</v>
      </c>
      <c r="E46" s="13" t="s">
        <v>162</v>
      </c>
      <c r="F46" s="14"/>
      <c r="G46" s="13"/>
      <c r="H46" s="13" t="s">
        <v>103</v>
      </c>
      <c r="I46" s="13" t="s">
        <v>156</v>
      </c>
      <c r="J46" s="15"/>
      <c r="K46" s="15"/>
      <c r="L46" s="15"/>
      <c r="M46" s="15"/>
      <c r="N46" s="15"/>
      <c r="O46" s="16" t="str">
        <f aca="false">IFERROR(INDEX(Lists!$B$3:$B$7,MATCH(K46,Lists!$A$3:$A$7,0)),"")</f>
        <v/>
      </c>
      <c r="P46" s="16" t="str">
        <f aca="false">IFERROR(INDEX('Evidence Pulls'!$N$6:$N$125,MATCH($J46,'Evidence Pulls'!$A$6:$A$125,0)),"")</f>
        <v/>
      </c>
      <c r="Q46" s="16" t="str">
        <f aca="false">IFERROR(INDEX('Evidence Pulls'!$G$6:$G$125,MATCH($J46,'Evidence Pulls'!$A$6:$A$125,0)),"")</f>
        <v/>
      </c>
      <c r="R46" s="16" t="str">
        <f aca="false">IFERROR(INDEX('Evidence Pulls'!$O$6:$O$125,MATCH($J46,'Evidence Pulls'!$A$6:$A$125,0)),"")</f>
        <v/>
      </c>
      <c r="S46" s="16" t="str">
        <f aca="false">IF(L46&lt;&gt;"",L46,IF(K46="","Not assessed",IF(N(O46)&gt;=3,"Demonstrated","Gap - remediate")))</f>
        <v>Not assessed</v>
      </c>
      <c r="T46" s="16" t="str">
        <f aca="false">IF(J46="","No evidence pull assigned",IF(COUNTIF('Evidence Pulls'!$A$6:$A$125,J46)=0,"Pull ID not on Evidence Pulls sheet",IF(K46="","Not graded",IF(AND(G46="MANDATORY",L46="Gap - recommend tailoring"),"INVALID: safety-mandatory, not tailorable",IF(OR(P46="",P46=0),"NO NAMED EXECUTOR",IF(AND(H46="Full",N(O46)&gt;=3,N(IFERROR(INDEX('Evidence Pulls'!$J$6:$J$125,MATCH($J46,'Evidence Pulls'!$A$6:$A$125,0)),""))=0),"Operating claimed with no sample",IF(AND(N(O46)&gt;=3,P46=1),"Operating rests on one individual",IF(AND(G46="MANDATORY",N(O46)&lt;3),"SAFETY GATE: below Operating","OK"))))))))</f>
        <v>No evidence pull assigned</v>
      </c>
    </row>
    <row r="47" customFormat="false" ht="15" hidden="false" customHeight="false" outlineLevel="0" collapsed="false">
      <c r="A47" s="13" t="s">
        <v>193</v>
      </c>
      <c r="B47" s="13" t="s">
        <v>153</v>
      </c>
      <c r="C47" s="13" t="s">
        <v>188</v>
      </c>
      <c r="D47" s="13" t="s">
        <v>189</v>
      </c>
      <c r="E47" s="13" t="s">
        <v>164</v>
      </c>
      <c r="F47" s="14"/>
      <c r="G47" s="13"/>
      <c r="H47" s="13" t="s">
        <v>103</v>
      </c>
      <c r="I47" s="13" t="s">
        <v>156</v>
      </c>
      <c r="J47" s="15"/>
      <c r="K47" s="15"/>
      <c r="L47" s="15"/>
      <c r="M47" s="15"/>
      <c r="N47" s="15"/>
      <c r="O47" s="16" t="str">
        <f aca="false">IFERROR(INDEX(Lists!$B$3:$B$7,MATCH(K47,Lists!$A$3:$A$7,0)),"")</f>
        <v/>
      </c>
      <c r="P47" s="16" t="str">
        <f aca="false">IFERROR(INDEX('Evidence Pulls'!$N$6:$N$125,MATCH($J47,'Evidence Pulls'!$A$6:$A$125,0)),"")</f>
        <v/>
      </c>
      <c r="Q47" s="16" t="str">
        <f aca="false">IFERROR(INDEX('Evidence Pulls'!$G$6:$G$125,MATCH($J47,'Evidence Pulls'!$A$6:$A$125,0)),"")</f>
        <v/>
      </c>
      <c r="R47" s="16" t="str">
        <f aca="false">IFERROR(INDEX('Evidence Pulls'!$O$6:$O$125,MATCH($J47,'Evidence Pulls'!$A$6:$A$125,0)),"")</f>
        <v/>
      </c>
      <c r="S47" s="16" t="str">
        <f aca="false">IF(L47&lt;&gt;"",L47,IF(K47="","Not assessed",IF(N(O47)&gt;=3,"Demonstrated","Gap - remediate")))</f>
        <v>Not assessed</v>
      </c>
      <c r="T47" s="16" t="str">
        <f aca="false">IF(J47="","No evidence pull assigned",IF(COUNTIF('Evidence Pulls'!$A$6:$A$125,J47)=0,"Pull ID not on Evidence Pulls sheet",IF(K47="","Not graded",IF(AND(G47="MANDATORY",L47="Gap - recommend tailoring"),"INVALID: safety-mandatory, not tailorable",IF(OR(P47="",P47=0),"NO NAMED EXECUTOR",IF(AND(H47="Full",N(O47)&gt;=3,N(IFERROR(INDEX('Evidence Pulls'!$J$6:$J$125,MATCH($J47,'Evidence Pulls'!$A$6:$A$125,0)),""))=0),"Operating claimed with no sample",IF(AND(N(O47)&gt;=3,P47=1),"Operating rests on one individual",IF(AND(G47="MANDATORY",N(O47)&lt;3),"SAFETY GATE: below Operating","OK"))))))))</f>
        <v>No evidence pull assigned</v>
      </c>
    </row>
    <row r="48" customFormat="false" ht="15" hidden="false" customHeight="false" outlineLevel="0" collapsed="false">
      <c r="A48" s="13" t="s">
        <v>194</v>
      </c>
      <c r="B48" s="13" t="s">
        <v>153</v>
      </c>
      <c r="C48" s="13" t="s">
        <v>188</v>
      </c>
      <c r="D48" s="13" t="s">
        <v>189</v>
      </c>
      <c r="E48" s="13" t="s">
        <v>166</v>
      </c>
      <c r="F48" s="14"/>
      <c r="G48" s="13"/>
      <c r="H48" s="13" t="s">
        <v>103</v>
      </c>
      <c r="I48" s="13" t="s">
        <v>156</v>
      </c>
      <c r="J48" s="15"/>
      <c r="K48" s="15"/>
      <c r="L48" s="15"/>
      <c r="M48" s="15"/>
      <c r="N48" s="15"/>
      <c r="O48" s="16" t="str">
        <f aca="false">IFERROR(INDEX(Lists!$B$3:$B$7,MATCH(K48,Lists!$A$3:$A$7,0)),"")</f>
        <v/>
      </c>
      <c r="P48" s="16" t="str">
        <f aca="false">IFERROR(INDEX('Evidence Pulls'!$N$6:$N$125,MATCH($J48,'Evidence Pulls'!$A$6:$A$125,0)),"")</f>
        <v/>
      </c>
      <c r="Q48" s="16" t="str">
        <f aca="false">IFERROR(INDEX('Evidence Pulls'!$G$6:$G$125,MATCH($J48,'Evidence Pulls'!$A$6:$A$125,0)),"")</f>
        <v/>
      </c>
      <c r="R48" s="16" t="str">
        <f aca="false">IFERROR(INDEX('Evidence Pulls'!$O$6:$O$125,MATCH($J48,'Evidence Pulls'!$A$6:$A$125,0)),"")</f>
        <v/>
      </c>
      <c r="S48" s="16" t="str">
        <f aca="false">IF(L48&lt;&gt;"",L48,IF(K48="","Not assessed",IF(N(O48)&gt;=3,"Demonstrated","Gap - remediate")))</f>
        <v>Not assessed</v>
      </c>
      <c r="T48" s="16" t="str">
        <f aca="false">IF(J48="","No evidence pull assigned",IF(COUNTIF('Evidence Pulls'!$A$6:$A$125,J48)=0,"Pull ID not on Evidence Pulls sheet",IF(K48="","Not graded",IF(AND(G48="MANDATORY",L48="Gap - recommend tailoring"),"INVALID: safety-mandatory, not tailorable",IF(OR(P48="",P48=0),"NO NAMED EXECUTOR",IF(AND(H48="Full",N(O48)&gt;=3,N(IFERROR(INDEX('Evidence Pulls'!$J$6:$J$125,MATCH($J48,'Evidence Pulls'!$A$6:$A$125,0)),""))=0),"Operating claimed with no sample",IF(AND(N(O48)&gt;=3,P48=1),"Operating rests on one individual",IF(AND(G48="MANDATORY",N(O48)&lt;3),"SAFETY GATE: below Operating","OK"))))))))</f>
        <v>No evidence pull assigned</v>
      </c>
    </row>
    <row r="49" customFormat="false" ht="15" hidden="false" customHeight="false" outlineLevel="0" collapsed="false">
      <c r="A49" s="13" t="s">
        <v>195</v>
      </c>
      <c r="B49" s="13" t="s">
        <v>153</v>
      </c>
      <c r="C49" s="13" t="s">
        <v>188</v>
      </c>
      <c r="D49" s="13" t="s">
        <v>189</v>
      </c>
      <c r="E49" s="13" t="s">
        <v>168</v>
      </c>
      <c r="F49" s="14"/>
      <c r="G49" s="13"/>
      <c r="H49" s="13" t="s">
        <v>103</v>
      </c>
      <c r="I49" s="13" t="s">
        <v>156</v>
      </c>
      <c r="J49" s="15"/>
      <c r="K49" s="15"/>
      <c r="L49" s="15"/>
      <c r="M49" s="15"/>
      <c r="N49" s="15"/>
      <c r="O49" s="16" t="str">
        <f aca="false">IFERROR(INDEX(Lists!$B$3:$B$7,MATCH(K49,Lists!$A$3:$A$7,0)),"")</f>
        <v/>
      </c>
      <c r="P49" s="16" t="str">
        <f aca="false">IFERROR(INDEX('Evidence Pulls'!$N$6:$N$125,MATCH($J49,'Evidence Pulls'!$A$6:$A$125,0)),"")</f>
        <v/>
      </c>
      <c r="Q49" s="16" t="str">
        <f aca="false">IFERROR(INDEX('Evidence Pulls'!$G$6:$G$125,MATCH($J49,'Evidence Pulls'!$A$6:$A$125,0)),"")</f>
        <v/>
      </c>
      <c r="R49" s="16" t="str">
        <f aca="false">IFERROR(INDEX('Evidence Pulls'!$O$6:$O$125,MATCH($J49,'Evidence Pulls'!$A$6:$A$125,0)),"")</f>
        <v/>
      </c>
      <c r="S49" s="16" t="str">
        <f aca="false">IF(L49&lt;&gt;"",L49,IF(K49="","Not assessed",IF(N(O49)&gt;=3,"Demonstrated","Gap - remediate")))</f>
        <v>Not assessed</v>
      </c>
      <c r="T49" s="16" t="str">
        <f aca="false">IF(J49="","No evidence pull assigned",IF(COUNTIF('Evidence Pulls'!$A$6:$A$125,J49)=0,"Pull ID not on Evidence Pulls sheet",IF(K49="","Not graded",IF(AND(G49="MANDATORY",L49="Gap - recommend tailoring"),"INVALID: safety-mandatory, not tailorable",IF(OR(P49="",P49=0),"NO NAMED EXECUTOR",IF(AND(H49="Full",N(O49)&gt;=3,N(IFERROR(INDEX('Evidence Pulls'!$J$6:$J$125,MATCH($J49,'Evidence Pulls'!$A$6:$A$125,0)),""))=0),"Operating claimed with no sample",IF(AND(N(O49)&gt;=3,P49=1),"Operating rests on one individual",IF(AND(G49="MANDATORY",N(O49)&lt;3),"SAFETY GATE: below Operating","OK"))))))))</f>
        <v>No evidence pull assigned</v>
      </c>
    </row>
    <row r="50" customFormat="false" ht="15" hidden="false" customHeight="false" outlineLevel="0" collapsed="false">
      <c r="A50" s="13" t="s">
        <v>196</v>
      </c>
      <c r="B50" s="13" t="s">
        <v>153</v>
      </c>
      <c r="C50" s="13" t="s">
        <v>188</v>
      </c>
      <c r="D50" s="13" t="s">
        <v>189</v>
      </c>
      <c r="E50" s="13" t="s">
        <v>170</v>
      </c>
      <c r="F50" s="14"/>
      <c r="G50" s="13"/>
      <c r="H50" s="13" t="s">
        <v>103</v>
      </c>
      <c r="I50" s="13" t="s">
        <v>156</v>
      </c>
      <c r="J50" s="15"/>
      <c r="K50" s="15"/>
      <c r="L50" s="15"/>
      <c r="M50" s="15"/>
      <c r="N50" s="15"/>
      <c r="O50" s="16" t="str">
        <f aca="false">IFERROR(INDEX(Lists!$B$3:$B$7,MATCH(K50,Lists!$A$3:$A$7,0)),"")</f>
        <v/>
      </c>
      <c r="P50" s="16" t="str">
        <f aca="false">IFERROR(INDEX('Evidence Pulls'!$N$6:$N$125,MATCH($J50,'Evidence Pulls'!$A$6:$A$125,0)),"")</f>
        <v/>
      </c>
      <c r="Q50" s="16" t="str">
        <f aca="false">IFERROR(INDEX('Evidence Pulls'!$G$6:$G$125,MATCH($J50,'Evidence Pulls'!$A$6:$A$125,0)),"")</f>
        <v/>
      </c>
      <c r="R50" s="16" t="str">
        <f aca="false">IFERROR(INDEX('Evidence Pulls'!$O$6:$O$125,MATCH($J50,'Evidence Pulls'!$A$6:$A$125,0)),"")</f>
        <v/>
      </c>
      <c r="S50" s="16" t="str">
        <f aca="false">IF(L50&lt;&gt;"",L50,IF(K50="","Not assessed",IF(N(O50)&gt;=3,"Demonstrated","Gap - remediate")))</f>
        <v>Not assessed</v>
      </c>
      <c r="T50" s="16" t="str">
        <f aca="false">IF(J50="","No evidence pull assigned",IF(COUNTIF('Evidence Pulls'!$A$6:$A$125,J50)=0,"Pull ID not on Evidence Pulls sheet",IF(K50="","Not graded",IF(AND(G50="MANDATORY",L50="Gap - recommend tailoring"),"INVALID: safety-mandatory, not tailorable",IF(OR(P50="",P50=0),"NO NAMED EXECUTOR",IF(AND(H50="Full",N(O50)&gt;=3,N(IFERROR(INDEX('Evidence Pulls'!$J$6:$J$125,MATCH($J50,'Evidence Pulls'!$A$6:$A$125,0)),""))=0),"Operating claimed with no sample",IF(AND(N(O50)&gt;=3,P50=1),"Operating rests on one individual",IF(AND(G50="MANDATORY",N(O50)&lt;3),"SAFETY GATE: below Operating","OK"))))))))</f>
        <v>No evidence pull assigned</v>
      </c>
    </row>
    <row r="51" customFormat="false" ht="15" hidden="false" customHeight="false" outlineLevel="0" collapsed="false">
      <c r="A51" s="13" t="s">
        <v>197</v>
      </c>
      <c r="B51" s="13" t="s">
        <v>153</v>
      </c>
      <c r="C51" s="13" t="s">
        <v>198</v>
      </c>
      <c r="D51" s="13" t="s">
        <v>199</v>
      </c>
      <c r="E51" s="13" t="s">
        <v>102</v>
      </c>
      <c r="F51" s="14"/>
      <c r="G51" s="13"/>
      <c r="H51" s="13" t="s">
        <v>103</v>
      </c>
      <c r="I51" s="13" t="s">
        <v>156</v>
      </c>
      <c r="J51" s="15"/>
      <c r="K51" s="15"/>
      <c r="L51" s="15"/>
      <c r="M51" s="15"/>
      <c r="N51" s="15"/>
      <c r="O51" s="16" t="str">
        <f aca="false">IFERROR(INDEX(Lists!$B$3:$B$7,MATCH(K51,Lists!$A$3:$A$7,0)),"")</f>
        <v/>
      </c>
      <c r="P51" s="16" t="str">
        <f aca="false">IFERROR(INDEX('Evidence Pulls'!$N$6:$N$125,MATCH($J51,'Evidence Pulls'!$A$6:$A$125,0)),"")</f>
        <v/>
      </c>
      <c r="Q51" s="16" t="str">
        <f aca="false">IFERROR(INDEX('Evidence Pulls'!$G$6:$G$125,MATCH($J51,'Evidence Pulls'!$A$6:$A$125,0)),"")</f>
        <v/>
      </c>
      <c r="R51" s="16" t="str">
        <f aca="false">IFERROR(INDEX('Evidence Pulls'!$O$6:$O$125,MATCH($J51,'Evidence Pulls'!$A$6:$A$125,0)),"")</f>
        <v/>
      </c>
      <c r="S51" s="16" t="str">
        <f aca="false">IF(L51&lt;&gt;"",L51,IF(K51="","Not assessed",IF(N(O51)&gt;=3,"Demonstrated","Gap - remediate")))</f>
        <v>Not assessed</v>
      </c>
      <c r="T51" s="16" t="str">
        <f aca="false">IF(J51="","No evidence pull assigned",IF(COUNTIF('Evidence Pulls'!$A$6:$A$125,J51)=0,"Pull ID not on Evidence Pulls sheet",IF(K51="","Not graded",IF(AND(G51="MANDATORY",L51="Gap - recommend tailoring"),"INVALID: safety-mandatory, not tailorable",IF(OR(P51="",P51=0),"NO NAMED EXECUTOR",IF(AND(H51="Full",N(O51)&gt;=3,N(IFERROR(INDEX('Evidence Pulls'!$J$6:$J$125,MATCH($J51,'Evidence Pulls'!$A$6:$A$125,0)),""))=0),"Operating claimed with no sample",IF(AND(N(O51)&gt;=3,P51=1),"Operating rests on one individual",IF(AND(G51="MANDATORY",N(O51)&lt;3),"SAFETY GATE: below Operating","OK"))))))))</f>
        <v>No evidence pull assigned</v>
      </c>
    </row>
    <row r="52" customFormat="false" ht="15" hidden="false" customHeight="false" outlineLevel="0" collapsed="false">
      <c r="A52" s="13" t="s">
        <v>200</v>
      </c>
      <c r="B52" s="13" t="s">
        <v>153</v>
      </c>
      <c r="C52" s="13" t="s">
        <v>198</v>
      </c>
      <c r="D52" s="13" t="s">
        <v>199</v>
      </c>
      <c r="E52" s="13" t="s">
        <v>106</v>
      </c>
      <c r="F52" s="14"/>
      <c r="G52" s="13"/>
      <c r="H52" s="13" t="s">
        <v>103</v>
      </c>
      <c r="I52" s="13" t="s">
        <v>156</v>
      </c>
      <c r="J52" s="15"/>
      <c r="K52" s="15"/>
      <c r="L52" s="15"/>
      <c r="M52" s="15"/>
      <c r="N52" s="15"/>
      <c r="O52" s="16" t="str">
        <f aca="false">IFERROR(INDEX(Lists!$B$3:$B$7,MATCH(K52,Lists!$A$3:$A$7,0)),"")</f>
        <v/>
      </c>
      <c r="P52" s="16" t="str">
        <f aca="false">IFERROR(INDEX('Evidence Pulls'!$N$6:$N$125,MATCH($J52,'Evidence Pulls'!$A$6:$A$125,0)),"")</f>
        <v/>
      </c>
      <c r="Q52" s="16" t="str">
        <f aca="false">IFERROR(INDEX('Evidence Pulls'!$G$6:$G$125,MATCH($J52,'Evidence Pulls'!$A$6:$A$125,0)),"")</f>
        <v/>
      </c>
      <c r="R52" s="16" t="str">
        <f aca="false">IFERROR(INDEX('Evidence Pulls'!$O$6:$O$125,MATCH($J52,'Evidence Pulls'!$A$6:$A$125,0)),"")</f>
        <v/>
      </c>
      <c r="S52" s="16" t="str">
        <f aca="false">IF(L52&lt;&gt;"",L52,IF(K52="","Not assessed",IF(N(O52)&gt;=3,"Demonstrated","Gap - remediate")))</f>
        <v>Not assessed</v>
      </c>
      <c r="T52" s="16" t="str">
        <f aca="false">IF(J52="","No evidence pull assigned",IF(COUNTIF('Evidence Pulls'!$A$6:$A$125,J52)=0,"Pull ID not on Evidence Pulls sheet",IF(K52="","Not graded",IF(AND(G52="MANDATORY",L52="Gap - recommend tailoring"),"INVALID: safety-mandatory, not tailorable",IF(OR(P52="",P52=0),"NO NAMED EXECUTOR",IF(AND(H52="Full",N(O52)&gt;=3,N(IFERROR(INDEX('Evidence Pulls'!$J$6:$J$125,MATCH($J52,'Evidence Pulls'!$A$6:$A$125,0)),""))=0),"Operating claimed with no sample",IF(AND(N(O52)&gt;=3,P52=1),"Operating rests on one individual",IF(AND(G52="MANDATORY",N(O52)&lt;3),"SAFETY GATE: below Operating","OK"))))))))</f>
        <v>No evidence pull assigned</v>
      </c>
    </row>
    <row r="53" customFormat="false" ht="15" hidden="false" customHeight="false" outlineLevel="0" collapsed="false">
      <c r="A53" s="13" t="s">
        <v>201</v>
      </c>
      <c r="B53" s="13" t="s">
        <v>153</v>
      </c>
      <c r="C53" s="13" t="s">
        <v>198</v>
      </c>
      <c r="D53" s="13" t="s">
        <v>199</v>
      </c>
      <c r="E53" s="13" t="s">
        <v>110</v>
      </c>
      <c r="F53" s="14"/>
      <c r="G53" s="13"/>
      <c r="H53" s="13" t="s">
        <v>103</v>
      </c>
      <c r="I53" s="13" t="s">
        <v>156</v>
      </c>
      <c r="J53" s="15"/>
      <c r="K53" s="15"/>
      <c r="L53" s="15"/>
      <c r="M53" s="15"/>
      <c r="N53" s="15"/>
      <c r="O53" s="16" t="str">
        <f aca="false">IFERROR(INDEX(Lists!$B$3:$B$7,MATCH(K53,Lists!$A$3:$A$7,0)),"")</f>
        <v/>
      </c>
      <c r="P53" s="16" t="str">
        <f aca="false">IFERROR(INDEX('Evidence Pulls'!$N$6:$N$125,MATCH($J53,'Evidence Pulls'!$A$6:$A$125,0)),"")</f>
        <v/>
      </c>
      <c r="Q53" s="16" t="str">
        <f aca="false">IFERROR(INDEX('Evidence Pulls'!$G$6:$G$125,MATCH($J53,'Evidence Pulls'!$A$6:$A$125,0)),"")</f>
        <v/>
      </c>
      <c r="R53" s="16" t="str">
        <f aca="false">IFERROR(INDEX('Evidence Pulls'!$O$6:$O$125,MATCH($J53,'Evidence Pulls'!$A$6:$A$125,0)),"")</f>
        <v/>
      </c>
      <c r="S53" s="16" t="str">
        <f aca="false">IF(L53&lt;&gt;"",L53,IF(K53="","Not assessed",IF(N(O53)&gt;=3,"Demonstrated","Gap - remediate")))</f>
        <v>Not assessed</v>
      </c>
      <c r="T53" s="16" t="str">
        <f aca="false">IF(J53="","No evidence pull assigned",IF(COUNTIF('Evidence Pulls'!$A$6:$A$125,J53)=0,"Pull ID not on Evidence Pulls sheet",IF(K53="","Not graded",IF(AND(G53="MANDATORY",L53="Gap - recommend tailoring"),"INVALID: safety-mandatory, not tailorable",IF(OR(P53="",P53=0),"NO NAMED EXECUTOR",IF(AND(H53="Full",N(O53)&gt;=3,N(IFERROR(INDEX('Evidence Pulls'!$J$6:$J$125,MATCH($J53,'Evidence Pulls'!$A$6:$A$125,0)),""))=0),"Operating claimed with no sample",IF(AND(N(O53)&gt;=3,P53=1),"Operating rests on one individual",IF(AND(G53="MANDATORY",N(O53)&lt;3),"SAFETY GATE: below Operating","OK"))))))))</f>
        <v>No evidence pull assigned</v>
      </c>
    </row>
    <row r="54" customFormat="false" ht="15" hidden="false" customHeight="false" outlineLevel="0" collapsed="false">
      <c r="A54" s="13" t="s">
        <v>202</v>
      </c>
      <c r="B54" s="13" t="s">
        <v>153</v>
      </c>
      <c r="C54" s="13" t="s">
        <v>198</v>
      </c>
      <c r="D54" s="13" t="s">
        <v>199</v>
      </c>
      <c r="E54" s="13" t="s">
        <v>112</v>
      </c>
      <c r="F54" s="14"/>
      <c r="G54" s="13"/>
      <c r="H54" s="13" t="s">
        <v>103</v>
      </c>
      <c r="I54" s="13" t="s">
        <v>156</v>
      </c>
      <c r="J54" s="15"/>
      <c r="K54" s="15"/>
      <c r="L54" s="15"/>
      <c r="M54" s="15"/>
      <c r="N54" s="15"/>
      <c r="O54" s="16" t="str">
        <f aca="false">IFERROR(INDEX(Lists!$B$3:$B$7,MATCH(K54,Lists!$A$3:$A$7,0)),"")</f>
        <v/>
      </c>
      <c r="P54" s="16" t="str">
        <f aca="false">IFERROR(INDEX('Evidence Pulls'!$N$6:$N$125,MATCH($J54,'Evidence Pulls'!$A$6:$A$125,0)),"")</f>
        <v/>
      </c>
      <c r="Q54" s="16" t="str">
        <f aca="false">IFERROR(INDEX('Evidence Pulls'!$G$6:$G$125,MATCH($J54,'Evidence Pulls'!$A$6:$A$125,0)),"")</f>
        <v/>
      </c>
      <c r="R54" s="16" t="str">
        <f aca="false">IFERROR(INDEX('Evidence Pulls'!$O$6:$O$125,MATCH($J54,'Evidence Pulls'!$A$6:$A$125,0)),"")</f>
        <v/>
      </c>
      <c r="S54" s="16" t="str">
        <f aca="false">IF(L54&lt;&gt;"",L54,IF(K54="","Not assessed",IF(N(O54)&gt;=3,"Demonstrated","Gap - remediate")))</f>
        <v>Not assessed</v>
      </c>
      <c r="T54" s="16" t="str">
        <f aca="false">IF(J54="","No evidence pull assigned",IF(COUNTIF('Evidence Pulls'!$A$6:$A$125,J54)=0,"Pull ID not on Evidence Pulls sheet",IF(K54="","Not graded",IF(AND(G54="MANDATORY",L54="Gap - recommend tailoring"),"INVALID: safety-mandatory, not tailorable",IF(OR(P54="",P54=0),"NO NAMED EXECUTOR",IF(AND(H54="Full",N(O54)&gt;=3,N(IFERROR(INDEX('Evidence Pulls'!$J$6:$J$125,MATCH($J54,'Evidence Pulls'!$A$6:$A$125,0)),""))=0),"Operating claimed with no sample",IF(AND(N(O54)&gt;=3,P54=1),"Operating rests on one individual",IF(AND(G54="MANDATORY",N(O54)&lt;3),"SAFETY GATE: below Operating","OK"))))))))</f>
        <v>No evidence pull assigned</v>
      </c>
    </row>
    <row r="55" customFormat="false" ht="15" hidden="false" customHeight="false" outlineLevel="0" collapsed="false">
      <c r="A55" s="13" t="s">
        <v>203</v>
      </c>
      <c r="B55" s="13" t="s">
        <v>153</v>
      </c>
      <c r="C55" s="13" t="s">
        <v>198</v>
      </c>
      <c r="D55" s="13" t="s">
        <v>199</v>
      </c>
      <c r="E55" s="13" t="s">
        <v>204</v>
      </c>
      <c r="F55" s="14"/>
      <c r="G55" s="13"/>
      <c r="H55" s="13" t="s">
        <v>103</v>
      </c>
      <c r="I55" s="13" t="s">
        <v>156</v>
      </c>
      <c r="J55" s="15"/>
      <c r="K55" s="15"/>
      <c r="L55" s="15"/>
      <c r="M55" s="15"/>
      <c r="N55" s="15"/>
      <c r="O55" s="16" t="str">
        <f aca="false">IFERROR(INDEX(Lists!$B$3:$B$7,MATCH(K55,Lists!$A$3:$A$7,0)),"")</f>
        <v/>
      </c>
      <c r="P55" s="16" t="str">
        <f aca="false">IFERROR(INDEX('Evidence Pulls'!$N$6:$N$125,MATCH($J55,'Evidence Pulls'!$A$6:$A$125,0)),"")</f>
        <v/>
      </c>
      <c r="Q55" s="16" t="str">
        <f aca="false">IFERROR(INDEX('Evidence Pulls'!$G$6:$G$125,MATCH($J55,'Evidence Pulls'!$A$6:$A$125,0)),"")</f>
        <v/>
      </c>
      <c r="R55" s="16" t="str">
        <f aca="false">IFERROR(INDEX('Evidence Pulls'!$O$6:$O$125,MATCH($J55,'Evidence Pulls'!$A$6:$A$125,0)),"")</f>
        <v/>
      </c>
      <c r="S55" s="16" t="str">
        <f aca="false">IF(L55&lt;&gt;"",L55,IF(K55="","Not assessed",IF(N(O55)&gt;=3,"Demonstrated","Gap - remediate")))</f>
        <v>Not assessed</v>
      </c>
      <c r="T55" s="16" t="str">
        <f aca="false">IF(J55="","No evidence pull assigned",IF(COUNTIF('Evidence Pulls'!$A$6:$A$125,J55)=0,"Pull ID not on Evidence Pulls sheet",IF(K55="","Not graded",IF(AND(G55="MANDATORY",L55="Gap - recommend tailoring"),"INVALID: safety-mandatory, not tailorable",IF(OR(P55="",P55=0),"NO NAMED EXECUTOR",IF(AND(H55="Full",N(O55)&gt;=3,N(IFERROR(INDEX('Evidence Pulls'!$J$6:$J$125,MATCH($J55,'Evidence Pulls'!$A$6:$A$125,0)),""))=0),"Operating claimed with no sample",IF(AND(N(O55)&gt;=3,P55=1),"Operating rests on one individual",IF(AND(G55="MANDATORY",N(O55)&lt;3),"SAFETY GATE: below Operating","OK"))))))))</f>
        <v>No evidence pull assigned</v>
      </c>
    </row>
    <row r="56" customFormat="false" ht="22.35" hidden="false" customHeight="false" outlineLevel="0" collapsed="false">
      <c r="A56" s="13" t="s">
        <v>205</v>
      </c>
      <c r="B56" s="13" t="s">
        <v>153</v>
      </c>
      <c r="C56" s="13" t="s">
        <v>206</v>
      </c>
      <c r="D56" s="13" t="s">
        <v>207</v>
      </c>
      <c r="E56" s="13" t="s">
        <v>102</v>
      </c>
      <c r="F56" s="14"/>
      <c r="G56" s="13"/>
      <c r="H56" s="13" t="s">
        <v>103</v>
      </c>
      <c r="I56" s="13" t="s">
        <v>156</v>
      </c>
      <c r="J56" s="15"/>
      <c r="K56" s="15"/>
      <c r="L56" s="15"/>
      <c r="M56" s="15"/>
      <c r="N56" s="15"/>
      <c r="O56" s="16" t="str">
        <f aca="false">IFERROR(INDEX(Lists!$B$3:$B$7,MATCH(K56,Lists!$A$3:$A$7,0)),"")</f>
        <v/>
      </c>
      <c r="P56" s="16" t="str">
        <f aca="false">IFERROR(INDEX('Evidence Pulls'!$N$6:$N$125,MATCH($J56,'Evidence Pulls'!$A$6:$A$125,0)),"")</f>
        <v/>
      </c>
      <c r="Q56" s="16" t="str">
        <f aca="false">IFERROR(INDEX('Evidence Pulls'!$G$6:$G$125,MATCH($J56,'Evidence Pulls'!$A$6:$A$125,0)),"")</f>
        <v/>
      </c>
      <c r="R56" s="16" t="str">
        <f aca="false">IFERROR(INDEX('Evidence Pulls'!$O$6:$O$125,MATCH($J56,'Evidence Pulls'!$A$6:$A$125,0)),"")</f>
        <v/>
      </c>
      <c r="S56" s="16" t="str">
        <f aca="false">IF(L56&lt;&gt;"",L56,IF(K56="","Not assessed",IF(N(O56)&gt;=3,"Demonstrated","Gap - remediate")))</f>
        <v>Not assessed</v>
      </c>
      <c r="T56" s="16" t="str">
        <f aca="false">IF(J56="","No evidence pull assigned",IF(COUNTIF('Evidence Pulls'!$A$6:$A$125,J56)=0,"Pull ID not on Evidence Pulls sheet",IF(K56="","Not graded",IF(AND(G56="MANDATORY",L56="Gap - recommend tailoring"),"INVALID: safety-mandatory, not tailorable",IF(OR(P56="",P56=0),"NO NAMED EXECUTOR",IF(AND(H56="Full",N(O56)&gt;=3,N(IFERROR(INDEX('Evidence Pulls'!$J$6:$J$125,MATCH($J56,'Evidence Pulls'!$A$6:$A$125,0)),""))=0),"Operating claimed with no sample",IF(AND(N(O56)&gt;=3,P56=1),"Operating rests on one individual",IF(AND(G56="MANDATORY",N(O56)&lt;3),"SAFETY GATE: below Operating","OK"))))))))</f>
        <v>No evidence pull assigned</v>
      </c>
    </row>
    <row r="57" customFormat="false" ht="22.35" hidden="false" customHeight="false" outlineLevel="0" collapsed="false">
      <c r="A57" s="13" t="s">
        <v>208</v>
      </c>
      <c r="B57" s="13" t="s">
        <v>153</v>
      </c>
      <c r="C57" s="13" t="s">
        <v>206</v>
      </c>
      <c r="D57" s="13" t="s">
        <v>207</v>
      </c>
      <c r="E57" s="13" t="s">
        <v>106</v>
      </c>
      <c r="F57" s="14"/>
      <c r="G57" s="13"/>
      <c r="H57" s="13" t="s">
        <v>103</v>
      </c>
      <c r="I57" s="13" t="s">
        <v>156</v>
      </c>
      <c r="J57" s="15"/>
      <c r="K57" s="15"/>
      <c r="L57" s="15"/>
      <c r="M57" s="15"/>
      <c r="N57" s="15"/>
      <c r="O57" s="16" t="str">
        <f aca="false">IFERROR(INDEX(Lists!$B$3:$B$7,MATCH(K57,Lists!$A$3:$A$7,0)),"")</f>
        <v/>
      </c>
      <c r="P57" s="16" t="str">
        <f aca="false">IFERROR(INDEX('Evidence Pulls'!$N$6:$N$125,MATCH($J57,'Evidence Pulls'!$A$6:$A$125,0)),"")</f>
        <v/>
      </c>
      <c r="Q57" s="16" t="str">
        <f aca="false">IFERROR(INDEX('Evidence Pulls'!$G$6:$G$125,MATCH($J57,'Evidence Pulls'!$A$6:$A$125,0)),"")</f>
        <v/>
      </c>
      <c r="R57" s="16" t="str">
        <f aca="false">IFERROR(INDEX('Evidence Pulls'!$O$6:$O$125,MATCH($J57,'Evidence Pulls'!$A$6:$A$125,0)),"")</f>
        <v/>
      </c>
      <c r="S57" s="16" t="str">
        <f aca="false">IF(L57&lt;&gt;"",L57,IF(K57="","Not assessed",IF(N(O57)&gt;=3,"Demonstrated","Gap - remediate")))</f>
        <v>Not assessed</v>
      </c>
      <c r="T57" s="16" t="str">
        <f aca="false">IF(J57="","No evidence pull assigned",IF(COUNTIF('Evidence Pulls'!$A$6:$A$125,J57)=0,"Pull ID not on Evidence Pulls sheet",IF(K57="","Not graded",IF(AND(G57="MANDATORY",L57="Gap - recommend tailoring"),"INVALID: safety-mandatory, not tailorable",IF(OR(P57="",P57=0),"NO NAMED EXECUTOR",IF(AND(H57="Full",N(O57)&gt;=3,N(IFERROR(INDEX('Evidence Pulls'!$J$6:$J$125,MATCH($J57,'Evidence Pulls'!$A$6:$A$125,0)),""))=0),"Operating claimed with no sample",IF(AND(N(O57)&gt;=3,P57=1),"Operating rests on one individual",IF(AND(G57="MANDATORY",N(O57)&lt;3),"SAFETY GATE: below Operating","OK"))))))))</f>
        <v>No evidence pull assigned</v>
      </c>
    </row>
    <row r="58" customFormat="false" ht="22.35" hidden="false" customHeight="false" outlineLevel="0" collapsed="false">
      <c r="A58" s="13" t="s">
        <v>209</v>
      </c>
      <c r="B58" s="13" t="s">
        <v>153</v>
      </c>
      <c r="C58" s="13" t="s">
        <v>210</v>
      </c>
      <c r="D58" s="13" t="s">
        <v>211</v>
      </c>
      <c r="E58" s="13" t="s">
        <v>117</v>
      </c>
      <c r="F58" s="14"/>
      <c r="G58" s="13"/>
      <c r="H58" s="13" t="s">
        <v>103</v>
      </c>
      <c r="I58" s="13" t="s">
        <v>156</v>
      </c>
      <c r="J58" s="15"/>
      <c r="K58" s="15"/>
      <c r="L58" s="15"/>
      <c r="M58" s="15"/>
      <c r="N58" s="15"/>
      <c r="O58" s="16" t="str">
        <f aca="false">IFERROR(INDEX(Lists!$B$3:$B$7,MATCH(K58,Lists!$A$3:$A$7,0)),"")</f>
        <v/>
      </c>
      <c r="P58" s="16" t="str">
        <f aca="false">IFERROR(INDEX('Evidence Pulls'!$N$6:$N$125,MATCH($J58,'Evidence Pulls'!$A$6:$A$125,0)),"")</f>
        <v/>
      </c>
      <c r="Q58" s="16" t="str">
        <f aca="false">IFERROR(INDEX('Evidence Pulls'!$G$6:$G$125,MATCH($J58,'Evidence Pulls'!$A$6:$A$125,0)),"")</f>
        <v/>
      </c>
      <c r="R58" s="16" t="str">
        <f aca="false">IFERROR(INDEX('Evidence Pulls'!$O$6:$O$125,MATCH($J58,'Evidence Pulls'!$A$6:$A$125,0)),"")</f>
        <v/>
      </c>
      <c r="S58" s="16" t="str">
        <f aca="false">IF(L58&lt;&gt;"",L58,IF(K58="","Not assessed",IF(N(O58)&gt;=3,"Demonstrated","Gap - remediate")))</f>
        <v>Not assessed</v>
      </c>
      <c r="T58" s="16" t="str">
        <f aca="false">IF(J58="","No evidence pull assigned",IF(COUNTIF('Evidence Pulls'!$A$6:$A$125,J58)=0,"Pull ID not on Evidence Pulls sheet",IF(K58="","Not graded",IF(AND(G58="MANDATORY",L58="Gap - recommend tailoring"),"INVALID: safety-mandatory, not tailorable",IF(OR(P58="",P58=0),"NO NAMED EXECUTOR",IF(AND(H58="Full",N(O58)&gt;=3,N(IFERROR(INDEX('Evidence Pulls'!$J$6:$J$125,MATCH($J58,'Evidence Pulls'!$A$6:$A$125,0)),""))=0),"Operating claimed with no sample",IF(AND(N(O58)&gt;=3,P58=1),"Operating rests on one individual",IF(AND(G58="MANDATORY",N(O58)&lt;3),"SAFETY GATE: below Operating","OK"))))))))</f>
        <v>No evidence pull assigned</v>
      </c>
    </row>
    <row r="59" customFormat="false" ht="22.35" hidden="false" customHeight="false" outlineLevel="0" collapsed="false">
      <c r="A59" s="13" t="s">
        <v>212</v>
      </c>
      <c r="B59" s="13" t="s">
        <v>153</v>
      </c>
      <c r="C59" s="13" t="s">
        <v>210</v>
      </c>
      <c r="D59" s="13" t="s">
        <v>211</v>
      </c>
      <c r="E59" s="13" t="s">
        <v>119</v>
      </c>
      <c r="F59" s="14"/>
      <c r="G59" s="13"/>
      <c r="H59" s="13" t="s">
        <v>103</v>
      </c>
      <c r="I59" s="13" t="s">
        <v>156</v>
      </c>
      <c r="J59" s="15"/>
      <c r="K59" s="15"/>
      <c r="L59" s="15"/>
      <c r="M59" s="15"/>
      <c r="N59" s="15"/>
      <c r="O59" s="16" t="str">
        <f aca="false">IFERROR(INDEX(Lists!$B$3:$B$7,MATCH(K59,Lists!$A$3:$A$7,0)),"")</f>
        <v/>
      </c>
      <c r="P59" s="16" t="str">
        <f aca="false">IFERROR(INDEX('Evidence Pulls'!$N$6:$N$125,MATCH($J59,'Evidence Pulls'!$A$6:$A$125,0)),"")</f>
        <v/>
      </c>
      <c r="Q59" s="16" t="str">
        <f aca="false">IFERROR(INDEX('Evidence Pulls'!$G$6:$G$125,MATCH($J59,'Evidence Pulls'!$A$6:$A$125,0)),"")</f>
        <v/>
      </c>
      <c r="R59" s="16" t="str">
        <f aca="false">IFERROR(INDEX('Evidence Pulls'!$O$6:$O$125,MATCH($J59,'Evidence Pulls'!$A$6:$A$125,0)),"")</f>
        <v/>
      </c>
      <c r="S59" s="16" t="str">
        <f aca="false">IF(L59&lt;&gt;"",L59,IF(K59="","Not assessed",IF(N(O59)&gt;=3,"Demonstrated","Gap - remediate")))</f>
        <v>Not assessed</v>
      </c>
      <c r="T59" s="16" t="str">
        <f aca="false">IF(J59="","No evidence pull assigned",IF(COUNTIF('Evidence Pulls'!$A$6:$A$125,J59)=0,"Pull ID not on Evidence Pulls sheet",IF(K59="","Not graded",IF(AND(G59="MANDATORY",L59="Gap - recommend tailoring"),"INVALID: safety-mandatory, not tailorable",IF(OR(P59="",P59=0),"NO NAMED EXECUTOR",IF(AND(H59="Full",N(O59)&gt;=3,N(IFERROR(INDEX('Evidence Pulls'!$J$6:$J$125,MATCH($J59,'Evidence Pulls'!$A$6:$A$125,0)),""))=0),"Operating claimed with no sample",IF(AND(N(O59)&gt;=3,P59=1),"Operating rests on one individual",IF(AND(G59="MANDATORY",N(O59)&lt;3),"SAFETY GATE: below Operating","OK"))))))))</f>
        <v>No evidence pull assigned</v>
      </c>
    </row>
    <row r="60" customFormat="false" ht="22.35" hidden="false" customHeight="false" outlineLevel="0" collapsed="false">
      <c r="A60" s="13" t="s">
        <v>213</v>
      </c>
      <c r="B60" s="13" t="s">
        <v>153</v>
      </c>
      <c r="C60" s="13" t="s">
        <v>210</v>
      </c>
      <c r="D60" s="13" t="s">
        <v>211</v>
      </c>
      <c r="E60" s="13" t="s">
        <v>121</v>
      </c>
      <c r="F60" s="14"/>
      <c r="G60" s="13"/>
      <c r="H60" s="13" t="s">
        <v>103</v>
      </c>
      <c r="I60" s="13" t="s">
        <v>156</v>
      </c>
      <c r="J60" s="15"/>
      <c r="K60" s="15"/>
      <c r="L60" s="15"/>
      <c r="M60" s="15"/>
      <c r="N60" s="15"/>
      <c r="O60" s="16" t="str">
        <f aca="false">IFERROR(INDEX(Lists!$B$3:$B$7,MATCH(K60,Lists!$A$3:$A$7,0)),"")</f>
        <v/>
      </c>
      <c r="P60" s="16" t="str">
        <f aca="false">IFERROR(INDEX('Evidence Pulls'!$N$6:$N$125,MATCH($J60,'Evidence Pulls'!$A$6:$A$125,0)),"")</f>
        <v/>
      </c>
      <c r="Q60" s="16" t="str">
        <f aca="false">IFERROR(INDEX('Evidence Pulls'!$G$6:$G$125,MATCH($J60,'Evidence Pulls'!$A$6:$A$125,0)),"")</f>
        <v/>
      </c>
      <c r="R60" s="16" t="str">
        <f aca="false">IFERROR(INDEX('Evidence Pulls'!$O$6:$O$125,MATCH($J60,'Evidence Pulls'!$A$6:$A$125,0)),"")</f>
        <v/>
      </c>
      <c r="S60" s="16" t="str">
        <f aca="false">IF(L60&lt;&gt;"",L60,IF(K60="","Not assessed",IF(N(O60)&gt;=3,"Demonstrated","Gap - remediate")))</f>
        <v>Not assessed</v>
      </c>
      <c r="T60" s="16" t="str">
        <f aca="false">IF(J60="","No evidence pull assigned",IF(COUNTIF('Evidence Pulls'!$A$6:$A$125,J60)=0,"Pull ID not on Evidence Pulls sheet",IF(K60="","Not graded",IF(AND(G60="MANDATORY",L60="Gap - recommend tailoring"),"INVALID: safety-mandatory, not tailorable",IF(OR(P60="",P60=0),"NO NAMED EXECUTOR",IF(AND(H60="Full",N(O60)&gt;=3,N(IFERROR(INDEX('Evidence Pulls'!$J$6:$J$125,MATCH($J60,'Evidence Pulls'!$A$6:$A$125,0)),""))=0),"Operating claimed with no sample",IF(AND(N(O60)&gt;=3,P60=1),"Operating rests on one individual",IF(AND(G60="MANDATORY",N(O60)&lt;3),"SAFETY GATE: below Operating","OK"))))))))</f>
        <v>No evidence pull assigned</v>
      </c>
    </row>
    <row r="61" customFormat="false" ht="22.35" hidden="false" customHeight="false" outlineLevel="0" collapsed="false">
      <c r="A61" s="13" t="s">
        <v>214</v>
      </c>
      <c r="B61" s="13" t="s">
        <v>153</v>
      </c>
      <c r="C61" s="13" t="s">
        <v>215</v>
      </c>
      <c r="D61" s="13" t="s">
        <v>216</v>
      </c>
      <c r="E61" s="13" t="s">
        <v>117</v>
      </c>
      <c r="F61" s="14"/>
      <c r="G61" s="13"/>
      <c r="H61" s="13" t="s">
        <v>103</v>
      </c>
      <c r="I61" s="13" t="s">
        <v>156</v>
      </c>
      <c r="J61" s="15"/>
      <c r="K61" s="15"/>
      <c r="L61" s="15"/>
      <c r="M61" s="15"/>
      <c r="N61" s="15"/>
      <c r="O61" s="16" t="str">
        <f aca="false">IFERROR(INDEX(Lists!$B$3:$B$7,MATCH(K61,Lists!$A$3:$A$7,0)),"")</f>
        <v/>
      </c>
      <c r="P61" s="16" t="str">
        <f aca="false">IFERROR(INDEX('Evidence Pulls'!$N$6:$N$125,MATCH($J61,'Evidence Pulls'!$A$6:$A$125,0)),"")</f>
        <v/>
      </c>
      <c r="Q61" s="16" t="str">
        <f aca="false">IFERROR(INDEX('Evidence Pulls'!$G$6:$G$125,MATCH($J61,'Evidence Pulls'!$A$6:$A$125,0)),"")</f>
        <v/>
      </c>
      <c r="R61" s="16" t="str">
        <f aca="false">IFERROR(INDEX('Evidence Pulls'!$O$6:$O$125,MATCH($J61,'Evidence Pulls'!$A$6:$A$125,0)),"")</f>
        <v/>
      </c>
      <c r="S61" s="16" t="str">
        <f aca="false">IF(L61&lt;&gt;"",L61,IF(K61="","Not assessed",IF(N(O61)&gt;=3,"Demonstrated","Gap - remediate")))</f>
        <v>Not assessed</v>
      </c>
      <c r="T61" s="16" t="str">
        <f aca="false">IF(J61="","No evidence pull assigned",IF(COUNTIF('Evidence Pulls'!$A$6:$A$125,J61)=0,"Pull ID not on Evidence Pulls sheet",IF(K61="","Not graded",IF(AND(G61="MANDATORY",L61="Gap - recommend tailoring"),"INVALID: safety-mandatory, not tailorable",IF(OR(P61="",P61=0),"NO NAMED EXECUTOR",IF(AND(H61="Full",N(O61)&gt;=3,N(IFERROR(INDEX('Evidence Pulls'!$J$6:$J$125,MATCH($J61,'Evidence Pulls'!$A$6:$A$125,0)),""))=0),"Operating claimed with no sample",IF(AND(N(O61)&gt;=3,P61=1),"Operating rests on one individual",IF(AND(G61="MANDATORY",N(O61)&lt;3),"SAFETY GATE: below Operating","OK"))))))))</f>
        <v>No evidence pull assigned</v>
      </c>
    </row>
    <row r="62" customFormat="false" ht="22.35" hidden="false" customHeight="false" outlineLevel="0" collapsed="false">
      <c r="A62" s="13" t="s">
        <v>217</v>
      </c>
      <c r="B62" s="13" t="s">
        <v>153</v>
      </c>
      <c r="C62" s="13" t="s">
        <v>215</v>
      </c>
      <c r="D62" s="13" t="s">
        <v>216</v>
      </c>
      <c r="E62" s="13" t="s">
        <v>119</v>
      </c>
      <c r="F62" s="14"/>
      <c r="G62" s="13"/>
      <c r="H62" s="13" t="s">
        <v>103</v>
      </c>
      <c r="I62" s="13" t="s">
        <v>156</v>
      </c>
      <c r="J62" s="15"/>
      <c r="K62" s="15"/>
      <c r="L62" s="15"/>
      <c r="M62" s="15"/>
      <c r="N62" s="15"/>
      <c r="O62" s="16" t="str">
        <f aca="false">IFERROR(INDEX(Lists!$B$3:$B$7,MATCH(K62,Lists!$A$3:$A$7,0)),"")</f>
        <v/>
      </c>
      <c r="P62" s="16" t="str">
        <f aca="false">IFERROR(INDEX('Evidence Pulls'!$N$6:$N$125,MATCH($J62,'Evidence Pulls'!$A$6:$A$125,0)),"")</f>
        <v/>
      </c>
      <c r="Q62" s="16" t="str">
        <f aca="false">IFERROR(INDEX('Evidence Pulls'!$G$6:$G$125,MATCH($J62,'Evidence Pulls'!$A$6:$A$125,0)),"")</f>
        <v/>
      </c>
      <c r="R62" s="16" t="str">
        <f aca="false">IFERROR(INDEX('Evidence Pulls'!$O$6:$O$125,MATCH($J62,'Evidence Pulls'!$A$6:$A$125,0)),"")</f>
        <v/>
      </c>
      <c r="S62" s="16" t="str">
        <f aca="false">IF(L62&lt;&gt;"",L62,IF(K62="","Not assessed",IF(N(O62)&gt;=3,"Demonstrated","Gap - remediate")))</f>
        <v>Not assessed</v>
      </c>
      <c r="T62" s="16" t="str">
        <f aca="false">IF(J62="","No evidence pull assigned",IF(COUNTIF('Evidence Pulls'!$A$6:$A$125,J62)=0,"Pull ID not on Evidence Pulls sheet",IF(K62="","Not graded",IF(AND(G62="MANDATORY",L62="Gap - recommend tailoring"),"INVALID: safety-mandatory, not tailorable",IF(OR(P62="",P62=0),"NO NAMED EXECUTOR",IF(AND(H62="Full",N(O62)&gt;=3,N(IFERROR(INDEX('Evidence Pulls'!$J$6:$J$125,MATCH($J62,'Evidence Pulls'!$A$6:$A$125,0)),""))=0),"Operating claimed with no sample",IF(AND(N(O62)&gt;=3,P62=1),"Operating rests on one individual",IF(AND(G62="MANDATORY",N(O62)&lt;3),"SAFETY GATE: below Operating","OK"))))))))</f>
        <v>No evidence pull assigned</v>
      </c>
    </row>
    <row r="63" customFormat="false" ht="22.35" hidden="false" customHeight="false" outlineLevel="0" collapsed="false">
      <c r="A63" s="13" t="s">
        <v>218</v>
      </c>
      <c r="B63" s="13" t="s">
        <v>153</v>
      </c>
      <c r="C63" s="13" t="s">
        <v>215</v>
      </c>
      <c r="D63" s="13" t="s">
        <v>216</v>
      </c>
      <c r="E63" s="13" t="s">
        <v>121</v>
      </c>
      <c r="F63" s="14"/>
      <c r="G63" s="13"/>
      <c r="H63" s="13" t="s">
        <v>103</v>
      </c>
      <c r="I63" s="13" t="s">
        <v>156</v>
      </c>
      <c r="J63" s="15"/>
      <c r="K63" s="15"/>
      <c r="L63" s="15"/>
      <c r="M63" s="15"/>
      <c r="N63" s="15"/>
      <c r="O63" s="16" t="str">
        <f aca="false">IFERROR(INDEX(Lists!$B$3:$B$7,MATCH(K63,Lists!$A$3:$A$7,0)),"")</f>
        <v/>
      </c>
      <c r="P63" s="16" t="str">
        <f aca="false">IFERROR(INDEX('Evidence Pulls'!$N$6:$N$125,MATCH($J63,'Evidence Pulls'!$A$6:$A$125,0)),"")</f>
        <v/>
      </c>
      <c r="Q63" s="16" t="str">
        <f aca="false">IFERROR(INDEX('Evidence Pulls'!$G$6:$G$125,MATCH($J63,'Evidence Pulls'!$A$6:$A$125,0)),"")</f>
        <v/>
      </c>
      <c r="R63" s="16" t="str">
        <f aca="false">IFERROR(INDEX('Evidence Pulls'!$O$6:$O$125,MATCH($J63,'Evidence Pulls'!$A$6:$A$125,0)),"")</f>
        <v/>
      </c>
      <c r="S63" s="16" t="str">
        <f aca="false">IF(L63&lt;&gt;"",L63,IF(K63="","Not assessed",IF(N(O63)&gt;=3,"Demonstrated","Gap - remediate")))</f>
        <v>Not assessed</v>
      </c>
      <c r="T63" s="16" t="str">
        <f aca="false">IF(J63="","No evidence pull assigned",IF(COUNTIF('Evidence Pulls'!$A$6:$A$125,J63)=0,"Pull ID not on Evidence Pulls sheet",IF(K63="","Not graded",IF(AND(G63="MANDATORY",L63="Gap - recommend tailoring"),"INVALID: safety-mandatory, not tailorable",IF(OR(P63="",P63=0),"NO NAMED EXECUTOR",IF(AND(H63="Full",N(O63)&gt;=3,N(IFERROR(INDEX('Evidence Pulls'!$J$6:$J$125,MATCH($J63,'Evidence Pulls'!$A$6:$A$125,0)),""))=0),"Operating claimed with no sample",IF(AND(N(O63)&gt;=3,P63=1),"Operating rests on one individual",IF(AND(G63="MANDATORY",N(O63)&lt;3),"SAFETY GATE: below Operating","OK"))))))))</f>
        <v>No evidence pull assigned</v>
      </c>
    </row>
    <row r="64" customFormat="false" ht="15" hidden="false" customHeight="false" outlineLevel="0" collapsed="false">
      <c r="A64" s="13" t="s">
        <v>219</v>
      </c>
      <c r="B64" s="13" t="s">
        <v>153</v>
      </c>
      <c r="C64" s="13" t="s">
        <v>220</v>
      </c>
      <c r="D64" s="13" t="s">
        <v>221</v>
      </c>
      <c r="E64" s="13" t="s">
        <v>117</v>
      </c>
      <c r="F64" s="14"/>
      <c r="G64" s="13"/>
      <c r="H64" s="13" t="s">
        <v>103</v>
      </c>
      <c r="I64" s="13" t="s">
        <v>156</v>
      </c>
      <c r="J64" s="15"/>
      <c r="K64" s="15"/>
      <c r="L64" s="15"/>
      <c r="M64" s="15"/>
      <c r="N64" s="15"/>
      <c r="O64" s="16" t="str">
        <f aca="false">IFERROR(INDEX(Lists!$B$3:$B$7,MATCH(K64,Lists!$A$3:$A$7,0)),"")</f>
        <v/>
      </c>
      <c r="P64" s="16" t="str">
        <f aca="false">IFERROR(INDEX('Evidence Pulls'!$N$6:$N$125,MATCH($J64,'Evidence Pulls'!$A$6:$A$125,0)),"")</f>
        <v/>
      </c>
      <c r="Q64" s="16" t="str">
        <f aca="false">IFERROR(INDEX('Evidence Pulls'!$G$6:$G$125,MATCH($J64,'Evidence Pulls'!$A$6:$A$125,0)),"")</f>
        <v/>
      </c>
      <c r="R64" s="16" t="str">
        <f aca="false">IFERROR(INDEX('Evidence Pulls'!$O$6:$O$125,MATCH($J64,'Evidence Pulls'!$A$6:$A$125,0)),"")</f>
        <v/>
      </c>
      <c r="S64" s="16" t="str">
        <f aca="false">IF(L64&lt;&gt;"",L64,IF(K64="","Not assessed",IF(N(O64)&gt;=3,"Demonstrated","Gap - remediate")))</f>
        <v>Not assessed</v>
      </c>
      <c r="T64" s="16" t="str">
        <f aca="false">IF(J64="","No evidence pull assigned",IF(COUNTIF('Evidence Pulls'!$A$6:$A$125,J64)=0,"Pull ID not on Evidence Pulls sheet",IF(K64="","Not graded",IF(AND(G64="MANDATORY",L64="Gap - recommend tailoring"),"INVALID: safety-mandatory, not tailorable",IF(OR(P64="",P64=0),"NO NAMED EXECUTOR",IF(AND(H64="Full",N(O64)&gt;=3,N(IFERROR(INDEX('Evidence Pulls'!$J$6:$J$125,MATCH($J64,'Evidence Pulls'!$A$6:$A$125,0)),""))=0),"Operating claimed with no sample",IF(AND(N(O64)&gt;=3,P64=1),"Operating rests on one individual",IF(AND(G64="MANDATORY",N(O64)&lt;3),"SAFETY GATE: below Operating","OK"))))))))</f>
        <v>No evidence pull assigned</v>
      </c>
    </row>
    <row r="65" customFormat="false" ht="15" hidden="false" customHeight="false" outlineLevel="0" collapsed="false">
      <c r="A65" s="13" t="s">
        <v>222</v>
      </c>
      <c r="B65" s="13" t="s">
        <v>153</v>
      </c>
      <c r="C65" s="13" t="s">
        <v>220</v>
      </c>
      <c r="D65" s="13" t="s">
        <v>221</v>
      </c>
      <c r="E65" s="13" t="s">
        <v>119</v>
      </c>
      <c r="F65" s="14"/>
      <c r="G65" s="13"/>
      <c r="H65" s="13" t="s">
        <v>103</v>
      </c>
      <c r="I65" s="13" t="s">
        <v>156</v>
      </c>
      <c r="J65" s="15"/>
      <c r="K65" s="15"/>
      <c r="L65" s="15"/>
      <c r="M65" s="15"/>
      <c r="N65" s="15"/>
      <c r="O65" s="16" t="str">
        <f aca="false">IFERROR(INDEX(Lists!$B$3:$B$7,MATCH(K65,Lists!$A$3:$A$7,0)),"")</f>
        <v/>
      </c>
      <c r="P65" s="16" t="str">
        <f aca="false">IFERROR(INDEX('Evidence Pulls'!$N$6:$N$125,MATCH($J65,'Evidence Pulls'!$A$6:$A$125,0)),"")</f>
        <v/>
      </c>
      <c r="Q65" s="16" t="str">
        <f aca="false">IFERROR(INDEX('Evidence Pulls'!$G$6:$G$125,MATCH($J65,'Evidence Pulls'!$A$6:$A$125,0)),"")</f>
        <v/>
      </c>
      <c r="R65" s="16" t="str">
        <f aca="false">IFERROR(INDEX('Evidence Pulls'!$O$6:$O$125,MATCH($J65,'Evidence Pulls'!$A$6:$A$125,0)),"")</f>
        <v/>
      </c>
      <c r="S65" s="16" t="str">
        <f aca="false">IF(L65&lt;&gt;"",L65,IF(K65="","Not assessed",IF(N(O65)&gt;=3,"Demonstrated","Gap - remediate")))</f>
        <v>Not assessed</v>
      </c>
      <c r="T65" s="16" t="str">
        <f aca="false">IF(J65="","No evidence pull assigned",IF(COUNTIF('Evidence Pulls'!$A$6:$A$125,J65)=0,"Pull ID not on Evidence Pulls sheet",IF(K65="","Not graded",IF(AND(G65="MANDATORY",L65="Gap - recommend tailoring"),"INVALID: safety-mandatory, not tailorable",IF(OR(P65="",P65=0),"NO NAMED EXECUTOR",IF(AND(H65="Full",N(O65)&gt;=3,N(IFERROR(INDEX('Evidence Pulls'!$J$6:$J$125,MATCH($J65,'Evidence Pulls'!$A$6:$A$125,0)),""))=0),"Operating claimed with no sample",IF(AND(N(O65)&gt;=3,P65=1),"Operating rests on one individual",IF(AND(G65="MANDATORY",N(O65)&lt;3),"SAFETY GATE: below Operating","OK"))))))))</f>
        <v>No evidence pull assigned</v>
      </c>
    </row>
    <row r="66" customFormat="false" ht="15" hidden="false" customHeight="false" outlineLevel="0" collapsed="false">
      <c r="A66" s="13" t="s">
        <v>223</v>
      </c>
      <c r="B66" s="13" t="s">
        <v>153</v>
      </c>
      <c r="C66" s="13" t="s">
        <v>220</v>
      </c>
      <c r="D66" s="13" t="s">
        <v>221</v>
      </c>
      <c r="E66" s="13" t="s">
        <v>121</v>
      </c>
      <c r="F66" s="14"/>
      <c r="G66" s="13"/>
      <c r="H66" s="13" t="s">
        <v>103</v>
      </c>
      <c r="I66" s="13" t="s">
        <v>156</v>
      </c>
      <c r="J66" s="15"/>
      <c r="K66" s="15"/>
      <c r="L66" s="15"/>
      <c r="M66" s="15"/>
      <c r="N66" s="15"/>
      <c r="O66" s="16" t="str">
        <f aca="false">IFERROR(INDEX(Lists!$B$3:$B$7,MATCH(K66,Lists!$A$3:$A$7,0)),"")</f>
        <v/>
      </c>
      <c r="P66" s="16" t="str">
        <f aca="false">IFERROR(INDEX('Evidence Pulls'!$N$6:$N$125,MATCH($J66,'Evidence Pulls'!$A$6:$A$125,0)),"")</f>
        <v/>
      </c>
      <c r="Q66" s="16" t="str">
        <f aca="false">IFERROR(INDEX('Evidence Pulls'!$G$6:$G$125,MATCH($J66,'Evidence Pulls'!$A$6:$A$125,0)),"")</f>
        <v/>
      </c>
      <c r="R66" s="16" t="str">
        <f aca="false">IFERROR(INDEX('Evidence Pulls'!$O$6:$O$125,MATCH($J66,'Evidence Pulls'!$A$6:$A$125,0)),"")</f>
        <v/>
      </c>
      <c r="S66" s="16" t="str">
        <f aca="false">IF(L66&lt;&gt;"",L66,IF(K66="","Not assessed",IF(N(O66)&gt;=3,"Demonstrated","Gap - remediate")))</f>
        <v>Not assessed</v>
      </c>
      <c r="T66" s="16" t="str">
        <f aca="false">IF(J66="","No evidence pull assigned",IF(COUNTIF('Evidence Pulls'!$A$6:$A$125,J66)=0,"Pull ID not on Evidence Pulls sheet",IF(K66="","Not graded",IF(AND(G66="MANDATORY",L66="Gap - recommend tailoring"),"INVALID: safety-mandatory, not tailorable",IF(OR(P66="",P66=0),"NO NAMED EXECUTOR",IF(AND(H66="Full",N(O66)&gt;=3,N(IFERROR(INDEX('Evidence Pulls'!$J$6:$J$125,MATCH($J66,'Evidence Pulls'!$A$6:$A$125,0)),""))=0),"Operating claimed with no sample",IF(AND(N(O66)&gt;=3,P66=1),"Operating rests on one individual",IF(AND(G66="MANDATORY",N(O66)&lt;3),"SAFETY GATE: below Operating","OK"))))))))</f>
        <v>No evidence pull assigned</v>
      </c>
    </row>
    <row r="67" customFormat="false" ht="15" hidden="false" customHeight="false" outlineLevel="0" collapsed="false">
      <c r="A67" s="13" t="s">
        <v>224</v>
      </c>
      <c r="B67" s="13" t="s">
        <v>153</v>
      </c>
      <c r="C67" s="13" t="s">
        <v>220</v>
      </c>
      <c r="D67" s="13" t="s">
        <v>221</v>
      </c>
      <c r="E67" s="13" t="s">
        <v>123</v>
      </c>
      <c r="F67" s="14"/>
      <c r="G67" s="13"/>
      <c r="H67" s="13" t="s">
        <v>103</v>
      </c>
      <c r="I67" s="13" t="s">
        <v>156</v>
      </c>
      <c r="J67" s="15"/>
      <c r="K67" s="15"/>
      <c r="L67" s="15"/>
      <c r="M67" s="15"/>
      <c r="N67" s="15"/>
      <c r="O67" s="16" t="str">
        <f aca="false">IFERROR(INDEX(Lists!$B$3:$B$7,MATCH(K67,Lists!$A$3:$A$7,0)),"")</f>
        <v/>
      </c>
      <c r="P67" s="16" t="str">
        <f aca="false">IFERROR(INDEX('Evidence Pulls'!$N$6:$N$125,MATCH($J67,'Evidence Pulls'!$A$6:$A$125,0)),"")</f>
        <v/>
      </c>
      <c r="Q67" s="16" t="str">
        <f aca="false">IFERROR(INDEX('Evidence Pulls'!$G$6:$G$125,MATCH($J67,'Evidence Pulls'!$A$6:$A$125,0)),"")</f>
        <v/>
      </c>
      <c r="R67" s="16" t="str">
        <f aca="false">IFERROR(INDEX('Evidence Pulls'!$O$6:$O$125,MATCH($J67,'Evidence Pulls'!$A$6:$A$125,0)),"")</f>
        <v/>
      </c>
      <c r="S67" s="16" t="str">
        <f aca="false">IF(L67&lt;&gt;"",L67,IF(K67="","Not assessed",IF(N(O67)&gt;=3,"Demonstrated","Gap - remediate")))</f>
        <v>Not assessed</v>
      </c>
      <c r="T67" s="16" t="str">
        <f aca="false">IF(J67="","No evidence pull assigned",IF(COUNTIF('Evidence Pulls'!$A$6:$A$125,J67)=0,"Pull ID not on Evidence Pulls sheet",IF(K67="","Not graded",IF(AND(G67="MANDATORY",L67="Gap - recommend tailoring"),"INVALID: safety-mandatory, not tailorable",IF(OR(P67="",P67=0),"NO NAMED EXECUTOR",IF(AND(H67="Full",N(O67)&gt;=3,N(IFERROR(INDEX('Evidence Pulls'!$J$6:$J$125,MATCH($J67,'Evidence Pulls'!$A$6:$A$125,0)),""))=0),"Operating claimed with no sample",IF(AND(N(O67)&gt;=3,P67=1),"Operating rests on one individual",IF(AND(G67="MANDATORY",N(O67)&lt;3),"SAFETY GATE: below Operating","OK"))))))))</f>
        <v>No evidence pull assigned</v>
      </c>
    </row>
    <row r="68" customFormat="false" ht="15" hidden="false" customHeight="false" outlineLevel="0" collapsed="false">
      <c r="A68" s="13" t="s">
        <v>225</v>
      </c>
      <c r="B68" s="13" t="s">
        <v>153</v>
      </c>
      <c r="C68" s="13" t="s">
        <v>220</v>
      </c>
      <c r="D68" s="13" t="s">
        <v>221</v>
      </c>
      <c r="E68" s="13" t="s">
        <v>125</v>
      </c>
      <c r="F68" s="14"/>
      <c r="G68" s="13"/>
      <c r="H68" s="13" t="s">
        <v>103</v>
      </c>
      <c r="I68" s="13" t="s">
        <v>156</v>
      </c>
      <c r="J68" s="15"/>
      <c r="K68" s="15"/>
      <c r="L68" s="15"/>
      <c r="M68" s="15"/>
      <c r="N68" s="15"/>
      <c r="O68" s="16" t="str">
        <f aca="false">IFERROR(INDEX(Lists!$B$3:$B$7,MATCH(K68,Lists!$A$3:$A$7,0)),"")</f>
        <v/>
      </c>
      <c r="P68" s="16" t="str">
        <f aca="false">IFERROR(INDEX('Evidence Pulls'!$N$6:$N$125,MATCH($J68,'Evidence Pulls'!$A$6:$A$125,0)),"")</f>
        <v/>
      </c>
      <c r="Q68" s="16" t="str">
        <f aca="false">IFERROR(INDEX('Evidence Pulls'!$G$6:$G$125,MATCH($J68,'Evidence Pulls'!$A$6:$A$125,0)),"")</f>
        <v/>
      </c>
      <c r="R68" s="16" t="str">
        <f aca="false">IFERROR(INDEX('Evidence Pulls'!$O$6:$O$125,MATCH($J68,'Evidence Pulls'!$A$6:$A$125,0)),"")</f>
        <v/>
      </c>
      <c r="S68" s="16" t="str">
        <f aca="false">IF(L68&lt;&gt;"",L68,IF(K68="","Not assessed",IF(N(O68)&gt;=3,"Demonstrated","Gap - remediate")))</f>
        <v>Not assessed</v>
      </c>
      <c r="T68" s="16" t="str">
        <f aca="false">IF(J68="","No evidence pull assigned",IF(COUNTIF('Evidence Pulls'!$A$6:$A$125,J68)=0,"Pull ID not on Evidence Pulls sheet",IF(K68="","Not graded",IF(AND(G68="MANDATORY",L68="Gap - recommend tailoring"),"INVALID: safety-mandatory, not tailorable",IF(OR(P68="",P68=0),"NO NAMED EXECUTOR",IF(AND(H68="Full",N(O68)&gt;=3,N(IFERROR(INDEX('Evidence Pulls'!$J$6:$J$125,MATCH($J68,'Evidence Pulls'!$A$6:$A$125,0)),""))=0),"Operating claimed with no sample",IF(AND(N(O68)&gt;=3,P68=1),"Operating rests on one individual",IF(AND(G68="MANDATORY",N(O68)&lt;3),"SAFETY GATE: below Operating","OK"))))))))</f>
        <v>No evidence pull assigned</v>
      </c>
    </row>
    <row r="69" customFormat="false" ht="15" hidden="false" customHeight="false" outlineLevel="0" collapsed="false">
      <c r="A69" s="13" t="s">
        <v>226</v>
      </c>
      <c r="B69" s="13" t="s">
        <v>153</v>
      </c>
      <c r="C69" s="13" t="s">
        <v>220</v>
      </c>
      <c r="D69" s="13" t="s">
        <v>221</v>
      </c>
      <c r="E69" s="13" t="s">
        <v>127</v>
      </c>
      <c r="F69" s="14"/>
      <c r="G69" s="13"/>
      <c r="H69" s="13" t="s">
        <v>103</v>
      </c>
      <c r="I69" s="13" t="s">
        <v>156</v>
      </c>
      <c r="J69" s="15"/>
      <c r="K69" s="15"/>
      <c r="L69" s="15"/>
      <c r="M69" s="15"/>
      <c r="N69" s="15"/>
      <c r="O69" s="16" t="str">
        <f aca="false">IFERROR(INDEX(Lists!$B$3:$B$7,MATCH(K69,Lists!$A$3:$A$7,0)),"")</f>
        <v/>
      </c>
      <c r="P69" s="16" t="str">
        <f aca="false">IFERROR(INDEX('Evidence Pulls'!$N$6:$N$125,MATCH($J69,'Evidence Pulls'!$A$6:$A$125,0)),"")</f>
        <v/>
      </c>
      <c r="Q69" s="16" t="str">
        <f aca="false">IFERROR(INDEX('Evidence Pulls'!$G$6:$G$125,MATCH($J69,'Evidence Pulls'!$A$6:$A$125,0)),"")</f>
        <v/>
      </c>
      <c r="R69" s="16" t="str">
        <f aca="false">IFERROR(INDEX('Evidence Pulls'!$O$6:$O$125,MATCH($J69,'Evidence Pulls'!$A$6:$A$125,0)),"")</f>
        <v/>
      </c>
      <c r="S69" s="16" t="str">
        <f aca="false">IF(L69&lt;&gt;"",L69,IF(K69="","Not assessed",IF(N(O69)&gt;=3,"Demonstrated","Gap - remediate")))</f>
        <v>Not assessed</v>
      </c>
      <c r="T69" s="16" t="str">
        <f aca="false">IF(J69="","No evidence pull assigned",IF(COUNTIF('Evidence Pulls'!$A$6:$A$125,J69)=0,"Pull ID not on Evidence Pulls sheet",IF(K69="","Not graded",IF(AND(G69="MANDATORY",L69="Gap - recommend tailoring"),"INVALID: safety-mandatory, not tailorable",IF(OR(P69="",P69=0),"NO NAMED EXECUTOR",IF(AND(H69="Full",N(O69)&gt;=3,N(IFERROR(INDEX('Evidence Pulls'!$J$6:$J$125,MATCH($J69,'Evidence Pulls'!$A$6:$A$125,0)),""))=0),"Operating claimed with no sample",IF(AND(N(O69)&gt;=3,P69=1),"Operating rests on one individual",IF(AND(G69="MANDATORY",N(O69)&lt;3),"SAFETY GATE: below Operating","OK"))))))))</f>
        <v>No evidence pull assigned</v>
      </c>
    </row>
    <row r="70" customFormat="false" ht="15" hidden="false" customHeight="false" outlineLevel="0" collapsed="false">
      <c r="A70" s="13" t="s">
        <v>227</v>
      </c>
      <c r="B70" s="13" t="s">
        <v>153</v>
      </c>
      <c r="C70" s="13" t="s">
        <v>220</v>
      </c>
      <c r="D70" s="13" t="s">
        <v>221</v>
      </c>
      <c r="E70" s="13" t="s">
        <v>129</v>
      </c>
      <c r="F70" s="14"/>
      <c r="G70" s="13"/>
      <c r="H70" s="13" t="s">
        <v>103</v>
      </c>
      <c r="I70" s="13" t="s">
        <v>156</v>
      </c>
      <c r="J70" s="15"/>
      <c r="K70" s="15"/>
      <c r="L70" s="15"/>
      <c r="M70" s="15"/>
      <c r="N70" s="15"/>
      <c r="O70" s="16" t="str">
        <f aca="false">IFERROR(INDEX(Lists!$B$3:$B$7,MATCH(K70,Lists!$A$3:$A$7,0)),"")</f>
        <v/>
      </c>
      <c r="P70" s="16" t="str">
        <f aca="false">IFERROR(INDEX('Evidence Pulls'!$N$6:$N$125,MATCH($J70,'Evidence Pulls'!$A$6:$A$125,0)),"")</f>
        <v/>
      </c>
      <c r="Q70" s="16" t="str">
        <f aca="false">IFERROR(INDEX('Evidence Pulls'!$G$6:$G$125,MATCH($J70,'Evidence Pulls'!$A$6:$A$125,0)),"")</f>
        <v/>
      </c>
      <c r="R70" s="16" t="str">
        <f aca="false">IFERROR(INDEX('Evidence Pulls'!$O$6:$O$125,MATCH($J70,'Evidence Pulls'!$A$6:$A$125,0)),"")</f>
        <v/>
      </c>
      <c r="S70" s="16" t="str">
        <f aca="false">IF(L70&lt;&gt;"",L70,IF(K70="","Not assessed",IF(N(O70)&gt;=3,"Demonstrated","Gap - remediate")))</f>
        <v>Not assessed</v>
      </c>
      <c r="T70" s="16" t="str">
        <f aca="false">IF(J70="","No evidence pull assigned",IF(COUNTIF('Evidence Pulls'!$A$6:$A$125,J70)=0,"Pull ID not on Evidence Pulls sheet",IF(K70="","Not graded",IF(AND(G70="MANDATORY",L70="Gap - recommend tailoring"),"INVALID: safety-mandatory, not tailorable",IF(OR(P70="",P70=0),"NO NAMED EXECUTOR",IF(AND(H70="Full",N(O70)&gt;=3,N(IFERROR(INDEX('Evidence Pulls'!$J$6:$J$125,MATCH($J70,'Evidence Pulls'!$A$6:$A$125,0)),""))=0),"Operating claimed with no sample",IF(AND(N(O70)&gt;=3,P70=1),"Operating rests on one individual",IF(AND(G70="MANDATORY",N(O70)&lt;3),"SAFETY GATE: below Operating","OK"))))))))</f>
        <v>No evidence pull assigned</v>
      </c>
    </row>
    <row r="71" customFormat="false" ht="15" hidden="false" customHeight="false" outlineLevel="0" collapsed="false">
      <c r="A71" s="13" t="s">
        <v>228</v>
      </c>
      <c r="B71" s="13" t="s">
        <v>153</v>
      </c>
      <c r="C71" s="13" t="s">
        <v>220</v>
      </c>
      <c r="D71" s="13" t="s">
        <v>221</v>
      </c>
      <c r="E71" s="13" t="s">
        <v>131</v>
      </c>
      <c r="F71" s="14"/>
      <c r="G71" s="13"/>
      <c r="H71" s="13" t="s">
        <v>103</v>
      </c>
      <c r="I71" s="13" t="s">
        <v>156</v>
      </c>
      <c r="J71" s="15"/>
      <c r="K71" s="15"/>
      <c r="L71" s="15"/>
      <c r="M71" s="15"/>
      <c r="N71" s="15"/>
      <c r="O71" s="16" t="str">
        <f aca="false">IFERROR(INDEX(Lists!$B$3:$B$7,MATCH(K71,Lists!$A$3:$A$7,0)),"")</f>
        <v/>
      </c>
      <c r="P71" s="16" t="str">
        <f aca="false">IFERROR(INDEX('Evidence Pulls'!$N$6:$N$125,MATCH($J71,'Evidence Pulls'!$A$6:$A$125,0)),"")</f>
        <v/>
      </c>
      <c r="Q71" s="16" t="str">
        <f aca="false">IFERROR(INDEX('Evidence Pulls'!$G$6:$G$125,MATCH($J71,'Evidence Pulls'!$A$6:$A$125,0)),"")</f>
        <v/>
      </c>
      <c r="R71" s="16" t="str">
        <f aca="false">IFERROR(INDEX('Evidence Pulls'!$O$6:$O$125,MATCH($J71,'Evidence Pulls'!$A$6:$A$125,0)),"")</f>
        <v/>
      </c>
      <c r="S71" s="16" t="str">
        <f aca="false">IF(L71&lt;&gt;"",L71,IF(K71="","Not assessed",IF(N(O71)&gt;=3,"Demonstrated","Gap - remediate")))</f>
        <v>Not assessed</v>
      </c>
      <c r="T71" s="16" t="str">
        <f aca="false">IF(J71="","No evidence pull assigned",IF(COUNTIF('Evidence Pulls'!$A$6:$A$125,J71)=0,"Pull ID not on Evidence Pulls sheet",IF(K71="","Not graded",IF(AND(G71="MANDATORY",L71="Gap - recommend tailoring"),"INVALID: safety-mandatory, not tailorable",IF(OR(P71="",P71=0),"NO NAMED EXECUTOR",IF(AND(H71="Full",N(O71)&gt;=3,N(IFERROR(INDEX('Evidence Pulls'!$J$6:$J$125,MATCH($J71,'Evidence Pulls'!$A$6:$A$125,0)),""))=0),"Operating claimed with no sample",IF(AND(N(O71)&gt;=3,P71=1),"Operating rests on one individual",IF(AND(G71="MANDATORY",N(O71)&lt;3),"SAFETY GATE: below Operating","OK"))))))))</f>
        <v>No evidence pull assigned</v>
      </c>
    </row>
    <row r="72" customFormat="false" ht="15" hidden="false" customHeight="false" outlineLevel="0" collapsed="false">
      <c r="A72" s="13" t="s">
        <v>229</v>
      </c>
      <c r="B72" s="13" t="s">
        <v>153</v>
      </c>
      <c r="C72" s="13" t="s">
        <v>220</v>
      </c>
      <c r="D72" s="13" t="s">
        <v>221</v>
      </c>
      <c r="E72" s="13" t="s">
        <v>133</v>
      </c>
      <c r="F72" s="14"/>
      <c r="G72" s="13"/>
      <c r="H72" s="13" t="s">
        <v>103</v>
      </c>
      <c r="I72" s="13" t="s">
        <v>156</v>
      </c>
      <c r="J72" s="15"/>
      <c r="K72" s="15"/>
      <c r="L72" s="15"/>
      <c r="M72" s="15"/>
      <c r="N72" s="15"/>
      <c r="O72" s="16" t="str">
        <f aca="false">IFERROR(INDEX(Lists!$B$3:$B$7,MATCH(K72,Lists!$A$3:$A$7,0)),"")</f>
        <v/>
      </c>
      <c r="P72" s="16" t="str">
        <f aca="false">IFERROR(INDEX('Evidence Pulls'!$N$6:$N$125,MATCH($J72,'Evidence Pulls'!$A$6:$A$125,0)),"")</f>
        <v/>
      </c>
      <c r="Q72" s="16" t="str">
        <f aca="false">IFERROR(INDEX('Evidence Pulls'!$G$6:$G$125,MATCH($J72,'Evidence Pulls'!$A$6:$A$125,0)),"")</f>
        <v/>
      </c>
      <c r="R72" s="16" t="str">
        <f aca="false">IFERROR(INDEX('Evidence Pulls'!$O$6:$O$125,MATCH($J72,'Evidence Pulls'!$A$6:$A$125,0)),"")</f>
        <v/>
      </c>
      <c r="S72" s="16" t="str">
        <f aca="false">IF(L72&lt;&gt;"",L72,IF(K72="","Not assessed",IF(N(O72)&gt;=3,"Demonstrated","Gap - remediate")))</f>
        <v>Not assessed</v>
      </c>
      <c r="T72" s="16" t="str">
        <f aca="false">IF(J72="","No evidence pull assigned",IF(COUNTIF('Evidence Pulls'!$A$6:$A$125,J72)=0,"Pull ID not on Evidence Pulls sheet",IF(K72="","Not graded",IF(AND(G72="MANDATORY",L72="Gap - recommend tailoring"),"INVALID: safety-mandatory, not tailorable",IF(OR(P72="",P72=0),"NO NAMED EXECUTOR",IF(AND(H72="Full",N(O72)&gt;=3,N(IFERROR(INDEX('Evidence Pulls'!$J$6:$J$125,MATCH($J72,'Evidence Pulls'!$A$6:$A$125,0)),""))=0),"Operating claimed with no sample",IF(AND(N(O72)&gt;=3,P72=1),"Operating rests on one individual",IF(AND(G72="MANDATORY",N(O72)&lt;3),"SAFETY GATE: below Operating","OK"))))))))</f>
        <v>No evidence pull assigned</v>
      </c>
    </row>
    <row r="73" customFormat="false" ht="15" hidden="false" customHeight="false" outlineLevel="0" collapsed="false">
      <c r="A73" s="13" t="s">
        <v>230</v>
      </c>
      <c r="B73" s="13" t="s">
        <v>153</v>
      </c>
      <c r="C73" s="13" t="s">
        <v>220</v>
      </c>
      <c r="D73" s="13" t="s">
        <v>221</v>
      </c>
      <c r="E73" s="13" t="s">
        <v>106</v>
      </c>
      <c r="F73" s="14"/>
      <c r="G73" s="13"/>
      <c r="H73" s="13" t="s">
        <v>103</v>
      </c>
      <c r="I73" s="13" t="s">
        <v>156</v>
      </c>
      <c r="J73" s="15"/>
      <c r="K73" s="15"/>
      <c r="L73" s="15"/>
      <c r="M73" s="15"/>
      <c r="N73" s="15"/>
      <c r="O73" s="16" t="str">
        <f aca="false">IFERROR(INDEX(Lists!$B$3:$B$7,MATCH(K73,Lists!$A$3:$A$7,0)),"")</f>
        <v/>
      </c>
      <c r="P73" s="16" t="str">
        <f aca="false">IFERROR(INDEX('Evidence Pulls'!$N$6:$N$125,MATCH($J73,'Evidence Pulls'!$A$6:$A$125,0)),"")</f>
        <v/>
      </c>
      <c r="Q73" s="16" t="str">
        <f aca="false">IFERROR(INDEX('Evidence Pulls'!$G$6:$G$125,MATCH($J73,'Evidence Pulls'!$A$6:$A$125,0)),"")</f>
        <v/>
      </c>
      <c r="R73" s="16" t="str">
        <f aca="false">IFERROR(INDEX('Evidence Pulls'!$O$6:$O$125,MATCH($J73,'Evidence Pulls'!$A$6:$A$125,0)),"")</f>
        <v/>
      </c>
      <c r="S73" s="16" t="str">
        <f aca="false">IF(L73&lt;&gt;"",L73,IF(K73="","Not assessed",IF(N(O73)&gt;=3,"Demonstrated","Gap - remediate")))</f>
        <v>Not assessed</v>
      </c>
      <c r="T73" s="16" t="str">
        <f aca="false">IF(J73="","No evidence pull assigned",IF(COUNTIF('Evidence Pulls'!$A$6:$A$125,J73)=0,"Pull ID not on Evidence Pulls sheet",IF(K73="","Not graded",IF(AND(G73="MANDATORY",L73="Gap - recommend tailoring"),"INVALID: safety-mandatory, not tailorable",IF(OR(P73="",P73=0),"NO NAMED EXECUTOR",IF(AND(H73="Full",N(O73)&gt;=3,N(IFERROR(INDEX('Evidence Pulls'!$J$6:$J$125,MATCH($J73,'Evidence Pulls'!$A$6:$A$125,0)),""))=0),"Operating claimed with no sample",IF(AND(N(O73)&gt;=3,P73=1),"Operating rests on one individual",IF(AND(G73="MANDATORY",N(O73)&lt;3),"SAFETY GATE: below Operating","OK"))))))))</f>
        <v>No evidence pull assigned</v>
      </c>
    </row>
    <row r="74" customFormat="false" ht="22.35" hidden="false" customHeight="false" outlineLevel="0" collapsed="false">
      <c r="A74" s="17" t="s">
        <v>231</v>
      </c>
      <c r="B74" s="17" t="s">
        <v>153</v>
      </c>
      <c r="C74" s="17" t="s">
        <v>232</v>
      </c>
      <c r="D74" s="17" t="s">
        <v>233</v>
      </c>
      <c r="E74" s="17" t="s">
        <v>102</v>
      </c>
      <c r="F74" s="17"/>
      <c r="G74" s="18" t="s">
        <v>107</v>
      </c>
      <c r="H74" s="18" t="s">
        <v>108</v>
      </c>
      <c r="I74" s="17" t="s">
        <v>156</v>
      </c>
      <c r="J74" s="15"/>
      <c r="K74" s="15"/>
      <c r="L74" s="15"/>
      <c r="M74" s="15"/>
      <c r="N74" s="15"/>
      <c r="O74" s="16" t="str">
        <f aca="false">IFERROR(INDEX(Lists!$B$3:$B$7,MATCH(K74,Lists!$A$3:$A$7,0)),"")</f>
        <v/>
      </c>
      <c r="P74" s="16" t="str">
        <f aca="false">IFERROR(INDEX('Evidence Pulls'!$N$6:$N$125,MATCH($J74,'Evidence Pulls'!$A$6:$A$125,0)),"")</f>
        <v/>
      </c>
      <c r="Q74" s="16" t="str">
        <f aca="false">IFERROR(INDEX('Evidence Pulls'!$G$6:$G$125,MATCH($J74,'Evidence Pulls'!$A$6:$A$125,0)),"")</f>
        <v/>
      </c>
      <c r="R74" s="16" t="str">
        <f aca="false">IFERROR(INDEX('Evidence Pulls'!$O$6:$O$125,MATCH($J74,'Evidence Pulls'!$A$6:$A$125,0)),"")</f>
        <v/>
      </c>
      <c r="S74" s="16" t="str">
        <f aca="false">IF(L74&lt;&gt;"",L74,IF(K74="","Not assessed",IF(N(O74)&gt;=3,"Demonstrated","Gap - remediate")))</f>
        <v>Not assessed</v>
      </c>
      <c r="T74" s="16" t="str">
        <f aca="false">IF(J74="","No evidence pull assigned",IF(COUNTIF('Evidence Pulls'!$A$6:$A$125,J74)=0,"Pull ID not on Evidence Pulls sheet",IF(K74="","Not graded",IF(AND(G74="MANDATORY",L74="Gap - recommend tailoring"),"INVALID: safety-mandatory, not tailorable",IF(OR(P74="",P74=0),"NO NAMED EXECUTOR",IF(AND(H74="Full",N(O74)&gt;=3,N(IFERROR(INDEX('Evidence Pulls'!$J$6:$J$125,MATCH($J74,'Evidence Pulls'!$A$6:$A$125,0)),""))=0),"Operating claimed with no sample",IF(AND(N(O74)&gt;=3,P74=1),"Operating rests on one individual",IF(AND(G74="MANDATORY",N(O74)&lt;3),"SAFETY GATE: below Operating","OK"))))))))</f>
        <v>No evidence pull assigned</v>
      </c>
    </row>
    <row r="75" customFormat="false" ht="15" hidden="false" customHeight="false" outlineLevel="0" collapsed="false">
      <c r="A75" s="13" t="s">
        <v>234</v>
      </c>
      <c r="B75" s="13" t="s">
        <v>153</v>
      </c>
      <c r="C75" s="13" t="s">
        <v>235</v>
      </c>
      <c r="D75" s="13" t="s">
        <v>236</v>
      </c>
      <c r="E75" s="13" t="s">
        <v>102</v>
      </c>
      <c r="F75" s="14"/>
      <c r="G75" s="13"/>
      <c r="H75" s="13" t="s">
        <v>103</v>
      </c>
      <c r="I75" s="13" t="s">
        <v>156</v>
      </c>
      <c r="J75" s="15"/>
      <c r="K75" s="15"/>
      <c r="L75" s="15"/>
      <c r="M75" s="15"/>
      <c r="N75" s="15"/>
      <c r="O75" s="16" t="str">
        <f aca="false">IFERROR(INDEX(Lists!$B$3:$B$7,MATCH(K75,Lists!$A$3:$A$7,0)),"")</f>
        <v/>
      </c>
      <c r="P75" s="16" t="str">
        <f aca="false">IFERROR(INDEX('Evidence Pulls'!$N$6:$N$125,MATCH($J75,'Evidence Pulls'!$A$6:$A$125,0)),"")</f>
        <v/>
      </c>
      <c r="Q75" s="16" t="str">
        <f aca="false">IFERROR(INDEX('Evidence Pulls'!$G$6:$G$125,MATCH($J75,'Evidence Pulls'!$A$6:$A$125,0)),"")</f>
        <v/>
      </c>
      <c r="R75" s="16" t="str">
        <f aca="false">IFERROR(INDEX('Evidence Pulls'!$O$6:$O$125,MATCH($J75,'Evidence Pulls'!$A$6:$A$125,0)),"")</f>
        <v/>
      </c>
      <c r="S75" s="16" t="str">
        <f aca="false">IF(L75&lt;&gt;"",L75,IF(K75="","Not assessed",IF(N(O75)&gt;=3,"Demonstrated","Gap - remediate")))</f>
        <v>Not assessed</v>
      </c>
      <c r="T75" s="16" t="str">
        <f aca="false">IF(J75="","No evidence pull assigned",IF(COUNTIF('Evidence Pulls'!$A$6:$A$125,J75)=0,"Pull ID not on Evidence Pulls sheet",IF(K75="","Not graded",IF(AND(G75="MANDATORY",L75="Gap - recommend tailoring"),"INVALID: safety-mandatory, not tailorable",IF(OR(P75="",P75=0),"NO NAMED EXECUTOR",IF(AND(H75="Full",N(O75)&gt;=3,N(IFERROR(INDEX('Evidence Pulls'!$J$6:$J$125,MATCH($J75,'Evidence Pulls'!$A$6:$A$125,0)),""))=0),"Operating claimed with no sample",IF(AND(N(O75)&gt;=3,P75=1),"Operating rests on one individual",IF(AND(G75="MANDATORY",N(O75)&lt;3),"SAFETY GATE: below Operating","OK"))))))))</f>
        <v>No evidence pull assigned</v>
      </c>
    </row>
    <row r="76" customFormat="false" ht="15" hidden="false" customHeight="false" outlineLevel="0" collapsed="false">
      <c r="A76" s="13" t="s">
        <v>237</v>
      </c>
      <c r="B76" s="13" t="s">
        <v>153</v>
      </c>
      <c r="C76" s="13" t="s">
        <v>235</v>
      </c>
      <c r="D76" s="13" t="s">
        <v>236</v>
      </c>
      <c r="E76" s="13" t="s">
        <v>106</v>
      </c>
      <c r="F76" s="14"/>
      <c r="G76" s="13"/>
      <c r="H76" s="13" t="s">
        <v>103</v>
      </c>
      <c r="I76" s="13" t="s">
        <v>156</v>
      </c>
      <c r="J76" s="15"/>
      <c r="K76" s="15"/>
      <c r="L76" s="15"/>
      <c r="M76" s="15"/>
      <c r="N76" s="15"/>
      <c r="O76" s="16" t="str">
        <f aca="false">IFERROR(INDEX(Lists!$B$3:$B$7,MATCH(K76,Lists!$A$3:$A$7,0)),"")</f>
        <v/>
      </c>
      <c r="P76" s="16" t="str">
        <f aca="false">IFERROR(INDEX('Evidence Pulls'!$N$6:$N$125,MATCH($J76,'Evidence Pulls'!$A$6:$A$125,0)),"")</f>
        <v/>
      </c>
      <c r="Q76" s="16" t="str">
        <f aca="false">IFERROR(INDEX('Evidence Pulls'!$G$6:$G$125,MATCH($J76,'Evidence Pulls'!$A$6:$A$125,0)),"")</f>
        <v/>
      </c>
      <c r="R76" s="16" t="str">
        <f aca="false">IFERROR(INDEX('Evidence Pulls'!$O$6:$O$125,MATCH($J76,'Evidence Pulls'!$A$6:$A$125,0)),"")</f>
        <v/>
      </c>
      <c r="S76" s="16" t="str">
        <f aca="false">IF(L76&lt;&gt;"",L76,IF(K76="","Not assessed",IF(N(O76)&gt;=3,"Demonstrated","Gap - remediate")))</f>
        <v>Not assessed</v>
      </c>
      <c r="T76" s="16" t="str">
        <f aca="false">IF(J76="","No evidence pull assigned",IF(COUNTIF('Evidence Pulls'!$A$6:$A$125,J76)=0,"Pull ID not on Evidence Pulls sheet",IF(K76="","Not graded",IF(AND(G76="MANDATORY",L76="Gap - recommend tailoring"),"INVALID: safety-mandatory, not tailorable",IF(OR(P76="",P76=0),"NO NAMED EXECUTOR",IF(AND(H76="Full",N(O76)&gt;=3,N(IFERROR(INDEX('Evidence Pulls'!$J$6:$J$125,MATCH($J76,'Evidence Pulls'!$A$6:$A$125,0)),""))=0),"Operating claimed with no sample",IF(AND(N(O76)&gt;=3,P76=1),"Operating rests on one individual",IF(AND(G76="MANDATORY",N(O76)&lt;3),"SAFETY GATE: below Operating","OK"))))))))</f>
        <v>No evidence pull assigned</v>
      </c>
    </row>
    <row r="77" customFormat="false" ht="15" hidden="false" customHeight="false" outlineLevel="0" collapsed="false">
      <c r="A77" s="13" t="s">
        <v>238</v>
      </c>
      <c r="B77" s="13" t="s">
        <v>153</v>
      </c>
      <c r="C77" s="13" t="s">
        <v>235</v>
      </c>
      <c r="D77" s="13" t="s">
        <v>236</v>
      </c>
      <c r="E77" s="13" t="s">
        <v>110</v>
      </c>
      <c r="F77" s="14"/>
      <c r="G77" s="13"/>
      <c r="H77" s="13" t="s">
        <v>103</v>
      </c>
      <c r="I77" s="13" t="s">
        <v>156</v>
      </c>
      <c r="J77" s="15"/>
      <c r="K77" s="15"/>
      <c r="L77" s="15"/>
      <c r="M77" s="15"/>
      <c r="N77" s="15"/>
      <c r="O77" s="16" t="str">
        <f aca="false">IFERROR(INDEX(Lists!$B$3:$B$7,MATCH(K77,Lists!$A$3:$A$7,0)),"")</f>
        <v/>
      </c>
      <c r="P77" s="16" t="str">
        <f aca="false">IFERROR(INDEX('Evidence Pulls'!$N$6:$N$125,MATCH($J77,'Evidence Pulls'!$A$6:$A$125,0)),"")</f>
        <v/>
      </c>
      <c r="Q77" s="16" t="str">
        <f aca="false">IFERROR(INDEX('Evidence Pulls'!$G$6:$G$125,MATCH($J77,'Evidence Pulls'!$A$6:$A$125,0)),"")</f>
        <v/>
      </c>
      <c r="R77" s="16" t="str">
        <f aca="false">IFERROR(INDEX('Evidence Pulls'!$O$6:$O$125,MATCH($J77,'Evidence Pulls'!$A$6:$A$125,0)),"")</f>
        <v/>
      </c>
      <c r="S77" s="16" t="str">
        <f aca="false">IF(L77&lt;&gt;"",L77,IF(K77="","Not assessed",IF(N(O77)&gt;=3,"Demonstrated","Gap - remediate")))</f>
        <v>Not assessed</v>
      </c>
      <c r="T77" s="16" t="str">
        <f aca="false">IF(J77="","No evidence pull assigned",IF(COUNTIF('Evidence Pulls'!$A$6:$A$125,J77)=0,"Pull ID not on Evidence Pulls sheet",IF(K77="","Not graded",IF(AND(G77="MANDATORY",L77="Gap - recommend tailoring"),"INVALID: safety-mandatory, not tailorable",IF(OR(P77="",P77=0),"NO NAMED EXECUTOR",IF(AND(H77="Full",N(O77)&gt;=3,N(IFERROR(INDEX('Evidence Pulls'!$J$6:$J$125,MATCH($J77,'Evidence Pulls'!$A$6:$A$125,0)),""))=0),"Operating claimed with no sample",IF(AND(N(O77)&gt;=3,P77=1),"Operating rests on one individual",IF(AND(G77="MANDATORY",N(O77)&lt;3),"SAFETY GATE: below Operating","OK"))))))))</f>
        <v>No evidence pull assigned</v>
      </c>
    </row>
    <row r="78" customFormat="false" ht="15" hidden="false" customHeight="false" outlineLevel="0" collapsed="false">
      <c r="A78" s="13" t="s">
        <v>239</v>
      </c>
      <c r="B78" s="13" t="s">
        <v>153</v>
      </c>
      <c r="C78" s="13" t="s">
        <v>235</v>
      </c>
      <c r="D78" s="13" t="s">
        <v>236</v>
      </c>
      <c r="E78" s="13" t="s">
        <v>112</v>
      </c>
      <c r="F78" s="14"/>
      <c r="G78" s="13"/>
      <c r="H78" s="13" t="s">
        <v>103</v>
      </c>
      <c r="I78" s="13" t="s">
        <v>156</v>
      </c>
      <c r="J78" s="15"/>
      <c r="K78" s="15"/>
      <c r="L78" s="15"/>
      <c r="M78" s="15"/>
      <c r="N78" s="15"/>
      <c r="O78" s="16" t="str">
        <f aca="false">IFERROR(INDEX(Lists!$B$3:$B$7,MATCH(K78,Lists!$A$3:$A$7,0)),"")</f>
        <v/>
      </c>
      <c r="P78" s="16" t="str">
        <f aca="false">IFERROR(INDEX('Evidence Pulls'!$N$6:$N$125,MATCH($J78,'Evidence Pulls'!$A$6:$A$125,0)),"")</f>
        <v/>
      </c>
      <c r="Q78" s="16" t="str">
        <f aca="false">IFERROR(INDEX('Evidence Pulls'!$G$6:$G$125,MATCH($J78,'Evidence Pulls'!$A$6:$A$125,0)),"")</f>
        <v/>
      </c>
      <c r="R78" s="16" t="str">
        <f aca="false">IFERROR(INDEX('Evidence Pulls'!$O$6:$O$125,MATCH($J78,'Evidence Pulls'!$A$6:$A$125,0)),"")</f>
        <v/>
      </c>
      <c r="S78" s="16" t="str">
        <f aca="false">IF(L78&lt;&gt;"",L78,IF(K78="","Not assessed",IF(N(O78)&gt;=3,"Demonstrated","Gap - remediate")))</f>
        <v>Not assessed</v>
      </c>
      <c r="T78" s="16" t="str">
        <f aca="false">IF(J78="","No evidence pull assigned",IF(COUNTIF('Evidence Pulls'!$A$6:$A$125,J78)=0,"Pull ID not on Evidence Pulls sheet",IF(K78="","Not graded",IF(AND(G78="MANDATORY",L78="Gap - recommend tailoring"),"INVALID: safety-mandatory, not tailorable",IF(OR(P78="",P78=0),"NO NAMED EXECUTOR",IF(AND(H78="Full",N(O78)&gt;=3,N(IFERROR(INDEX('Evidence Pulls'!$J$6:$J$125,MATCH($J78,'Evidence Pulls'!$A$6:$A$125,0)),""))=0),"Operating claimed with no sample",IF(AND(N(O78)&gt;=3,P78=1),"Operating rests on one individual",IF(AND(G78="MANDATORY",N(O78)&lt;3),"SAFETY GATE: below Operating","OK"))))))))</f>
        <v>No evidence pull assigned</v>
      </c>
    </row>
    <row r="79" customFormat="false" ht="15" hidden="false" customHeight="false" outlineLevel="0" collapsed="false">
      <c r="A79" s="13" t="s">
        <v>240</v>
      </c>
      <c r="B79" s="13" t="s">
        <v>153</v>
      </c>
      <c r="C79" s="13" t="s">
        <v>241</v>
      </c>
      <c r="D79" s="13" t="s">
        <v>242</v>
      </c>
      <c r="E79" s="13" t="s">
        <v>102</v>
      </c>
      <c r="F79" s="14"/>
      <c r="G79" s="13"/>
      <c r="H79" s="13" t="s">
        <v>103</v>
      </c>
      <c r="I79" s="13" t="s">
        <v>156</v>
      </c>
      <c r="J79" s="15"/>
      <c r="K79" s="15"/>
      <c r="L79" s="15"/>
      <c r="M79" s="15"/>
      <c r="N79" s="15"/>
      <c r="O79" s="16" t="str">
        <f aca="false">IFERROR(INDEX(Lists!$B$3:$B$7,MATCH(K79,Lists!$A$3:$A$7,0)),"")</f>
        <v/>
      </c>
      <c r="P79" s="16" t="str">
        <f aca="false">IFERROR(INDEX('Evidence Pulls'!$N$6:$N$125,MATCH($J79,'Evidence Pulls'!$A$6:$A$125,0)),"")</f>
        <v/>
      </c>
      <c r="Q79" s="16" t="str">
        <f aca="false">IFERROR(INDEX('Evidence Pulls'!$G$6:$G$125,MATCH($J79,'Evidence Pulls'!$A$6:$A$125,0)),"")</f>
        <v/>
      </c>
      <c r="R79" s="16" t="str">
        <f aca="false">IFERROR(INDEX('Evidence Pulls'!$O$6:$O$125,MATCH($J79,'Evidence Pulls'!$A$6:$A$125,0)),"")</f>
        <v/>
      </c>
      <c r="S79" s="16" t="str">
        <f aca="false">IF(L79&lt;&gt;"",L79,IF(K79="","Not assessed",IF(N(O79)&gt;=3,"Demonstrated","Gap - remediate")))</f>
        <v>Not assessed</v>
      </c>
      <c r="T79" s="16" t="str">
        <f aca="false">IF(J79="","No evidence pull assigned",IF(COUNTIF('Evidence Pulls'!$A$6:$A$125,J79)=0,"Pull ID not on Evidence Pulls sheet",IF(K79="","Not graded",IF(AND(G79="MANDATORY",L79="Gap - recommend tailoring"),"INVALID: safety-mandatory, not tailorable",IF(OR(P79="",P79=0),"NO NAMED EXECUTOR",IF(AND(H79="Full",N(O79)&gt;=3,N(IFERROR(INDEX('Evidence Pulls'!$J$6:$J$125,MATCH($J79,'Evidence Pulls'!$A$6:$A$125,0)),""))=0),"Operating claimed with no sample",IF(AND(N(O79)&gt;=3,P79=1),"Operating rests on one individual",IF(AND(G79="MANDATORY",N(O79)&lt;3),"SAFETY GATE: below Operating","OK"))))))))</f>
        <v>No evidence pull assigned</v>
      </c>
    </row>
    <row r="80" customFormat="false" ht="15" hidden="false" customHeight="false" outlineLevel="0" collapsed="false">
      <c r="A80" s="13" t="s">
        <v>243</v>
      </c>
      <c r="B80" s="13" t="s">
        <v>153</v>
      </c>
      <c r="C80" s="13" t="s">
        <v>241</v>
      </c>
      <c r="D80" s="13" t="s">
        <v>242</v>
      </c>
      <c r="E80" s="13" t="s">
        <v>106</v>
      </c>
      <c r="F80" s="14"/>
      <c r="G80" s="13"/>
      <c r="H80" s="13" t="s">
        <v>103</v>
      </c>
      <c r="I80" s="13" t="s">
        <v>156</v>
      </c>
      <c r="J80" s="15"/>
      <c r="K80" s="15"/>
      <c r="L80" s="15"/>
      <c r="M80" s="15"/>
      <c r="N80" s="15"/>
      <c r="O80" s="16" t="str">
        <f aca="false">IFERROR(INDEX(Lists!$B$3:$B$7,MATCH(K80,Lists!$A$3:$A$7,0)),"")</f>
        <v/>
      </c>
      <c r="P80" s="16" t="str">
        <f aca="false">IFERROR(INDEX('Evidence Pulls'!$N$6:$N$125,MATCH($J80,'Evidence Pulls'!$A$6:$A$125,0)),"")</f>
        <v/>
      </c>
      <c r="Q80" s="16" t="str">
        <f aca="false">IFERROR(INDEX('Evidence Pulls'!$G$6:$G$125,MATCH($J80,'Evidence Pulls'!$A$6:$A$125,0)),"")</f>
        <v/>
      </c>
      <c r="R80" s="16" t="str">
        <f aca="false">IFERROR(INDEX('Evidence Pulls'!$O$6:$O$125,MATCH($J80,'Evidence Pulls'!$A$6:$A$125,0)),"")</f>
        <v/>
      </c>
      <c r="S80" s="16" t="str">
        <f aca="false">IF(L80&lt;&gt;"",L80,IF(K80="","Not assessed",IF(N(O80)&gt;=3,"Demonstrated","Gap - remediate")))</f>
        <v>Not assessed</v>
      </c>
      <c r="T80" s="16" t="str">
        <f aca="false">IF(J80="","No evidence pull assigned",IF(COUNTIF('Evidence Pulls'!$A$6:$A$125,J80)=0,"Pull ID not on Evidence Pulls sheet",IF(K80="","Not graded",IF(AND(G80="MANDATORY",L80="Gap - recommend tailoring"),"INVALID: safety-mandatory, not tailorable",IF(OR(P80="",P80=0),"NO NAMED EXECUTOR",IF(AND(H80="Full",N(O80)&gt;=3,N(IFERROR(INDEX('Evidence Pulls'!$J$6:$J$125,MATCH($J80,'Evidence Pulls'!$A$6:$A$125,0)),""))=0),"Operating claimed with no sample",IF(AND(N(O80)&gt;=3,P80=1),"Operating rests on one individual",IF(AND(G80="MANDATORY",N(O80)&lt;3),"SAFETY GATE: below Operating","OK"))))))))</f>
        <v>No evidence pull assigned</v>
      </c>
    </row>
    <row r="81" customFormat="false" ht="15" hidden="false" customHeight="false" outlineLevel="0" collapsed="false">
      <c r="A81" s="13" t="s">
        <v>244</v>
      </c>
      <c r="B81" s="13" t="s">
        <v>153</v>
      </c>
      <c r="C81" s="13" t="s">
        <v>241</v>
      </c>
      <c r="D81" s="13" t="s">
        <v>242</v>
      </c>
      <c r="E81" s="13" t="s">
        <v>110</v>
      </c>
      <c r="F81" s="14"/>
      <c r="G81" s="13"/>
      <c r="H81" s="13" t="s">
        <v>103</v>
      </c>
      <c r="I81" s="13" t="s">
        <v>156</v>
      </c>
      <c r="J81" s="15"/>
      <c r="K81" s="15"/>
      <c r="L81" s="15"/>
      <c r="M81" s="15"/>
      <c r="N81" s="15"/>
      <c r="O81" s="16" t="str">
        <f aca="false">IFERROR(INDEX(Lists!$B$3:$B$7,MATCH(K81,Lists!$A$3:$A$7,0)),"")</f>
        <v/>
      </c>
      <c r="P81" s="16" t="str">
        <f aca="false">IFERROR(INDEX('Evidence Pulls'!$N$6:$N$125,MATCH($J81,'Evidence Pulls'!$A$6:$A$125,0)),"")</f>
        <v/>
      </c>
      <c r="Q81" s="16" t="str">
        <f aca="false">IFERROR(INDEX('Evidence Pulls'!$G$6:$G$125,MATCH($J81,'Evidence Pulls'!$A$6:$A$125,0)),"")</f>
        <v/>
      </c>
      <c r="R81" s="16" t="str">
        <f aca="false">IFERROR(INDEX('Evidence Pulls'!$O$6:$O$125,MATCH($J81,'Evidence Pulls'!$A$6:$A$125,0)),"")</f>
        <v/>
      </c>
      <c r="S81" s="16" t="str">
        <f aca="false">IF(L81&lt;&gt;"",L81,IF(K81="","Not assessed",IF(N(O81)&gt;=3,"Demonstrated","Gap - remediate")))</f>
        <v>Not assessed</v>
      </c>
      <c r="T81" s="16" t="str">
        <f aca="false">IF(J81="","No evidence pull assigned",IF(COUNTIF('Evidence Pulls'!$A$6:$A$125,J81)=0,"Pull ID not on Evidence Pulls sheet",IF(K81="","Not graded",IF(AND(G81="MANDATORY",L81="Gap - recommend tailoring"),"INVALID: safety-mandatory, not tailorable",IF(OR(P81="",P81=0),"NO NAMED EXECUTOR",IF(AND(H81="Full",N(O81)&gt;=3,N(IFERROR(INDEX('Evidence Pulls'!$J$6:$J$125,MATCH($J81,'Evidence Pulls'!$A$6:$A$125,0)),""))=0),"Operating claimed with no sample",IF(AND(N(O81)&gt;=3,P81=1),"Operating rests on one individual",IF(AND(G81="MANDATORY",N(O81)&lt;3),"SAFETY GATE: below Operating","OK"))))))))</f>
        <v>No evidence pull assigned</v>
      </c>
    </row>
    <row r="82" customFormat="false" ht="15" hidden="false" customHeight="false" outlineLevel="0" collapsed="false">
      <c r="A82" s="13" t="s">
        <v>245</v>
      </c>
      <c r="B82" s="13" t="s">
        <v>153</v>
      </c>
      <c r="C82" s="13" t="s">
        <v>241</v>
      </c>
      <c r="D82" s="13" t="s">
        <v>242</v>
      </c>
      <c r="E82" s="13" t="s">
        <v>112</v>
      </c>
      <c r="F82" s="14"/>
      <c r="G82" s="13"/>
      <c r="H82" s="13" t="s">
        <v>103</v>
      </c>
      <c r="I82" s="13" t="s">
        <v>156</v>
      </c>
      <c r="J82" s="15"/>
      <c r="K82" s="15"/>
      <c r="L82" s="15"/>
      <c r="M82" s="15"/>
      <c r="N82" s="15"/>
      <c r="O82" s="16" t="str">
        <f aca="false">IFERROR(INDEX(Lists!$B$3:$B$7,MATCH(K82,Lists!$A$3:$A$7,0)),"")</f>
        <v/>
      </c>
      <c r="P82" s="16" t="str">
        <f aca="false">IFERROR(INDEX('Evidence Pulls'!$N$6:$N$125,MATCH($J82,'Evidence Pulls'!$A$6:$A$125,0)),"")</f>
        <v/>
      </c>
      <c r="Q82" s="16" t="str">
        <f aca="false">IFERROR(INDEX('Evidence Pulls'!$G$6:$G$125,MATCH($J82,'Evidence Pulls'!$A$6:$A$125,0)),"")</f>
        <v/>
      </c>
      <c r="R82" s="16" t="str">
        <f aca="false">IFERROR(INDEX('Evidence Pulls'!$O$6:$O$125,MATCH($J82,'Evidence Pulls'!$A$6:$A$125,0)),"")</f>
        <v/>
      </c>
      <c r="S82" s="16" t="str">
        <f aca="false">IF(L82&lt;&gt;"",L82,IF(K82="","Not assessed",IF(N(O82)&gt;=3,"Demonstrated","Gap - remediate")))</f>
        <v>Not assessed</v>
      </c>
      <c r="T82" s="16" t="str">
        <f aca="false">IF(J82="","No evidence pull assigned",IF(COUNTIF('Evidence Pulls'!$A$6:$A$125,J82)=0,"Pull ID not on Evidence Pulls sheet",IF(K82="","Not graded",IF(AND(G82="MANDATORY",L82="Gap - recommend tailoring"),"INVALID: safety-mandatory, not tailorable",IF(OR(P82="",P82=0),"NO NAMED EXECUTOR",IF(AND(H82="Full",N(O82)&gt;=3,N(IFERROR(INDEX('Evidence Pulls'!$J$6:$J$125,MATCH($J82,'Evidence Pulls'!$A$6:$A$125,0)),""))=0),"Operating claimed with no sample",IF(AND(N(O82)&gt;=3,P82=1),"Operating rests on one individual",IF(AND(G82="MANDATORY",N(O82)&lt;3),"SAFETY GATE: below Operating","OK"))))))))</f>
        <v>No evidence pull assigned</v>
      </c>
    </row>
    <row r="83" customFormat="false" ht="15" hidden="false" customHeight="false" outlineLevel="0" collapsed="false">
      <c r="A83" s="13" t="s">
        <v>246</v>
      </c>
      <c r="B83" s="13" t="s">
        <v>153</v>
      </c>
      <c r="C83" s="13" t="s">
        <v>247</v>
      </c>
      <c r="D83" s="13" t="s">
        <v>248</v>
      </c>
      <c r="E83" s="13" t="s">
        <v>117</v>
      </c>
      <c r="F83" s="14"/>
      <c r="G83" s="13"/>
      <c r="H83" s="13" t="s">
        <v>103</v>
      </c>
      <c r="I83" s="13" t="s">
        <v>156</v>
      </c>
      <c r="J83" s="15"/>
      <c r="K83" s="15"/>
      <c r="L83" s="15"/>
      <c r="M83" s="15"/>
      <c r="N83" s="15"/>
      <c r="O83" s="16" t="str">
        <f aca="false">IFERROR(INDEX(Lists!$B$3:$B$7,MATCH(K83,Lists!$A$3:$A$7,0)),"")</f>
        <v/>
      </c>
      <c r="P83" s="16" t="str">
        <f aca="false">IFERROR(INDEX('Evidence Pulls'!$N$6:$N$125,MATCH($J83,'Evidence Pulls'!$A$6:$A$125,0)),"")</f>
        <v/>
      </c>
      <c r="Q83" s="16" t="str">
        <f aca="false">IFERROR(INDEX('Evidence Pulls'!$G$6:$G$125,MATCH($J83,'Evidence Pulls'!$A$6:$A$125,0)),"")</f>
        <v/>
      </c>
      <c r="R83" s="16" t="str">
        <f aca="false">IFERROR(INDEX('Evidence Pulls'!$O$6:$O$125,MATCH($J83,'Evidence Pulls'!$A$6:$A$125,0)),"")</f>
        <v/>
      </c>
      <c r="S83" s="16" t="str">
        <f aca="false">IF(L83&lt;&gt;"",L83,IF(K83="","Not assessed",IF(N(O83)&gt;=3,"Demonstrated","Gap - remediate")))</f>
        <v>Not assessed</v>
      </c>
      <c r="T83" s="16" t="str">
        <f aca="false">IF(J83="","No evidence pull assigned",IF(COUNTIF('Evidence Pulls'!$A$6:$A$125,J83)=0,"Pull ID not on Evidence Pulls sheet",IF(K83="","Not graded",IF(AND(G83="MANDATORY",L83="Gap - recommend tailoring"),"INVALID: safety-mandatory, not tailorable",IF(OR(P83="",P83=0),"NO NAMED EXECUTOR",IF(AND(H83="Full",N(O83)&gt;=3,N(IFERROR(INDEX('Evidence Pulls'!$J$6:$J$125,MATCH($J83,'Evidence Pulls'!$A$6:$A$125,0)),""))=0),"Operating claimed with no sample",IF(AND(N(O83)&gt;=3,P83=1),"Operating rests on one individual",IF(AND(G83="MANDATORY",N(O83)&lt;3),"SAFETY GATE: below Operating","OK"))))))))</f>
        <v>No evidence pull assigned</v>
      </c>
    </row>
    <row r="84" customFormat="false" ht="15" hidden="false" customHeight="false" outlineLevel="0" collapsed="false">
      <c r="A84" s="13" t="s">
        <v>249</v>
      </c>
      <c r="B84" s="13" t="s">
        <v>153</v>
      </c>
      <c r="C84" s="13" t="s">
        <v>247</v>
      </c>
      <c r="D84" s="13" t="s">
        <v>248</v>
      </c>
      <c r="E84" s="13" t="s">
        <v>119</v>
      </c>
      <c r="F84" s="14"/>
      <c r="G84" s="13"/>
      <c r="H84" s="13" t="s">
        <v>103</v>
      </c>
      <c r="I84" s="13" t="s">
        <v>156</v>
      </c>
      <c r="J84" s="15"/>
      <c r="K84" s="15"/>
      <c r="L84" s="15"/>
      <c r="M84" s="15"/>
      <c r="N84" s="15"/>
      <c r="O84" s="16" t="str">
        <f aca="false">IFERROR(INDEX(Lists!$B$3:$B$7,MATCH(K84,Lists!$A$3:$A$7,0)),"")</f>
        <v/>
      </c>
      <c r="P84" s="16" t="str">
        <f aca="false">IFERROR(INDEX('Evidence Pulls'!$N$6:$N$125,MATCH($J84,'Evidence Pulls'!$A$6:$A$125,0)),"")</f>
        <v/>
      </c>
      <c r="Q84" s="16" t="str">
        <f aca="false">IFERROR(INDEX('Evidence Pulls'!$G$6:$G$125,MATCH($J84,'Evidence Pulls'!$A$6:$A$125,0)),"")</f>
        <v/>
      </c>
      <c r="R84" s="16" t="str">
        <f aca="false">IFERROR(INDEX('Evidence Pulls'!$O$6:$O$125,MATCH($J84,'Evidence Pulls'!$A$6:$A$125,0)),"")</f>
        <v/>
      </c>
      <c r="S84" s="16" t="str">
        <f aca="false">IF(L84&lt;&gt;"",L84,IF(K84="","Not assessed",IF(N(O84)&gt;=3,"Demonstrated","Gap - remediate")))</f>
        <v>Not assessed</v>
      </c>
      <c r="T84" s="16" t="str">
        <f aca="false">IF(J84="","No evidence pull assigned",IF(COUNTIF('Evidence Pulls'!$A$6:$A$125,J84)=0,"Pull ID not on Evidence Pulls sheet",IF(K84="","Not graded",IF(AND(G84="MANDATORY",L84="Gap - recommend tailoring"),"INVALID: safety-mandatory, not tailorable",IF(OR(P84="",P84=0),"NO NAMED EXECUTOR",IF(AND(H84="Full",N(O84)&gt;=3,N(IFERROR(INDEX('Evidence Pulls'!$J$6:$J$125,MATCH($J84,'Evidence Pulls'!$A$6:$A$125,0)),""))=0),"Operating claimed with no sample",IF(AND(N(O84)&gt;=3,P84=1),"Operating rests on one individual",IF(AND(G84="MANDATORY",N(O84)&lt;3),"SAFETY GATE: below Operating","OK"))))))))</f>
        <v>No evidence pull assigned</v>
      </c>
    </row>
    <row r="85" customFormat="false" ht="15" hidden="false" customHeight="false" outlineLevel="0" collapsed="false">
      <c r="A85" s="13" t="s">
        <v>250</v>
      </c>
      <c r="B85" s="13" t="s">
        <v>153</v>
      </c>
      <c r="C85" s="13" t="s">
        <v>247</v>
      </c>
      <c r="D85" s="13" t="s">
        <v>248</v>
      </c>
      <c r="E85" s="13" t="s">
        <v>121</v>
      </c>
      <c r="F85" s="14"/>
      <c r="G85" s="13"/>
      <c r="H85" s="13" t="s">
        <v>103</v>
      </c>
      <c r="I85" s="13" t="s">
        <v>156</v>
      </c>
      <c r="J85" s="15"/>
      <c r="K85" s="15"/>
      <c r="L85" s="15"/>
      <c r="M85" s="15"/>
      <c r="N85" s="15"/>
      <c r="O85" s="16" t="str">
        <f aca="false">IFERROR(INDEX(Lists!$B$3:$B$7,MATCH(K85,Lists!$A$3:$A$7,0)),"")</f>
        <v/>
      </c>
      <c r="P85" s="16" t="str">
        <f aca="false">IFERROR(INDEX('Evidence Pulls'!$N$6:$N$125,MATCH($J85,'Evidence Pulls'!$A$6:$A$125,0)),"")</f>
        <v/>
      </c>
      <c r="Q85" s="16" t="str">
        <f aca="false">IFERROR(INDEX('Evidence Pulls'!$G$6:$G$125,MATCH($J85,'Evidence Pulls'!$A$6:$A$125,0)),"")</f>
        <v/>
      </c>
      <c r="R85" s="16" t="str">
        <f aca="false">IFERROR(INDEX('Evidence Pulls'!$O$6:$O$125,MATCH($J85,'Evidence Pulls'!$A$6:$A$125,0)),"")</f>
        <v/>
      </c>
      <c r="S85" s="16" t="str">
        <f aca="false">IF(L85&lt;&gt;"",L85,IF(K85="","Not assessed",IF(N(O85)&gt;=3,"Demonstrated","Gap - remediate")))</f>
        <v>Not assessed</v>
      </c>
      <c r="T85" s="16" t="str">
        <f aca="false">IF(J85="","No evidence pull assigned",IF(COUNTIF('Evidence Pulls'!$A$6:$A$125,J85)=0,"Pull ID not on Evidence Pulls sheet",IF(K85="","Not graded",IF(AND(G85="MANDATORY",L85="Gap - recommend tailoring"),"INVALID: safety-mandatory, not tailorable",IF(OR(P85="",P85=0),"NO NAMED EXECUTOR",IF(AND(H85="Full",N(O85)&gt;=3,N(IFERROR(INDEX('Evidence Pulls'!$J$6:$J$125,MATCH($J85,'Evidence Pulls'!$A$6:$A$125,0)),""))=0),"Operating claimed with no sample",IF(AND(N(O85)&gt;=3,P85=1),"Operating rests on one individual",IF(AND(G85="MANDATORY",N(O85)&lt;3),"SAFETY GATE: below Operating","OK"))))))))</f>
        <v>No evidence pull assigned</v>
      </c>
    </row>
    <row r="86" customFormat="false" ht="15" hidden="false" customHeight="false" outlineLevel="0" collapsed="false">
      <c r="A86" s="13" t="s">
        <v>251</v>
      </c>
      <c r="B86" s="13" t="s">
        <v>153</v>
      </c>
      <c r="C86" s="13" t="s">
        <v>247</v>
      </c>
      <c r="D86" s="13" t="s">
        <v>248</v>
      </c>
      <c r="E86" s="13" t="s">
        <v>123</v>
      </c>
      <c r="F86" s="14"/>
      <c r="G86" s="13"/>
      <c r="H86" s="13" t="s">
        <v>103</v>
      </c>
      <c r="I86" s="13" t="s">
        <v>156</v>
      </c>
      <c r="J86" s="15"/>
      <c r="K86" s="15"/>
      <c r="L86" s="15"/>
      <c r="M86" s="15"/>
      <c r="N86" s="15"/>
      <c r="O86" s="16" t="str">
        <f aca="false">IFERROR(INDEX(Lists!$B$3:$B$7,MATCH(K86,Lists!$A$3:$A$7,0)),"")</f>
        <v/>
      </c>
      <c r="P86" s="16" t="str">
        <f aca="false">IFERROR(INDEX('Evidence Pulls'!$N$6:$N$125,MATCH($J86,'Evidence Pulls'!$A$6:$A$125,0)),"")</f>
        <v/>
      </c>
      <c r="Q86" s="16" t="str">
        <f aca="false">IFERROR(INDEX('Evidence Pulls'!$G$6:$G$125,MATCH($J86,'Evidence Pulls'!$A$6:$A$125,0)),"")</f>
        <v/>
      </c>
      <c r="R86" s="16" t="str">
        <f aca="false">IFERROR(INDEX('Evidence Pulls'!$O$6:$O$125,MATCH($J86,'Evidence Pulls'!$A$6:$A$125,0)),"")</f>
        <v/>
      </c>
      <c r="S86" s="16" t="str">
        <f aca="false">IF(L86&lt;&gt;"",L86,IF(K86="","Not assessed",IF(N(O86)&gt;=3,"Demonstrated","Gap - remediate")))</f>
        <v>Not assessed</v>
      </c>
      <c r="T86" s="16" t="str">
        <f aca="false">IF(J86="","No evidence pull assigned",IF(COUNTIF('Evidence Pulls'!$A$6:$A$125,J86)=0,"Pull ID not on Evidence Pulls sheet",IF(K86="","Not graded",IF(AND(G86="MANDATORY",L86="Gap - recommend tailoring"),"INVALID: safety-mandatory, not tailorable",IF(OR(P86="",P86=0),"NO NAMED EXECUTOR",IF(AND(H86="Full",N(O86)&gt;=3,N(IFERROR(INDEX('Evidence Pulls'!$J$6:$J$125,MATCH($J86,'Evidence Pulls'!$A$6:$A$125,0)),""))=0),"Operating claimed with no sample",IF(AND(N(O86)&gt;=3,P86=1),"Operating rests on one individual",IF(AND(G86="MANDATORY",N(O86)&lt;3),"SAFETY GATE: below Operating","OK"))))))))</f>
        <v>No evidence pull assigned</v>
      </c>
    </row>
    <row r="87" customFormat="false" ht="15" hidden="false" customHeight="false" outlineLevel="0" collapsed="false">
      <c r="A87" s="13" t="s">
        <v>252</v>
      </c>
      <c r="B87" s="13" t="s">
        <v>153</v>
      </c>
      <c r="C87" s="13" t="s">
        <v>247</v>
      </c>
      <c r="D87" s="13" t="s">
        <v>248</v>
      </c>
      <c r="E87" s="13" t="s">
        <v>125</v>
      </c>
      <c r="F87" s="14"/>
      <c r="G87" s="13"/>
      <c r="H87" s="13" t="s">
        <v>103</v>
      </c>
      <c r="I87" s="13" t="s">
        <v>156</v>
      </c>
      <c r="J87" s="15"/>
      <c r="K87" s="15"/>
      <c r="L87" s="15"/>
      <c r="M87" s="15"/>
      <c r="N87" s="15"/>
      <c r="O87" s="16" t="str">
        <f aca="false">IFERROR(INDEX(Lists!$B$3:$B$7,MATCH(K87,Lists!$A$3:$A$7,0)),"")</f>
        <v/>
      </c>
      <c r="P87" s="16" t="str">
        <f aca="false">IFERROR(INDEX('Evidence Pulls'!$N$6:$N$125,MATCH($J87,'Evidence Pulls'!$A$6:$A$125,0)),"")</f>
        <v/>
      </c>
      <c r="Q87" s="16" t="str">
        <f aca="false">IFERROR(INDEX('Evidence Pulls'!$G$6:$G$125,MATCH($J87,'Evidence Pulls'!$A$6:$A$125,0)),"")</f>
        <v/>
      </c>
      <c r="R87" s="16" t="str">
        <f aca="false">IFERROR(INDEX('Evidence Pulls'!$O$6:$O$125,MATCH($J87,'Evidence Pulls'!$A$6:$A$125,0)),"")</f>
        <v/>
      </c>
      <c r="S87" s="16" t="str">
        <f aca="false">IF(L87&lt;&gt;"",L87,IF(K87="","Not assessed",IF(N(O87)&gt;=3,"Demonstrated","Gap - remediate")))</f>
        <v>Not assessed</v>
      </c>
      <c r="T87" s="16" t="str">
        <f aca="false">IF(J87="","No evidence pull assigned",IF(COUNTIF('Evidence Pulls'!$A$6:$A$125,J87)=0,"Pull ID not on Evidence Pulls sheet",IF(K87="","Not graded",IF(AND(G87="MANDATORY",L87="Gap - recommend tailoring"),"INVALID: safety-mandatory, not tailorable",IF(OR(P87="",P87=0),"NO NAMED EXECUTOR",IF(AND(H87="Full",N(O87)&gt;=3,N(IFERROR(INDEX('Evidence Pulls'!$J$6:$J$125,MATCH($J87,'Evidence Pulls'!$A$6:$A$125,0)),""))=0),"Operating claimed with no sample",IF(AND(N(O87)&gt;=3,P87=1),"Operating rests on one individual",IF(AND(G87="MANDATORY",N(O87)&lt;3),"SAFETY GATE: below Operating","OK"))))))))</f>
        <v>No evidence pull assigned</v>
      </c>
    </row>
    <row r="88" customFormat="false" ht="15" hidden="false" customHeight="false" outlineLevel="0" collapsed="false">
      <c r="A88" s="17" t="s">
        <v>253</v>
      </c>
      <c r="B88" s="17" t="s">
        <v>153</v>
      </c>
      <c r="C88" s="17" t="s">
        <v>254</v>
      </c>
      <c r="D88" s="17" t="s">
        <v>255</v>
      </c>
      <c r="E88" s="17" t="s">
        <v>102</v>
      </c>
      <c r="F88" s="17"/>
      <c r="G88" s="18" t="s">
        <v>107</v>
      </c>
      <c r="H88" s="18" t="s">
        <v>108</v>
      </c>
      <c r="I88" s="17" t="s">
        <v>156</v>
      </c>
      <c r="J88" s="15"/>
      <c r="K88" s="15"/>
      <c r="L88" s="15"/>
      <c r="M88" s="15"/>
      <c r="N88" s="15"/>
      <c r="O88" s="16" t="str">
        <f aca="false">IFERROR(INDEX(Lists!$B$3:$B$7,MATCH(K88,Lists!$A$3:$A$7,0)),"")</f>
        <v/>
      </c>
      <c r="P88" s="16" t="str">
        <f aca="false">IFERROR(INDEX('Evidence Pulls'!$N$6:$N$125,MATCH($J88,'Evidence Pulls'!$A$6:$A$125,0)),"")</f>
        <v/>
      </c>
      <c r="Q88" s="16" t="str">
        <f aca="false">IFERROR(INDEX('Evidence Pulls'!$G$6:$G$125,MATCH($J88,'Evidence Pulls'!$A$6:$A$125,0)),"")</f>
        <v/>
      </c>
      <c r="R88" s="16" t="str">
        <f aca="false">IFERROR(INDEX('Evidence Pulls'!$O$6:$O$125,MATCH($J88,'Evidence Pulls'!$A$6:$A$125,0)),"")</f>
        <v/>
      </c>
      <c r="S88" s="16" t="str">
        <f aca="false">IF(L88&lt;&gt;"",L88,IF(K88="","Not assessed",IF(N(O88)&gt;=3,"Demonstrated","Gap - remediate")))</f>
        <v>Not assessed</v>
      </c>
      <c r="T88" s="16" t="str">
        <f aca="false">IF(J88="","No evidence pull assigned",IF(COUNTIF('Evidence Pulls'!$A$6:$A$125,J88)=0,"Pull ID not on Evidence Pulls sheet",IF(K88="","Not graded",IF(AND(G88="MANDATORY",L88="Gap - recommend tailoring"),"INVALID: safety-mandatory, not tailorable",IF(OR(P88="",P88=0),"NO NAMED EXECUTOR",IF(AND(H88="Full",N(O88)&gt;=3,N(IFERROR(INDEX('Evidence Pulls'!$J$6:$J$125,MATCH($J88,'Evidence Pulls'!$A$6:$A$125,0)),""))=0),"Operating claimed with no sample",IF(AND(N(O88)&gt;=3,P88=1),"Operating rests on one individual",IF(AND(G88="MANDATORY",N(O88)&lt;3),"SAFETY GATE: below Operating","OK"))))))))</f>
        <v>No evidence pull assigned</v>
      </c>
    </row>
    <row r="89" customFormat="false" ht="15" hidden="false" customHeight="false" outlineLevel="0" collapsed="false">
      <c r="A89" s="17" t="s">
        <v>256</v>
      </c>
      <c r="B89" s="17" t="s">
        <v>153</v>
      </c>
      <c r="C89" s="17" t="s">
        <v>254</v>
      </c>
      <c r="D89" s="17" t="s">
        <v>255</v>
      </c>
      <c r="E89" s="17" t="s">
        <v>106</v>
      </c>
      <c r="F89" s="17"/>
      <c r="G89" s="18" t="s">
        <v>107</v>
      </c>
      <c r="H89" s="18" t="s">
        <v>108</v>
      </c>
      <c r="I89" s="17" t="s">
        <v>156</v>
      </c>
      <c r="J89" s="15"/>
      <c r="K89" s="15"/>
      <c r="L89" s="15"/>
      <c r="M89" s="15"/>
      <c r="N89" s="15"/>
      <c r="O89" s="16" t="str">
        <f aca="false">IFERROR(INDEX(Lists!$B$3:$B$7,MATCH(K89,Lists!$A$3:$A$7,0)),"")</f>
        <v/>
      </c>
      <c r="P89" s="16" t="str">
        <f aca="false">IFERROR(INDEX('Evidence Pulls'!$N$6:$N$125,MATCH($J89,'Evidence Pulls'!$A$6:$A$125,0)),"")</f>
        <v/>
      </c>
      <c r="Q89" s="16" t="str">
        <f aca="false">IFERROR(INDEX('Evidence Pulls'!$G$6:$G$125,MATCH($J89,'Evidence Pulls'!$A$6:$A$125,0)),"")</f>
        <v/>
      </c>
      <c r="R89" s="16" t="str">
        <f aca="false">IFERROR(INDEX('Evidence Pulls'!$O$6:$O$125,MATCH($J89,'Evidence Pulls'!$A$6:$A$125,0)),"")</f>
        <v/>
      </c>
      <c r="S89" s="16" t="str">
        <f aca="false">IF(L89&lt;&gt;"",L89,IF(K89="","Not assessed",IF(N(O89)&gt;=3,"Demonstrated","Gap - remediate")))</f>
        <v>Not assessed</v>
      </c>
      <c r="T89" s="16" t="str">
        <f aca="false">IF(J89="","No evidence pull assigned",IF(COUNTIF('Evidence Pulls'!$A$6:$A$125,J89)=0,"Pull ID not on Evidence Pulls sheet",IF(K89="","Not graded",IF(AND(G89="MANDATORY",L89="Gap - recommend tailoring"),"INVALID: safety-mandatory, not tailorable",IF(OR(P89="",P89=0),"NO NAMED EXECUTOR",IF(AND(H89="Full",N(O89)&gt;=3,N(IFERROR(INDEX('Evidence Pulls'!$J$6:$J$125,MATCH($J89,'Evidence Pulls'!$A$6:$A$125,0)),""))=0),"Operating claimed with no sample",IF(AND(N(O89)&gt;=3,P89=1),"Operating rests on one individual",IF(AND(G89="MANDATORY",N(O89)&lt;3),"SAFETY GATE: below Operating","OK"))))))))</f>
        <v>No evidence pull assigned</v>
      </c>
    </row>
    <row r="90" customFormat="false" ht="15" hidden="false" customHeight="false" outlineLevel="0" collapsed="false">
      <c r="A90" s="17" t="s">
        <v>257</v>
      </c>
      <c r="B90" s="17" t="s">
        <v>153</v>
      </c>
      <c r="C90" s="17" t="s">
        <v>254</v>
      </c>
      <c r="D90" s="17" t="s">
        <v>255</v>
      </c>
      <c r="E90" s="17" t="s">
        <v>110</v>
      </c>
      <c r="F90" s="17"/>
      <c r="G90" s="18" t="s">
        <v>107</v>
      </c>
      <c r="H90" s="18" t="s">
        <v>108</v>
      </c>
      <c r="I90" s="17" t="s">
        <v>156</v>
      </c>
      <c r="J90" s="15"/>
      <c r="K90" s="15"/>
      <c r="L90" s="15"/>
      <c r="M90" s="15"/>
      <c r="N90" s="15"/>
      <c r="O90" s="16" t="str">
        <f aca="false">IFERROR(INDEX(Lists!$B$3:$B$7,MATCH(K90,Lists!$A$3:$A$7,0)),"")</f>
        <v/>
      </c>
      <c r="P90" s="16" t="str">
        <f aca="false">IFERROR(INDEX('Evidence Pulls'!$N$6:$N$125,MATCH($J90,'Evidence Pulls'!$A$6:$A$125,0)),"")</f>
        <v/>
      </c>
      <c r="Q90" s="16" t="str">
        <f aca="false">IFERROR(INDEX('Evidence Pulls'!$G$6:$G$125,MATCH($J90,'Evidence Pulls'!$A$6:$A$125,0)),"")</f>
        <v/>
      </c>
      <c r="R90" s="16" t="str">
        <f aca="false">IFERROR(INDEX('Evidence Pulls'!$O$6:$O$125,MATCH($J90,'Evidence Pulls'!$A$6:$A$125,0)),"")</f>
        <v/>
      </c>
      <c r="S90" s="16" t="str">
        <f aca="false">IF(L90&lt;&gt;"",L90,IF(K90="","Not assessed",IF(N(O90)&gt;=3,"Demonstrated","Gap - remediate")))</f>
        <v>Not assessed</v>
      </c>
      <c r="T90" s="16" t="str">
        <f aca="false">IF(J90="","No evidence pull assigned",IF(COUNTIF('Evidence Pulls'!$A$6:$A$125,J90)=0,"Pull ID not on Evidence Pulls sheet",IF(K90="","Not graded",IF(AND(G90="MANDATORY",L90="Gap - recommend tailoring"),"INVALID: safety-mandatory, not tailorable",IF(OR(P90="",P90=0),"NO NAMED EXECUTOR",IF(AND(H90="Full",N(O90)&gt;=3,N(IFERROR(INDEX('Evidence Pulls'!$J$6:$J$125,MATCH($J90,'Evidence Pulls'!$A$6:$A$125,0)),""))=0),"Operating claimed with no sample",IF(AND(N(O90)&gt;=3,P90=1),"Operating rests on one individual",IF(AND(G90="MANDATORY",N(O90)&lt;3),"SAFETY GATE: below Operating","OK"))))))))</f>
        <v>No evidence pull assigned</v>
      </c>
    </row>
    <row r="91" customFormat="false" ht="15" hidden="false" customHeight="false" outlineLevel="0" collapsed="false">
      <c r="A91" s="13" t="s">
        <v>258</v>
      </c>
      <c r="B91" s="13" t="s">
        <v>153</v>
      </c>
      <c r="C91" s="13" t="s">
        <v>254</v>
      </c>
      <c r="D91" s="13" t="s">
        <v>255</v>
      </c>
      <c r="E91" s="13" t="s">
        <v>112</v>
      </c>
      <c r="F91" s="14"/>
      <c r="G91" s="13"/>
      <c r="H91" s="13" t="s">
        <v>103</v>
      </c>
      <c r="I91" s="13" t="s">
        <v>156</v>
      </c>
      <c r="J91" s="15"/>
      <c r="K91" s="15"/>
      <c r="L91" s="15"/>
      <c r="M91" s="15"/>
      <c r="N91" s="15"/>
      <c r="O91" s="16" t="str">
        <f aca="false">IFERROR(INDEX(Lists!$B$3:$B$7,MATCH(K91,Lists!$A$3:$A$7,0)),"")</f>
        <v/>
      </c>
      <c r="P91" s="16" t="str">
        <f aca="false">IFERROR(INDEX('Evidence Pulls'!$N$6:$N$125,MATCH($J91,'Evidence Pulls'!$A$6:$A$125,0)),"")</f>
        <v/>
      </c>
      <c r="Q91" s="16" t="str">
        <f aca="false">IFERROR(INDEX('Evidence Pulls'!$G$6:$G$125,MATCH($J91,'Evidence Pulls'!$A$6:$A$125,0)),"")</f>
        <v/>
      </c>
      <c r="R91" s="16" t="str">
        <f aca="false">IFERROR(INDEX('Evidence Pulls'!$O$6:$O$125,MATCH($J91,'Evidence Pulls'!$A$6:$A$125,0)),"")</f>
        <v/>
      </c>
      <c r="S91" s="16" t="str">
        <f aca="false">IF(L91&lt;&gt;"",L91,IF(K91="","Not assessed",IF(N(O91)&gt;=3,"Demonstrated","Gap - remediate")))</f>
        <v>Not assessed</v>
      </c>
      <c r="T91" s="16" t="str">
        <f aca="false">IF(J91="","No evidence pull assigned",IF(COUNTIF('Evidence Pulls'!$A$6:$A$125,J91)=0,"Pull ID not on Evidence Pulls sheet",IF(K91="","Not graded",IF(AND(G91="MANDATORY",L91="Gap - recommend tailoring"),"INVALID: safety-mandatory, not tailorable",IF(OR(P91="",P91=0),"NO NAMED EXECUTOR",IF(AND(H91="Full",N(O91)&gt;=3,N(IFERROR(INDEX('Evidence Pulls'!$J$6:$J$125,MATCH($J91,'Evidence Pulls'!$A$6:$A$125,0)),""))=0),"Operating claimed with no sample",IF(AND(N(O91)&gt;=3,P91=1),"Operating rests on one individual",IF(AND(G91="MANDATORY",N(O91)&lt;3),"SAFETY GATE: below Operating","OK"))))))))</f>
        <v>No evidence pull assigned</v>
      </c>
    </row>
    <row r="92" customFormat="false" ht="22.35" hidden="false" customHeight="false" outlineLevel="0" collapsed="false">
      <c r="A92" s="17" t="s">
        <v>259</v>
      </c>
      <c r="B92" s="17" t="s">
        <v>153</v>
      </c>
      <c r="C92" s="17" t="s">
        <v>260</v>
      </c>
      <c r="D92" s="17" t="s">
        <v>261</v>
      </c>
      <c r="E92" s="17" t="s">
        <v>102</v>
      </c>
      <c r="F92" s="17"/>
      <c r="G92" s="18" t="s">
        <v>107</v>
      </c>
      <c r="H92" s="18" t="s">
        <v>108</v>
      </c>
      <c r="I92" s="17" t="s">
        <v>156</v>
      </c>
      <c r="J92" s="15"/>
      <c r="K92" s="15"/>
      <c r="L92" s="15"/>
      <c r="M92" s="15"/>
      <c r="N92" s="15"/>
      <c r="O92" s="16" t="str">
        <f aca="false">IFERROR(INDEX(Lists!$B$3:$B$7,MATCH(K92,Lists!$A$3:$A$7,0)),"")</f>
        <v/>
      </c>
      <c r="P92" s="16" t="str">
        <f aca="false">IFERROR(INDEX('Evidence Pulls'!$N$6:$N$125,MATCH($J92,'Evidence Pulls'!$A$6:$A$125,0)),"")</f>
        <v/>
      </c>
      <c r="Q92" s="16" t="str">
        <f aca="false">IFERROR(INDEX('Evidence Pulls'!$G$6:$G$125,MATCH($J92,'Evidence Pulls'!$A$6:$A$125,0)),"")</f>
        <v/>
      </c>
      <c r="R92" s="16" t="str">
        <f aca="false">IFERROR(INDEX('Evidence Pulls'!$O$6:$O$125,MATCH($J92,'Evidence Pulls'!$A$6:$A$125,0)),"")</f>
        <v/>
      </c>
      <c r="S92" s="16" t="str">
        <f aca="false">IF(L92&lt;&gt;"",L92,IF(K92="","Not assessed",IF(N(O92)&gt;=3,"Demonstrated","Gap - remediate")))</f>
        <v>Not assessed</v>
      </c>
      <c r="T92" s="16" t="str">
        <f aca="false">IF(J92="","No evidence pull assigned",IF(COUNTIF('Evidence Pulls'!$A$6:$A$125,J92)=0,"Pull ID not on Evidence Pulls sheet",IF(K92="","Not graded",IF(AND(G92="MANDATORY",L92="Gap - recommend tailoring"),"INVALID: safety-mandatory, not tailorable",IF(OR(P92="",P92=0),"NO NAMED EXECUTOR",IF(AND(H92="Full",N(O92)&gt;=3,N(IFERROR(INDEX('Evidence Pulls'!$J$6:$J$125,MATCH($J92,'Evidence Pulls'!$A$6:$A$125,0)),""))=0),"Operating claimed with no sample",IF(AND(N(O92)&gt;=3,P92=1),"Operating rests on one individual",IF(AND(G92="MANDATORY",N(O92)&lt;3),"SAFETY GATE: below Operating","OK"))))))))</f>
        <v>No evidence pull assigned</v>
      </c>
    </row>
    <row r="93" customFormat="false" ht="22.35" hidden="false" customHeight="false" outlineLevel="0" collapsed="false">
      <c r="A93" s="13" t="s">
        <v>262</v>
      </c>
      <c r="B93" s="13" t="s">
        <v>153</v>
      </c>
      <c r="C93" s="13" t="s">
        <v>260</v>
      </c>
      <c r="D93" s="13" t="s">
        <v>261</v>
      </c>
      <c r="E93" s="13" t="s">
        <v>158</v>
      </c>
      <c r="F93" s="14"/>
      <c r="G93" s="13"/>
      <c r="H93" s="13" t="s">
        <v>103</v>
      </c>
      <c r="I93" s="13" t="s">
        <v>156</v>
      </c>
      <c r="J93" s="15"/>
      <c r="K93" s="15"/>
      <c r="L93" s="15"/>
      <c r="M93" s="15"/>
      <c r="N93" s="15"/>
      <c r="O93" s="16" t="str">
        <f aca="false">IFERROR(INDEX(Lists!$B$3:$B$7,MATCH(K93,Lists!$A$3:$A$7,0)),"")</f>
        <v/>
      </c>
      <c r="P93" s="16" t="str">
        <f aca="false">IFERROR(INDEX('Evidence Pulls'!$N$6:$N$125,MATCH($J93,'Evidence Pulls'!$A$6:$A$125,0)),"")</f>
        <v/>
      </c>
      <c r="Q93" s="16" t="str">
        <f aca="false">IFERROR(INDEX('Evidence Pulls'!$G$6:$G$125,MATCH($J93,'Evidence Pulls'!$A$6:$A$125,0)),"")</f>
        <v/>
      </c>
      <c r="R93" s="16" t="str">
        <f aca="false">IFERROR(INDEX('Evidence Pulls'!$O$6:$O$125,MATCH($J93,'Evidence Pulls'!$A$6:$A$125,0)),"")</f>
        <v/>
      </c>
      <c r="S93" s="16" t="str">
        <f aca="false">IF(L93&lt;&gt;"",L93,IF(K93="","Not assessed",IF(N(O93)&gt;=3,"Demonstrated","Gap - remediate")))</f>
        <v>Not assessed</v>
      </c>
      <c r="T93" s="16" t="str">
        <f aca="false">IF(J93="","No evidence pull assigned",IF(COUNTIF('Evidence Pulls'!$A$6:$A$125,J93)=0,"Pull ID not on Evidence Pulls sheet",IF(K93="","Not graded",IF(AND(G93="MANDATORY",L93="Gap - recommend tailoring"),"INVALID: safety-mandatory, not tailorable",IF(OR(P93="",P93=0),"NO NAMED EXECUTOR",IF(AND(H93="Full",N(O93)&gt;=3,N(IFERROR(INDEX('Evidence Pulls'!$J$6:$J$125,MATCH($J93,'Evidence Pulls'!$A$6:$A$125,0)),""))=0),"Operating claimed with no sample",IF(AND(N(O93)&gt;=3,P93=1),"Operating rests on one individual",IF(AND(G93="MANDATORY",N(O93)&lt;3),"SAFETY GATE: below Operating","OK"))))))))</f>
        <v>No evidence pull assigned</v>
      </c>
    </row>
    <row r="94" customFormat="false" ht="22.35" hidden="false" customHeight="false" outlineLevel="0" collapsed="false">
      <c r="A94" s="13" t="s">
        <v>263</v>
      </c>
      <c r="B94" s="13" t="s">
        <v>153</v>
      </c>
      <c r="C94" s="13" t="s">
        <v>260</v>
      </c>
      <c r="D94" s="13" t="s">
        <v>261</v>
      </c>
      <c r="E94" s="13" t="s">
        <v>160</v>
      </c>
      <c r="F94" s="14"/>
      <c r="G94" s="13"/>
      <c r="H94" s="13" t="s">
        <v>103</v>
      </c>
      <c r="I94" s="13" t="s">
        <v>156</v>
      </c>
      <c r="J94" s="15"/>
      <c r="K94" s="15"/>
      <c r="L94" s="15"/>
      <c r="M94" s="15"/>
      <c r="N94" s="15"/>
      <c r="O94" s="16" t="str">
        <f aca="false">IFERROR(INDEX(Lists!$B$3:$B$7,MATCH(K94,Lists!$A$3:$A$7,0)),"")</f>
        <v/>
      </c>
      <c r="P94" s="16" t="str">
        <f aca="false">IFERROR(INDEX('Evidence Pulls'!$N$6:$N$125,MATCH($J94,'Evidence Pulls'!$A$6:$A$125,0)),"")</f>
        <v/>
      </c>
      <c r="Q94" s="16" t="str">
        <f aca="false">IFERROR(INDEX('Evidence Pulls'!$G$6:$G$125,MATCH($J94,'Evidence Pulls'!$A$6:$A$125,0)),"")</f>
        <v/>
      </c>
      <c r="R94" s="16" t="str">
        <f aca="false">IFERROR(INDEX('Evidence Pulls'!$O$6:$O$125,MATCH($J94,'Evidence Pulls'!$A$6:$A$125,0)),"")</f>
        <v/>
      </c>
      <c r="S94" s="16" t="str">
        <f aca="false">IF(L94&lt;&gt;"",L94,IF(K94="","Not assessed",IF(N(O94)&gt;=3,"Demonstrated","Gap - remediate")))</f>
        <v>Not assessed</v>
      </c>
      <c r="T94" s="16" t="str">
        <f aca="false">IF(J94="","No evidence pull assigned",IF(COUNTIF('Evidence Pulls'!$A$6:$A$125,J94)=0,"Pull ID not on Evidence Pulls sheet",IF(K94="","Not graded",IF(AND(G94="MANDATORY",L94="Gap - recommend tailoring"),"INVALID: safety-mandatory, not tailorable",IF(OR(P94="",P94=0),"NO NAMED EXECUTOR",IF(AND(H94="Full",N(O94)&gt;=3,N(IFERROR(INDEX('Evidence Pulls'!$J$6:$J$125,MATCH($J94,'Evidence Pulls'!$A$6:$A$125,0)),""))=0),"Operating claimed with no sample",IF(AND(N(O94)&gt;=3,P94=1),"Operating rests on one individual",IF(AND(G94="MANDATORY",N(O94)&lt;3),"SAFETY GATE: below Operating","OK"))))))))</f>
        <v>No evidence pull assigned</v>
      </c>
    </row>
    <row r="95" customFormat="false" ht="22.35" hidden="false" customHeight="false" outlineLevel="0" collapsed="false">
      <c r="A95" s="13" t="s">
        <v>264</v>
      </c>
      <c r="B95" s="13" t="s">
        <v>153</v>
      </c>
      <c r="C95" s="13" t="s">
        <v>260</v>
      </c>
      <c r="D95" s="13" t="s">
        <v>261</v>
      </c>
      <c r="E95" s="13" t="s">
        <v>162</v>
      </c>
      <c r="F95" s="14"/>
      <c r="G95" s="13"/>
      <c r="H95" s="13" t="s">
        <v>103</v>
      </c>
      <c r="I95" s="13" t="s">
        <v>156</v>
      </c>
      <c r="J95" s="15"/>
      <c r="K95" s="15"/>
      <c r="L95" s="15"/>
      <c r="M95" s="15"/>
      <c r="N95" s="15"/>
      <c r="O95" s="16" t="str">
        <f aca="false">IFERROR(INDEX(Lists!$B$3:$B$7,MATCH(K95,Lists!$A$3:$A$7,0)),"")</f>
        <v/>
      </c>
      <c r="P95" s="16" t="str">
        <f aca="false">IFERROR(INDEX('Evidence Pulls'!$N$6:$N$125,MATCH($J95,'Evidence Pulls'!$A$6:$A$125,0)),"")</f>
        <v/>
      </c>
      <c r="Q95" s="16" t="str">
        <f aca="false">IFERROR(INDEX('Evidence Pulls'!$G$6:$G$125,MATCH($J95,'Evidence Pulls'!$A$6:$A$125,0)),"")</f>
        <v/>
      </c>
      <c r="R95" s="16" t="str">
        <f aca="false">IFERROR(INDEX('Evidence Pulls'!$O$6:$O$125,MATCH($J95,'Evidence Pulls'!$A$6:$A$125,0)),"")</f>
        <v/>
      </c>
      <c r="S95" s="16" t="str">
        <f aca="false">IF(L95&lt;&gt;"",L95,IF(K95="","Not assessed",IF(N(O95)&gt;=3,"Demonstrated","Gap - remediate")))</f>
        <v>Not assessed</v>
      </c>
      <c r="T95" s="16" t="str">
        <f aca="false">IF(J95="","No evidence pull assigned",IF(COUNTIF('Evidence Pulls'!$A$6:$A$125,J95)=0,"Pull ID not on Evidence Pulls sheet",IF(K95="","Not graded",IF(AND(G95="MANDATORY",L95="Gap - recommend tailoring"),"INVALID: safety-mandatory, not tailorable",IF(OR(P95="",P95=0),"NO NAMED EXECUTOR",IF(AND(H95="Full",N(O95)&gt;=3,N(IFERROR(INDEX('Evidence Pulls'!$J$6:$J$125,MATCH($J95,'Evidence Pulls'!$A$6:$A$125,0)),""))=0),"Operating claimed with no sample",IF(AND(N(O95)&gt;=3,P95=1),"Operating rests on one individual",IF(AND(G95="MANDATORY",N(O95)&lt;3),"SAFETY GATE: below Operating","OK"))))))))</f>
        <v>No evidence pull assigned</v>
      </c>
    </row>
    <row r="96" customFormat="false" ht="22.35" hidden="false" customHeight="false" outlineLevel="0" collapsed="false">
      <c r="A96" s="13" t="s">
        <v>265</v>
      </c>
      <c r="B96" s="13" t="s">
        <v>153</v>
      </c>
      <c r="C96" s="13" t="s">
        <v>260</v>
      </c>
      <c r="D96" s="13" t="s">
        <v>261</v>
      </c>
      <c r="E96" s="13" t="s">
        <v>164</v>
      </c>
      <c r="F96" s="14"/>
      <c r="G96" s="13"/>
      <c r="H96" s="13" t="s">
        <v>103</v>
      </c>
      <c r="I96" s="13" t="s">
        <v>156</v>
      </c>
      <c r="J96" s="15"/>
      <c r="K96" s="15"/>
      <c r="L96" s="15"/>
      <c r="M96" s="15"/>
      <c r="N96" s="15"/>
      <c r="O96" s="16" t="str">
        <f aca="false">IFERROR(INDEX(Lists!$B$3:$B$7,MATCH(K96,Lists!$A$3:$A$7,0)),"")</f>
        <v/>
      </c>
      <c r="P96" s="16" t="str">
        <f aca="false">IFERROR(INDEX('Evidence Pulls'!$N$6:$N$125,MATCH($J96,'Evidence Pulls'!$A$6:$A$125,0)),"")</f>
        <v/>
      </c>
      <c r="Q96" s="16" t="str">
        <f aca="false">IFERROR(INDEX('Evidence Pulls'!$G$6:$G$125,MATCH($J96,'Evidence Pulls'!$A$6:$A$125,0)),"")</f>
        <v/>
      </c>
      <c r="R96" s="16" t="str">
        <f aca="false">IFERROR(INDEX('Evidence Pulls'!$O$6:$O$125,MATCH($J96,'Evidence Pulls'!$A$6:$A$125,0)),"")</f>
        <v/>
      </c>
      <c r="S96" s="16" t="str">
        <f aca="false">IF(L96&lt;&gt;"",L96,IF(K96="","Not assessed",IF(N(O96)&gt;=3,"Demonstrated","Gap - remediate")))</f>
        <v>Not assessed</v>
      </c>
      <c r="T96" s="16" t="str">
        <f aca="false">IF(J96="","No evidence pull assigned",IF(COUNTIF('Evidence Pulls'!$A$6:$A$125,J96)=0,"Pull ID not on Evidence Pulls sheet",IF(K96="","Not graded",IF(AND(G96="MANDATORY",L96="Gap - recommend tailoring"),"INVALID: safety-mandatory, not tailorable",IF(OR(P96="",P96=0),"NO NAMED EXECUTOR",IF(AND(H96="Full",N(O96)&gt;=3,N(IFERROR(INDEX('Evidence Pulls'!$J$6:$J$125,MATCH($J96,'Evidence Pulls'!$A$6:$A$125,0)),""))=0),"Operating claimed with no sample",IF(AND(N(O96)&gt;=3,P96=1),"Operating rests on one individual",IF(AND(G96="MANDATORY",N(O96)&lt;3),"SAFETY GATE: below Operating","OK"))))))))</f>
        <v>No evidence pull assigned</v>
      </c>
    </row>
    <row r="97" customFormat="false" ht="22.35" hidden="false" customHeight="false" outlineLevel="0" collapsed="false">
      <c r="A97" s="17" t="s">
        <v>266</v>
      </c>
      <c r="B97" s="17" t="s">
        <v>267</v>
      </c>
      <c r="C97" s="17" t="s">
        <v>268</v>
      </c>
      <c r="D97" s="17" t="s">
        <v>269</v>
      </c>
      <c r="E97" s="17" t="s">
        <v>102</v>
      </c>
      <c r="F97" s="17"/>
      <c r="G97" s="18" t="s">
        <v>107</v>
      </c>
      <c r="H97" s="18" t="s">
        <v>108</v>
      </c>
      <c r="I97" s="17" t="s">
        <v>270</v>
      </c>
      <c r="J97" s="15"/>
      <c r="K97" s="15"/>
      <c r="L97" s="15"/>
      <c r="M97" s="15"/>
      <c r="N97" s="15"/>
      <c r="O97" s="16" t="str">
        <f aca="false">IFERROR(INDEX(Lists!$B$3:$B$7,MATCH(K97,Lists!$A$3:$A$7,0)),"")</f>
        <v/>
      </c>
      <c r="P97" s="16" t="str">
        <f aca="false">IFERROR(INDEX('Evidence Pulls'!$N$6:$N$125,MATCH($J97,'Evidence Pulls'!$A$6:$A$125,0)),"")</f>
        <v/>
      </c>
      <c r="Q97" s="16" t="str">
        <f aca="false">IFERROR(INDEX('Evidence Pulls'!$G$6:$G$125,MATCH($J97,'Evidence Pulls'!$A$6:$A$125,0)),"")</f>
        <v/>
      </c>
      <c r="R97" s="16" t="str">
        <f aca="false">IFERROR(INDEX('Evidence Pulls'!$O$6:$O$125,MATCH($J97,'Evidence Pulls'!$A$6:$A$125,0)),"")</f>
        <v/>
      </c>
      <c r="S97" s="16" t="str">
        <f aca="false">IF(L97&lt;&gt;"",L97,IF(K97="","Not assessed",IF(N(O97)&gt;=3,"Demonstrated","Gap - remediate")))</f>
        <v>Not assessed</v>
      </c>
      <c r="T97" s="16" t="str">
        <f aca="false">IF(J97="","No evidence pull assigned",IF(COUNTIF('Evidence Pulls'!$A$6:$A$125,J97)=0,"Pull ID not on Evidence Pulls sheet",IF(K97="","Not graded",IF(AND(G97="MANDATORY",L97="Gap - recommend tailoring"),"INVALID: safety-mandatory, not tailorable",IF(OR(P97="",P97=0),"NO NAMED EXECUTOR",IF(AND(H97="Full",N(O97)&gt;=3,N(IFERROR(INDEX('Evidence Pulls'!$J$6:$J$125,MATCH($J97,'Evidence Pulls'!$A$6:$A$125,0)),""))=0),"Operating claimed with no sample",IF(AND(N(O97)&gt;=3,P97=1),"Operating rests on one individual",IF(AND(G97="MANDATORY",N(O97)&lt;3),"SAFETY GATE: below Operating","OK"))))))))</f>
        <v>No evidence pull assigned</v>
      </c>
    </row>
    <row r="98" customFormat="false" ht="22.35" hidden="false" customHeight="false" outlineLevel="0" collapsed="false">
      <c r="A98" s="13" t="s">
        <v>271</v>
      </c>
      <c r="B98" s="13" t="s">
        <v>267</v>
      </c>
      <c r="C98" s="13" t="s">
        <v>268</v>
      </c>
      <c r="D98" s="13" t="s">
        <v>269</v>
      </c>
      <c r="E98" s="13" t="s">
        <v>158</v>
      </c>
      <c r="F98" s="14"/>
      <c r="G98" s="13"/>
      <c r="H98" s="13" t="s">
        <v>103</v>
      </c>
      <c r="I98" s="13" t="s">
        <v>270</v>
      </c>
      <c r="J98" s="15"/>
      <c r="K98" s="15"/>
      <c r="L98" s="15"/>
      <c r="M98" s="15"/>
      <c r="N98" s="15"/>
      <c r="O98" s="16" t="str">
        <f aca="false">IFERROR(INDEX(Lists!$B$3:$B$7,MATCH(K98,Lists!$A$3:$A$7,0)),"")</f>
        <v/>
      </c>
      <c r="P98" s="16" t="str">
        <f aca="false">IFERROR(INDEX('Evidence Pulls'!$N$6:$N$125,MATCH($J98,'Evidence Pulls'!$A$6:$A$125,0)),"")</f>
        <v/>
      </c>
      <c r="Q98" s="16" t="str">
        <f aca="false">IFERROR(INDEX('Evidence Pulls'!$G$6:$G$125,MATCH($J98,'Evidence Pulls'!$A$6:$A$125,0)),"")</f>
        <v/>
      </c>
      <c r="R98" s="16" t="str">
        <f aca="false">IFERROR(INDEX('Evidence Pulls'!$O$6:$O$125,MATCH($J98,'Evidence Pulls'!$A$6:$A$125,0)),"")</f>
        <v/>
      </c>
      <c r="S98" s="16" t="str">
        <f aca="false">IF(L98&lt;&gt;"",L98,IF(K98="","Not assessed",IF(N(O98)&gt;=3,"Demonstrated","Gap - remediate")))</f>
        <v>Not assessed</v>
      </c>
      <c r="T98" s="16" t="str">
        <f aca="false">IF(J98="","No evidence pull assigned",IF(COUNTIF('Evidence Pulls'!$A$6:$A$125,J98)=0,"Pull ID not on Evidence Pulls sheet",IF(K98="","Not graded",IF(AND(G98="MANDATORY",L98="Gap - recommend tailoring"),"INVALID: safety-mandatory, not tailorable",IF(OR(P98="",P98=0),"NO NAMED EXECUTOR",IF(AND(H98="Full",N(O98)&gt;=3,N(IFERROR(INDEX('Evidence Pulls'!$J$6:$J$125,MATCH($J98,'Evidence Pulls'!$A$6:$A$125,0)),""))=0),"Operating claimed with no sample",IF(AND(N(O98)&gt;=3,P98=1),"Operating rests on one individual",IF(AND(G98="MANDATORY",N(O98)&lt;3),"SAFETY GATE: below Operating","OK"))))))))</f>
        <v>No evidence pull assigned</v>
      </c>
    </row>
    <row r="99" customFormat="false" ht="22.35" hidden="false" customHeight="false" outlineLevel="0" collapsed="false">
      <c r="A99" s="13" t="s">
        <v>272</v>
      </c>
      <c r="B99" s="13" t="s">
        <v>267</v>
      </c>
      <c r="C99" s="13" t="s">
        <v>268</v>
      </c>
      <c r="D99" s="13" t="s">
        <v>269</v>
      </c>
      <c r="E99" s="13" t="s">
        <v>160</v>
      </c>
      <c r="F99" s="14"/>
      <c r="G99" s="13"/>
      <c r="H99" s="13" t="s">
        <v>103</v>
      </c>
      <c r="I99" s="13" t="s">
        <v>270</v>
      </c>
      <c r="J99" s="15"/>
      <c r="K99" s="15"/>
      <c r="L99" s="15"/>
      <c r="M99" s="15"/>
      <c r="N99" s="15"/>
      <c r="O99" s="16" t="str">
        <f aca="false">IFERROR(INDEX(Lists!$B$3:$B$7,MATCH(K99,Lists!$A$3:$A$7,0)),"")</f>
        <v/>
      </c>
      <c r="P99" s="16" t="str">
        <f aca="false">IFERROR(INDEX('Evidence Pulls'!$N$6:$N$125,MATCH($J99,'Evidence Pulls'!$A$6:$A$125,0)),"")</f>
        <v/>
      </c>
      <c r="Q99" s="16" t="str">
        <f aca="false">IFERROR(INDEX('Evidence Pulls'!$G$6:$G$125,MATCH($J99,'Evidence Pulls'!$A$6:$A$125,0)),"")</f>
        <v/>
      </c>
      <c r="R99" s="16" t="str">
        <f aca="false">IFERROR(INDEX('Evidence Pulls'!$O$6:$O$125,MATCH($J99,'Evidence Pulls'!$A$6:$A$125,0)),"")</f>
        <v/>
      </c>
      <c r="S99" s="16" t="str">
        <f aca="false">IF(L99&lt;&gt;"",L99,IF(K99="","Not assessed",IF(N(O99)&gt;=3,"Demonstrated","Gap - remediate")))</f>
        <v>Not assessed</v>
      </c>
      <c r="T99" s="16" t="str">
        <f aca="false">IF(J99="","No evidence pull assigned",IF(COUNTIF('Evidence Pulls'!$A$6:$A$125,J99)=0,"Pull ID not on Evidence Pulls sheet",IF(K99="","Not graded",IF(AND(G99="MANDATORY",L99="Gap - recommend tailoring"),"INVALID: safety-mandatory, not tailorable",IF(OR(P99="",P99=0),"NO NAMED EXECUTOR",IF(AND(H99="Full",N(O99)&gt;=3,N(IFERROR(INDEX('Evidence Pulls'!$J$6:$J$125,MATCH($J99,'Evidence Pulls'!$A$6:$A$125,0)),""))=0),"Operating claimed with no sample",IF(AND(N(O99)&gt;=3,P99=1),"Operating rests on one individual",IF(AND(G99="MANDATORY",N(O99)&lt;3),"SAFETY GATE: below Operating","OK"))))))))</f>
        <v>No evidence pull assigned</v>
      </c>
    </row>
    <row r="100" customFormat="false" ht="22.35" hidden="false" customHeight="false" outlineLevel="0" collapsed="false">
      <c r="A100" s="17" t="s">
        <v>273</v>
      </c>
      <c r="B100" s="17" t="s">
        <v>267</v>
      </c>
      <c r="C100" s="17" t="s">
        <v>268</v>
      </c>
      <c r="D100" s="17" t="s">
        <v>269</v>
      </c>
      <c r="E100" s="17" t="s">
        <v>162</v>
      </c>
      <c r="F100" s="17"/>
      <c r="G100" s="18" t="s">
        <v>107</v>
      </c>
      <c r="H100" s="18" t="s">
        <v>108</v>
      </c>
      <c r="I100" s="17" t="s">
        <v>270</v>
      </c>
      <c r="J100" s="15"/>
      <c r="K100" s="15"/>
      <c r="L100" s="15"/>
      <c r="M100" s="15"/>
      <c r="N100" s="15"/>
      <c r="O100" s="16" t="str">
        <f aca="false">IFERROR(INDEX(Lists!$B$3:$B$7,MATCH(K100,Lists!$A$3:$A$7,0)),"")</f>
        <v/>
      </c>
      <c r="P100" s="16" t="str">
        <f aca="false">IFERROR(INDEX('Evidence Pulls'!$N$6:$N$125,MATCH($J100,'Evidence Pulls'!$A$6:$A$125,0)),"")</f>
        <v/>
      </c>
      <c r="Q100" s="16" t="str">
        <f aca="false">IFERROR(INDEX('Evidence Pulls'!$G$6:$G$125,MATCH($J100,'Evidence Pulls'!$A$6:$A$125,0)),"")</f>
        <v/>
      </c>
      <c r="R100" s="16" t="str">
        <f aca="false">IFERROR(INDEX('Evidence Pulls'!$O$6:$O$125,MATCH($J100,'Evidence Pulls'!$A$6:$A$125,0)),"")</f>
        <v/>
      </c>
      <c r="S100" s="16" t="str">
        <f aca="false">IF(L100&lt;&gt;"",L100,IF(K100="","Not assessed",IF(N(O100)&gt;=3,"Demonstrated","Gap - remediate")))</f>
        <v>Not assessed</v>
      </c>
      <c r="T100" s="16" t="str">
        <f aca="false">IF(J100="","No evidence pull assigned",IF(COUNTIF('Evidence Pulls'!$A$6:$A$125,J100)=0,"Pull ID not on Evidence Pulls sheet",IF(K100="","Not graded",IF(AND(G100="MANDATORY",L100="Gap - recommend tailoring"),"INVALID: safety-mandatory, not tailorable",IF(OR(P100="",P100=0),"NO NAMED EXECUTOR",IF(AND(H100="Full",N(O100)&gt;=3,N(IFERROR(INDEX('Evidence Pulls'!$J$6:$J$125,MATCH($J100,'Evidence Pulls'!$A$6:$A$125,0)),""))=0),"Operating claimed with no sample",IF(AND(N(O100)&gt;=3,P100=1),"Operating rests on one individual",IF(AND(G100="MANDATORY",N(O100)&lt;3),"SAFETY GATE: below Operating","OK"))))))))</f>
        <v>No evidence pull assigned</v>
      </c>
    </row>
    <row r="101" customFormat="false" ht="22.35" hidden="false" customHeight="false" outlineLevel="0" collapsed="false">
      <c r="A101" s="13" t="s">
        <v>274</v>
      </c>
      <c r="B101" s="13" t="s">
        <v>267</v>
      </c>
      <c r="C101" s="13" t="s">
        <v>268</v>
      </c>
      <c r="D101" s="13" t="s">
        <v>269</v>
      </c>
      <c r="E101" s="13" t="s">
        <v>164</v>
      </c>
      <c r="F101" s="14"/>
      <c r="G101" s="13"/>
      <c r="H101" s="13" t="s">
        <v>103</v>
      </c>
      <c r="I101" s="13" t="s">
        <v>270</v>
      </c>
      <c r="J101" s="15"/>
      <c r="K101" s="15"/>
      <c r="L101" s="15"/>
      <c r="M101" s="15"/>
      <c r="N101" s="15"/>
      <c r="O101" s="16" t="str">
        <f aca="false">IFERROR(INDEX(Lists!$B$3:$B$7,MATCH(K101,Lists!$A$3:$A$7,0)),"")</f>
        <v/>
      </c>
      <c r="P101" s="16" t="str">
        <f aca="false">IFERROR(INDEX('Evidence Pulls'!$N$6:$N$125,MATCH($J101,'Evidence Pulls'!$A$6:$A$125,0)),"")</f>
        <v/>
      </c>
      <c r="Q101" s="16" t="str">
        <f aca="false">IFERROR(INDEX('Evidence Pulls'!$G$6:$G$125,MATCH($J101,'Evidence Pulls'!$A$6:$A$125,0)),"")</f>
        <v/>
      </c>
      <c r="R101" s="16" t="str">
        <f aca="false">IFERROR(INDEX('Evidence Pulls'!$O$6:$O$125,MATCH($J101,'Evidence Pulls'!$A$6:$A$125,0)),"")</f>
        <v/>
      </c>
      <c r="S101" s="16" t="str">
        <f aca="false">IF(L101&lt;&gt;"",L101,IF(K101="","Not assessed",IF(N(O101)&gt;=3,"Demonstrated","Gap - remediate")))</f>
        <v>Not assessed</v>
      </c>
      <c r="T101" s="16" t="str">
        <f aca="false">IF(J101="","No evidence pull assigned",IF(COUNTIF('Evidence Pulls'!$A$6:$A$125,J101)=0,"Pull ID not on Evidence Pulls sheet",IF(K101="","Not graded",IF(AND(G101="MANDATORY",L101="Gap - recommend tailoring"),"INVALID: safety-mandatory, not tailorable",IF(OR(P101="",P101=0),"NO NAMED EXECUTOR",IF(AND(H101="Full",N(O101)&gt;=3,N(IFERROR(INDEX('Evidence Pulls'!$J$6:$J$125,MATCH($J101,'Evidence Pulls'!$A$6:$A$125,0)),""))=0),"Operating claimed with no sample",IF(AND(N(O101)&gt;=3,P101=1),"Operating rests on one individual",IF(AND(G101="MANDATORY",N(O101)&lt;3),"SAFETY GATE: below Operating","OK"))))))))</f>
        <v>No evidence pull assigned</v>
      </c>
    </row>
    <row r="102" customFormat="false" ht="22.35" hidden="false" customHeight="false" outlineLevel="0" collapsed="false">
      <c r="A102" s="17" t="s">
        <v>275</v>
      </c>
      <c r="B102" s="17" t="s">
        <v>267</v>
      </c>
      <c r="C102" s="17" t="s">
        <v>268</v>
      </c>
      <c r="D102" s="17" t="s">
        <v>269</v>
      </c>
      <c r="E102" s="17" t="s">
        <v>166</v>
      </c>
      <c r="F102" s="17"/>
      <c r="G102" s="18" t="s">
        <v>107</v>
      </c>
      <c r="H102" s="18" t="s">
        <v>108</v>
      </c>
      <c r="I102" s="17" t="s">
        <v>270</v>
      </c>
      <c r="J102" s="15"/>
      <c r="K102" s="15"/>
      <c r="L102" s="15"/>
      <c r="M102" s="15"/>
      <c r="N102" s="15"/>
      <c r="O102" s="16" t="str">
        <f aca="false">IFERROR(INDEX(Lists!$B$3:$B$7,MATCH(K102,Lists!$A$3:$A$7,0)),"")</f>
        <v/>
      </c>
      <c r="P102" s="16" t="str">
        <f aca="false">IFERROR(INDEX('Evidence Pulls'!$N$6:$N$125,MATCH($J102,'Evidence Pulls'!$A$6:$A$125,0)),"")</f>
        <v/>
      </c>
      <c r="Q102" s="16" t="str">
        <f aca="false">IFERROR(INDEX('Evidence Pulls'!$G$6:$G$125,MATCH($J102,'Evidence Pulls'!$A$6:$A$125,0)),"")</f>
        <v/>
      </c>
      <c r="R102" s="16" t="str">
        <f aca="false">IFERROR(INDEX('Evidence Pulls'!$O$6:$O$125,MATCH($J102,'Evidence Pulls'!$A$6:$A$125,0)),"")</f>
        <v/>
      </c>
      <c r="S102" s="16" t="str">
        <f aca="false">IF(L102&lt;&gt;"",L102,IF(K102="","Not assessed",IF(N(O102)&gt;=3,"Demonstrated","Gap - remediate")))</f>
        <v>Not assessed</v>
      </c>
      <c r="T102" s="16" t="str">
        <f aca="false">IF(J102="","No evidence pull assigned",IF(COUNTIF('Evidence Pulls'!$A$6:$A$125,J102)=0,"Pull ID not on Evidence Pulls sheet",IF(K102="","Not graded",IF(AND(G102="MANDATORY",L102="Gap - recommend tailoring"),"INVALID: safety-mandatory, not tailorable",IF(OR(P102="",P102=0),"NO NAMED EXECUTOR",IF(AND(H102="Full",N(O102)&gt;=3,N(IFERROR(INDEX('Evidence Pulls'!$J$6:$J$125,MATCH($J102,'Evidence Pulls'!$A$6:$A$125,0)),""))=0),"Operating claimed with no sample",IF(AND(N(O102)&gt;=3,P102=1),"Operating rests on one individual",IF(AND(G102="MANDATORY",N(O102)&lt;3),"SAFETY GATE: below Operating","OK"))))))))</f>
        <v>No evidence pull assigned</v>
      </c>
    </row>
    <row r="103" customFormat="false" ht="22.35" hidden="false" customHeight="false" outlineLevel="0" collapsed="false">
      <c r="A103" s="17" t="s">
        <v>276</v>
      </c>
      <c r="B103" s="17" t="s">
        <v>267</v>
      </c>
      <c r="C103" s="17" t="s">
        <v>268</v>
      </c>
      <c r="D103" s="17" t="s">
        <v>269</v>
      </c>
      <c r="E103" s="17" t="s">
        <v>168</v>
      </c>
      <c r="F103" s="17"/>
      <c r="G103" s="18" t="s">
        <v>107</v>
      </c>
      <c r="H103" s="18" t="s">
        <v>108</v>
      </c>
      <c r="I103" s="17" t="s">
        <v>270</v>
      </c>
      <c r="J103" s="15"/>
      <c r="K103" s="15"/>
      <c r="L103" s="15"/>
      <c r="M103" s="15"/>
      <c r="N103" s="15"/>
      <c r="O103" s="16" t="str">
        <f aca="false">IFERROR(INDEX(Lists!$B$3:$B$7,MATCH(K103,Lists!$A$3:$A$7,0)),"")</f>
        <v/>
      </c>
      <c r="P103" s="16" t="str">
        <f aca="false">IFERROR(INDEX('Evidence Pulls'!$N$6:$N$125,MATCH($J103,'Evidence Pulls'!$A$6:$A$125,0)),"")</f>
        <v/>
      </c>
      <c r="Q103" s="16" t="str">
        <f aca="false">IFERROR(INDEX('Evidence Pulls'!$G$6:$G$125,MATCH($J103,'Evidence Pulls'!$A$6:$A$125,0)),"")</f>
        <v/>
      </c>
      <c r="R103" s="16" t="str">
        <f aca="false">IFERROR(INDEX('Evidence Pulls'!$O$6:$O$125,MATCH($J103,'Evidence Pulls'!$A$6:$A$125,0)),"")</f>
        <v/>
      </c>
      <c r="S103" s="16" t="str">
        <f aca="false">IF(L103&lt;&gt;"",L103,IF(K103="","Not assessed",IF(N(O103)&gt;=3,"Demonstrated","Gap - remediate")))</f>
        <v>Not assessed</v>
      </c>
      <c r="T103" s="16" t="str">
        <f aca="false">IF(J103="","No evidence pull assigned",IF(COUNTIF('Evidence Pulls'!$A$6:$A$125,J103)=0,"Pull ID not on Evidence Pulls sheet",IF(K103="","Not graded",IF(AND(G103="MANDATORY",L103="Gap - recommend tailoring"),"INVALID: safety-mandatory, not tailorable",IF(OR(P103="",P103=0),"NO NAMED EXECUTOR",IF(AND(H103="Full",N(O103)&gt;=3,N(IFERROR(INDEX('Evidence Pulls'!$J$6:$J$125,MATCH($J103,'Evidence Pulls'!$A$6:$A$125,0)),""))=0),"Operating claimed with no sample",IF(AND(N(O103)&gt;=3,P103=1),"Operating rests on one individual",IF(AND(G103="MANDATORY",N(O103)&lt;3),"SAFETY GATE: below Operating","OK"))))))))</f>
        <v>No evidence pull assigned</v>
      </c>
    </row>
    <row r="104" customFormat="false" ht="22.35" hidden="false" customHeight="false" outlineLevel="0" collapsed="false">
      <c r="A104" s="13" t="s">
        <v>277</v>
      </c>
      <c r="B104" s="13" t="s">
        <v>267</v>
      </c>
      <c r="C104" s="13" t="s">
        <v>268</v>
      </c>
      <c r="D104" s="13" t="s">
        <v>269</v>
      </c>
      <c r="E104" s="13" t="s">
        <v>170</v>
      </c>
      <c r="F104" s="14"/>
      <c r="G104" s="13"/>
      <c r="H104" s="13" t="s">
        <v>103</v>
      </c>
      <c r="I104" s="13" t="s">
        <v>270</v>
      </c>
      <c r="J104" s="15"/>
      <c r="K104" s="15"/>
      <c r="L104" s="15"/>
      <c r="M104" s="15"/>
      <c r="N104" s="15"/>
      <c r="O104" s="16" t="str">
        <f aca="false">IFERROR(INDEX(Lists!$B$3:$B$7,MATCH(K104,Lists!$A$3:$A$7,0)),"")</f>
        <v/>
      </c>
      <c r="P104" s="16" t="str">
        <f aca="false">IFERROR(INDEX('Evidence Pulls'!$N$6:$N$125,MATCH($J104,'Evidence Pulls'!$A$6:$A$125,0)),"")</f>
        <v/>
      </c>
      <c r="Q104" s="16" t="str">
        <f aca="false">IFERROR(INDEX('Evidence Pulls'!$G$6:$G$125,MATCH($J104,'Evidence Pulls'!$A$6:$A$125,0)),"")</f>
        <v/>
      </c>
      <c r="R104" s="16" t="str">
        <f aca="false">IFERROR(INDEX('Evidence Pulls'!$O$6:$O$125,MATCH($J104,'Evidence Pulls'!$A$6:$A$125,0)),"")</f>
        <v/>
      </c>
      <c r="S104" s="16" t="str">
        <f aca="false">IF(L104&lt;&gt;"",L104,IF(K104="","Not assessed",IF(N(O104)&gt;=3,"Demonstrated","Gap - remediate")))</f>
        <v>Not assessed</v>
      </c>
      <c r="T104" s="16" t="str">
        <f aca="false">IF(J104="","No evidence pull assigned",IF(COUNTIF('Evidence Pulls'!$A$6:$A$125,J104)=0,"Pull ID not on Evidence Pulls sheet",IF(K104="","Not graded",IF(AND(G104="MANDATORY",L104="Gap - recommend tailoring"),"INVALID: safety-mandatory, not tailorable",IF(OR(P104="",P104=0),"NO NAMED EXECUTOR",IF(AND(H104="Full",N(O104)&gt;=3,N(IFERROR(INDEX('Evidence Pulls'!$J$6:$J$125,MATCH($J104,'Evidence Pulls'!$A$6:$A$125,0)),""))=0),"Operating claimed with no sample",IF(AND(N(O104)&gt;=3,P104=1),"Operating rests on one individual",IF(AND(G104="MANDATORY",N(O104)&lt;3),"SAFETY GATE: below Operating","OK"))))))))</f>
        <v>No evidence pull assigned</v>
      </c>
    </row>
    <row r="105" customFormat="false" ht="22.35" hidden="false" customHeight="false" outlineLevel="0" collapsed="false">
      <c r="A105" s="17" t="s">
        <v>278</v>
      </c>
      <c r="B105" s="17" t="s">
        <v>267</v>
      </c>
      <c r="C105" s="17" t="s">
        <v>268</v>
      </c>
      <c r="D105" s="17" t="s">
        <v>269</v>
      </c>
      <c r="E105" s="17" t="s">
        <v>110</v>
      </c>
      <c r="F105" s="17"/>
      <c r="G105" s="18" t="s">
        <v>107</v>
      </c>
      <c r="H105" s="18" t="s">
        <v>108</v>
      </c>
      <c r="I105" s="17" t="s">
        <v>270</v>
      </c>
      <c r="J105" s="15"/>
      <c r="K105" s="15"/>
      <c r="L105" s="15"/>
      <c r="M105" s="15"/>
      <c r="N105" s="15"/>
      <c r="O105" s="16" t="str">
        <f aca="false">IFERROR(INDEX(Lists!$B$3:$B$7,MATCH(K105,Lists!$A$3:$A$7,0)),"")</f>
        <v/>
      </c>
      <c r="P105" s="16" t="str">
        <f aca="false">IFERROR(INDEX('Evidence Pulls'!$N$6:$N$125,MATCH($J105,'Evidence Pulls'!$A$6:$A$125,0)),"")</f>
        <v/>
      </c>
      <c r="Q105" s="16" t="str">
        <f aca="false">IFERROR(INDEX('Evidence Pulls'!$G$6:$G$125,MATCH($J105,'Evidence Pulls'!$A$6:$A$125,0)),"")</f>
        <v/>
      </c>
      <c r="R105" s="16" t="str">
        <f aca="false">IFERROR(INDEX('Evidence Pulls'!$O$6:$O$125,MATCH($J105,'Evidence Pulls'!$A$6:$A$125,0)),"")</f>
        <v/>
      </c>
      <c r="S105" s="16" t="str">
        <f aca="false">IF(L105&lt;&gt;"",L105,IF(K105="","Not assessed",IF(N(O105)&gt;=3,"Demonstrated","Gap - remediate")))</f>
        <v>Not assessed</v>
      </c>
      <c r="T105" s="16" t="str">
        <f aca="false">IF(J105="","No evidence pull assigned",IF(COUNTIF('Evidence Pulls'!$A$6:$A$125,J105)=0,"Pull ID not on Evidence Pulls sheet",IF(K105="","Not graded",IF(AND(G105="MANDATORY",L105="Gap - recommend tailoring"),"INVALID: safety-mandatory, not tailorable",IF(OR(P105="",P105=0),"NO NAMED EXECUTOR",IF(AND(H105="Full",N(O105)&gt;=3,N(IFERROR(INDEX('Evidence Pulls'!$J$6:$J$125,MATCH($J105,'Evidence Pulls'!$A$6:$A$125,0)),""))=0),"Operating claimed with no sample",IF(AND(N(O105)&gt;=3,P105=1),"Operating rests on one individual",IF(AND(G105="MANDATORY",N(O105)&lt;3),"SAFETY GATE: below Operating","OK"))))))))</f>
        <v>No evidence pull assigned</v>
      </c>
    </row>
    <row r="106" customFormat="false" ht="22.35" hidden="false" customHeight="false" outlineLevel="0" collapsed="false">
      <c r="A106" s="17" t="s">
        <v>279</v>
      </c>
      <c r="B106" s="17" t="s">
        <v>267</v>
      </c>
      <c r="C106" s="17" t="s">
        <v>280</v>
      </c>
      <c r="D106" s="17" t="s">
        <v>281</v>
      </c>
      <c r="E106" s="17" t="s">
        <v>102</v>
      </c>
      <c r="F106" s="17"/>
      <c r="G106" s="18" t="s">
        <v>107</v>
      </c>
      <c r="H106" s="18" t="s">
        <v>108</v>
      </c>
      <c r="I106" s="17" t="s">
        <v>270</v>
      </c>
      <c r="J106" s="15"/>
      <c r="K106" s="15"/>
      <c r="L106" s="15"/>
      <c r="M106" s="15"/>
      <c r="N106" s="15"/>
      <c r="O106" s="16" t="str">
        <f aca="false">IFERROR(INDEX(Lists!$B$3:$B$7,MATCH(K106,Lists!$A$3:$A$7,0)),"")</f>
        <v/>
      </c>
      <c r="P106" s="16" t="str">
        <f aca="false">IFERROR(INDEX('Evidence Pulls'!$N$6:$N$125,MATCH($J106,'Evidence Pulls'!$A$6:$A$125,0)),"")</f>
        <v/>
      </c>
      <c r="Q106" s="16" t="str">
        <f aca="false">IFERROR(INDEX('Evidence Pulls'!$G$6:$G$125,MATCH($J106,'Evidence Pulls'!$A$6:$A$125,0)),"")</f>
        <v/>
      </c>
      <c r="R106" s="16" t="str">
        <f aca="false">IFERROR(INDEX('Evidence Pulls'!$O$6:$O$125,MATCH($J106,'Evidence Pulls'!$A$6:$A$125,0)),"")</f>
        <v/>
      </c>
      <c r="S106" s="16" t="str">
        <f aca="false">IF(L106&lt;&gt;"",L106,IF(K106="","Not assessed",IF(N(O106)&gt;=3,"Demonstrated","Gap - remediate")))</f>
        <v>Not assessed</v>
      </c>
      <c r="T106" s="16" t="str">
        <f aca="false">IF(J106="","No evidence pull assigned",IF(COUNTIF('Evidence Pulls'!$A$6:$A$125,J106)=0,"Pull ID not on Evidence Pulls sheet",IF(K106="","Not graded",IF(AND(G106="MANDATORY",L106="Gap - recommend tailoring"),"INVALID: safety-mandatory, not tailorable",IF(OR(P106="",P106=0),"NO NAMED EXECUTOR",IF(AND(H106="Full",N(O106)&gt;=3,N(IFERROR(INDEX('Evidence Pulls'!$J$6:$J$125,MATCH($J106,'Evidence Pulls'!$A$6:$A$125,0)),""))=0),"Operating claimed with no sample",IF(AND(N(O106)&gt;=3,P106=1),"Operating rests on one individual",IF(AND(G106="MANDATORY",N(O106)&lt;3),"SAFETY GATE: below Operating","OK"))))))))</f>
        <v>No evidence pull assigned</v>
      </c>
    </row>
    <row r="107" customFormat="false" ht="22.35" hidden="false" customHeight="false" outlineLevel="0" collapsed="false">
      <c r="A107" s="17" t="s">
        <v>282</v>
      </c>
      <c r="B107" s="17" t="s">
        <v>267</v>
      </c>
      <c r="C107" s="17" t="s">
        <v>283</v>
      </c>
      <c r="D107" s="17" t="s">
        <v>284</v>
      </c>
      <c r="E107" s="17" t="s">
        <v>117</v>
      </c>
      <c r="F107" s="17"/>
      <c r="G107" s="18" t="s">
        <v>107</v>
      </c>
      <c r="H107" s="18" t="s">
        <v>108</v>
      </c>
      <c r="I107" s="17" t="s">
        <v>270</v>
      </c>
      <c r="J107" s="15"/>
      <c r="K107" s="15"/>
      <c r="L107" s="15"/>
      <c r="M107" s="15"/>
      <c r="N107" s="15"/>
      <c r="O107" s="16" t="str">
        <f aca="false">IFERROR(INDEX(Lists!$B$3:$B$7,MATCH(K107,Lists!$A$3:$A$7,0)),"")</f>
        <v/>
      </c>
      <c r="P107" s="16" t="str">
        <f aca="false">IFERROR(INDEX('Evidence Pulls'!$N$6:$N$125,MATCH($J107,'Evidence Pulls'!$A$6:$A$125,0)),"")</f>
        <v/>
      </c>
      <c r="Q107" s="16" t="str">
        <f aca="false">IFERROR(INDEX('Evidence Pulls'!$G$6:$G$125,MATCH($J107,'Evidence Pulls'!$A$6:$A$125,0)),"")</f>
        <v/>
      </c>
      <c r="R107" s="16" t="str">
        <f aca="false">IFERROR(INDEX('Evidence Pulls'!$O$6:$O$125,MATCH($J107,'Evidence Pulls'!$A$6:$A$125,0)),"")</f>
        <v/>
      </c>
      <c r="S107" s="16" t="str">
        <f aca="false">IF(L107&lt;&gt;"",L107,IF(K107="","Not assessed",IF(N(O107)&gt;=3,"Demonstrated","Gap - remediate")))</f>
        <v>Not assessed</v>
      </c>
      <c r="T107" s="16" t="str">
        <f aca="false">IF(J107="","No evidence pull assigned",IF(COUNTIF('Evidence Pulls'!$A$6:$A$125,J107)=0,"Pull ID not on Evidence Pulls sheet",IF(K107="","Not graded",IF(AND(G107="MANDATORY",L107="Gap - recommend tailoring"),"INVALID: safety-mandatory, not tailorable",IF(OR(P107="",P107=0),"NO NAMED EXECUTOR",IF(AND(H107="Full",N(O107)&gt;=3,N(IFERROR(INDEX('Evidence Pulls'!$J$6:$J$125,MATCH($J107,'Evidence Pulls'!$A$6:$A$125,0)),""))=0),"Operating claimed with no sample",IF(AND(N(O107)&gt;=3,P107=1),"Operating rests on one individual",IF(AND(G107="MANDATORY",N(O107)&lt;3),"SAFETY GATE: below Operating","OK"))))))))</f>
        <v>No evidence pull assigned</v>
      </c>
    </row>
    <row r="108" customFormat="false" ht="22.35" hidden="false" customHeight="false" outlineLevel="0" collapsed="false">
      <c r="A108" s="13" t="s">
        <v>285</v>
      </c>
      <c r="B108" s="13" t="s">
        <v>267</v>
      </c>
      <c r="C108" s="13" t="s">
        <v>283</v>
      </c>
      <c r="D108" s="13" t="s">
        <v>284</v>
      </c>
      <c r="E108" s="13" t="s">
        <v>119</v>
      </c>
      <c r="F108" s="14"/>
      <c r="G108" s="13"/>
      <c r="H108" s="13" t="s">
        <v>103</v>
      </c>
      <c r="I108" s="13" t="s">
        <v>270</v>
      </c>
      <c r="J108" s="15"/>
      <c r="K108" s="15"/>
      <c r="L108" s="15"/>
      <c r="M108" s="15"/>
      <c r="N108" s="15"/>
      <c r="O108" s="16" t="str">
        <f aca="false">IFERROR(INDEX(Lists!$B$3:$B$7,MATCH(K108,Lists!$A$3:$A$7,0)),"")</f>
        <v/>
      </c>
      <c r="P108" s="16" t="str">
        <f aca="false">IFERROR(INDEX('Evidence Pulls'!$N$6:$N$125,MATCH($J108,'Evidence Pulls'!$A$6:$A$125,0)),"")</f>
        <v/>
      </c>
      <c r="Q108" s="16" t="str">
        <f aca="false">IFERROR(INDEX('Evidence Pulls'!$G$6:$G$125,MATCH($J108,'Evidence Pulls'!$A$6:$A$125,0)),"")</f>
        <v/>
      </c>
      <c r="R108" s="16" t="str">
        <f aca="false">IFERROR(INDEX('Evidence Pulls'!$O$6:$O$125,MATCH($J108,'Evidence Pulls'!$A$6:$A$125,0)),"")</f>
        <v/>
      </c>
      <c r="S108" s="16" t="str">
        <f aca="false">IF(L108&lt;&gt;"",L108,IF(K108="","Not assessed",IF(N(O108)&gt;=3,"Demonstrated","Gap - remediate")))</f>
        <v>Not assessed</v>
      </c>
      <c r="T108" s="16" t="str">
        <f aca="false">IF(J108="","No evidence pull assigned",IF(COUNTIF('Evidence Pulls'!$A$6:$A$125,J108)=0,"Pull ID not on Evidence Pulls sheet",IF(K108="","Not graded",IF(AND(G108="MANDATORY",L108="Gap - recommend tailoring"),"INVALID: safety-mandatory, not tailorable",IF(OR(P108="",P108=0),"NO NAMED EXECUTOR",IF(AND(H108="Full",N(O108)&gt;=3,N(IFERROR(INDEX('Evidence Pulls'!$J$6:$J$125,MATCH($J108,'Evidence Pulls'!$A$6:$A$125,0)),""))=0),"Operating claimed with no sample",IF(AND(N(O108)&gt;=3,P108=1),"Operating rests on one individual",IF(AND(G108="MANDATORY",N(O108)&lt;3),"SAFETY GATE: below Operating","OK"))))))))</f>
        <v>No evidence pull assigned</v>
      </c>
    </row>
    <row r="109" customFormat="false" ht="22.35" hidden="false" customHeight="false" outlineLevel="0" collapsed="false">
      <c r="A109" s="17" t="s">
        <v>286</v>
      </c>
      <c r="B109" s="17" t="s">
        <v>267</v>
      </c>
      <c r="C109" s="17" t="s">
        <v>283</v>
      </c>
      <c r="D109" s="17" t="s">
        <v>284</v>
      </c>
      <c r="E109" s="17" t="s">
        <v>121</v>
      </c>
      <c r="F109" s="17"/>
      <c r="G109" s="18" t="s">
        <v>107</v>
      </c>
      <c r="H109" s="18" t="s">
        <v>108</v>
      </c>
      <c r="I109" s="17" t="s">
        <v>270</v>
      </c>
      <c r="J109" s="15"/>
      <c r="K109" s="15"/>
      <c r="L109" s="15"/>
      <c r="M109" s="15"/>
      <c r="N109" s="15"/>
      <c r="O109" s="16" t="str">
        <f aca="false">IFERROR(INDEX(Lists!$B$3:$B$7,MATCH(K109,Lists!$A$3:$A$7,0)),"")</f>
        <v/>
      </c>
      <c r="P109" s="16" t="str">
        <f aca="false">IFERROR(INDEX('Evidence Pulls'!$N$6:$N$125,MATCH($J109,'Evidence Pulls'!$A$6:$A$125,0)),"")</f>
        <v/>
      </c>
      <c r="Q109" s="16" t="str">
        <f aca="false">IFERROR(INDEX('Evidence Pulls'!$G$6:$G$125,MATCH($J109,'Evidence Pulls'!$A$6:$A$125,0)),"")</f>
        <v/>
      </c>
      <c r="R109" s="16" t="str">
        <f aca="false">IFERROR(INDEX('Evidence Pulls'!$O$6:$O$125,MATCH($J109,'Evidence Pulls'!$A$6:$A$125,0)),"")</f>
        <v/>
      </c>
      <c r="S109" s="16" t="str">
        <f aca="false">IF(L109&lt;&gt;"",L109,IF(K109="","Not assessed",IF(N(O109)&gt;=3,"Demonstrated","Gap - remediate")))</f>
        <v>Not assessed</v>
      </c>
      <c r="T109" s="16" t="str">
        <f aca="false">IF(J109="","No evidence pull assigned",IF(COUNTIF('Evidence Pulls'!$A$6:$A$125,J109)=0,"Pull ID not on Evidence Pulls sheet",IF(K109="","Not graded",IF(AND(G109="MANDATORY",L109="Gap - recommend tailoring"),"INVALID: safety-mandatory, not tailorable",IF(OR(P109="",P109=0),"NO NAMED EXECUTOR",IF(AND(H109="Full",N(O109)&gt;=3,N(IFERROR(INDEX('Evidence Pulls'!$J$6:$J$125,MATCH($J109,'Evidence Pulls'!$A$6:$A$125,0)),""))=0),"Operating claimed with no sample",IF(AND(N(O109)&gt;=3,P109=1),"Operating rests on one individual",IF(AND(G109="MANDATORY",N(O109)&lt;3),"SAFETY GATE: below Operating","OK"))))))))</f>
        <v>No evidence pull assigned</v>
      </c>
    </row>
    <row r="110" customFormat="false" ht="22.35" hidden="false" customHeight="false" outlineLevel="0" collapsed="false">
      <c r="A110" s="13" t="s">
        <v>287</v>
      </c>
      <c r="B110" s="13" t="s">
        <v>267</v>
      </c>
      <c r="C110" s="13" t="s">
        <v>283</v>
      </c>
      <c r="D110" s="13" t="s">
        <v>284</v>
      </c>
      <c r="E110" s="13" t="s">
        <v>123</v>
      </c>
      <c r="F110" s="14"/>
      <c r="G110" s="13"/>
      <c r="H110" s="13" t="s">
        <v>103</v>
      </c>
      <c r="I110" s="13" t="s">
        <v>270</v>
      </c>
      <c r="J110" s="15"/>
      <c r="K110" s="15"/>
      <c r="L110" s="15"/>
      <c r="M110" s="15"/>
      <c r="N110" s="15"/>
      <c r="O110" s="16" t="str">
        <f aca="false">IFERROR(INDEX(Lists!$B$3:$B$7,MATCH(K110,Lists!$A$3:$A$7,0)),"")</f>
        <v/>
      </c>
      <c r="P110" s="16" t="str">
        <f aca="false">IFERROR(INDEX('Evidence Pulls'!$N$6:$N$125,MATCH($J110,'Evidence Pulls'!$A$6:$A$125,0)),"")</f>
        <v/>
      </c>
      <c r="Q110" s="16" t="str">
        <f aca="false">IFERROR(INDEX('Evidence Pulls'!$G$6:$G$125,MATCH($J110,'Evidence Pulls'!$A$6:$A$125,0)),"")</f>
        <v/>
      </c>
      <c r="R110" s="16" t="str">
        <f aca="false">IFERROR(INDEX('Evidence Pulls'!$O$6:$O$125,MATCH($J110,'Evidence Pulls'!$A$6:$A$125,0)),"")</f>
        <v/>
      </c>
      <c r="S110" s="16" t="str">
        <f aca="false">IF(L110&lt;&gt;"",L110,IF(K110="","Not assessed",IF(N(O110)&gt;=3,"Demonstrated","Gap - remediate")))</f>
        <v>Not assessed</v>
      </c>
      <c r="T110" s="16" t="str">
        <f aca="false">IF(J110="","No evidence pull assigned",IF(COUNTIF('Evidence Pulls'!$A$6:$A$125,J110)=0,"Pull ID not on Evidence Pulls sheet",IF(K110="","Not graded",IF(AND(G110="MANDATORY",L110="Gap - recommend tailoring"),"INVALID: safety-mandatory, not tailorable",IF(OR(P110="",P110=0),"NO NAMED EXECUTOR",IF(AND(H110="Full",N(O110)&gt;=3,N(IFERROR(INDEX('Evidence Pulls'!$J$6:$J$125,MATCH($J110,'Evidence Pulls'!$A$6:$A$125,0)),""))=0),"Operating claimed with no sample",IF(AND(N(O110)&gt;=3,P110=1),"Operating rests on one individual",IF(AND(G110="MANDATORY",N(O110)&lt;3),"SAFETY GATE: below Operating","OK"))))))))</f>
        <v>No evidence pull assigned</v>
      </c>
    </row>
    <row r="111" customFormat="false" ht="22.35" hidden="false" customHeight="false" outlineLevel="0" collapsed="false">
      <c r="A111" s="17" t="s">
        <v>288</v>
      </c>
      <c r="B111" s="17" t="s">
        <v>267</v>
      </c>
      <c r="C111" s="17" t="s">
        <v>283</v>
      </c>
      <c r="D111" s="17" t="s">
        <v>284</v>
      </c>
      <c r="E111" s="17" t="s">
        <v>125</v>
      </c>
      <c r="F111" s="17"/>
      <c r="G111" s="18" t="s">
        <v>107</v>
      </c>
      <c r="H111" s="18" t="s">
        <v>108</v>
      </c>
      <c r="I111" s="17" t="s">
        <v>270</v>
      </c>
      <c r="J111" s="15"/>
      <c r="K111" s="15"/>
      <c r="L111" s="15"/>
      <c r="M111" s="15"/>
      <c r="N111" s="15"/>
      <c r="O111" s="16" t="str">
        <f aca="false">IFERROR(INDEX(Lists!$B$3:$B$7,MATCH(K111,Lists!$A$3:$A$7,0)),"")</f>
        <v/>
      </c>
      <c r="P111" s="16" t="str">
        <f aca="false">IFERROR(INDEX('Evidence Pulls'!$N$6:$N$125,MATCH($J111,'Evidence Pulls'!$A$6:$A$125,0)),"")</f>
        <v/>
      </c>
      <c r="Q111" s="16" t="str">
        <f aca="false">IFERROR(INDEX('Evidence Pulls'!$G$6:$G$125,MATCH($J111,'Evidence Pulls'!$A$6:$A$125,0)),"")</f>
        <v/>
      </c>
      <c r="R111" s="16" t="str">
        <f aca="false">IFERROR(INDEX('Evidence Pulls'!$O$6:$O$125,MATCH($J111,'Evidence Pulls'!$A$6:$A$125,0)),"")</f>
        <v/>
      </c>
      <c r="S111" s="16" t="str">
        <f aca="false">IF(L111&lt;&gt;"",L111,IF(K111="","Not assessed",IF(N(O111)&gt;=3,"Demonstrated","Gap - remediate")))</f>
        <v>Not assessed</v>
      </c>
      <c r="T111" s="16" t="str">
        <f aca="false">IF(J111="","No evidence pull assigned",IF(COUNTIF('Evidence Pulls'!$A$6:$A$125,J111)=0,"Pull ID not on Evidence Pulls sheet",IF(K111="","Not graded",IF(AND(G111="MANDATORY",L111="Gap - recommend tailoring"),"INVALID: safety-mandatory, not tailorable",IF(OR(P111="",P111=0),"NO NAMED EXECUTOR",IF(AND(H111="Full",N(O111)&gt;=3,N(IFERROR(INDEX('Evidence Pulls'!$J$6:$J$125,MATCH($J111,'Evidence Pulls'!$A$6:$A$125,0)),""))=0),"Operating claimed with no sample",IF(AND(N(O111)&gt;=3,P111=1),"Operating rests on one individual",IF(AND(G111="MANDATORY",N(O111)&lt;3),"SAFETY GATE: below Operating","OK"))))))))</f>
        <v>No evidence pull assigned</v>
      </c>
    </row>
    <row r="112" customFormat="false" ht="22.35" hidden="false" customHeight="false" outlineLevel="0" collapsed="false">
      <c r="A112" s="17" t="s">
        <v>289</v>
      </c>
      <c r="B112" s="17" t="s">
        <v>267</v>
      </c>
      <c r="C112" s="17" t="s">
        <v>283</v>
      </c>
      <c r="D112" s="17" t="s">
        <v>284</v>
      </c>
      <c r="E112" s="17" t="s">
        <v>127</v>
      </c>
      <c r="F112" s="17"/>
      <c r="G112" s="18" t="s">
        <v>107</v>
      </c>
      <c r="H112" s="18" t="s">
        <v>108</v>
      </c>
      <c r="I112" s="17" t="s">
        <v>270</v>
      </c>
      <c r="J112" s="15"/>
      <c r="K112" s="15"/>
      <c r="L112" s="15"/>
      <c r="M112" s="15"/>
      <c r="N112" s="15"/>
      <c r="O112" s="16" t="str">
        <f aca="false">IFERROR(INDEX(Lists!$B$3:$B$7,MATCH(K112,Lists!$A$3:$A$7,0)),"")</f>
        <v/>
      </c>
      <c r="P112" s="16" t="str">
        <f aca="false">IFERROR(INDEX('Evidence Pulls'!$N$6:$N$125,MATCH($J112,'Evidence Pulls'!$A$6:$A$125,0)),"")</f>
        <v/>
      </c>
      <c r="Q112" s="16" t="str">
        <f aca="false">IFERROR(INDEX('Evidence Pulls'!$G$6:$G$125,MATCH($J112,'Evidence Pulls'!$A$6:$A$125,0)),"")</f>
        <v/>
      </c>
      <c r="R112" s="16" t="str">
        <f aca="false">IFERROR(INDEX('Evidence Pulls'!$O$6:$O$125,MATCH($J112,'Evidence Pulls'!$A$6:$A$125,0)),"")</f>
        <v/>
      </c>
      <c r="S112" s="16" t="str">
        <f aca="false">IF(L112&lt;&gt;"",L112,IF(K112="","Not assessed",IF(N(O112)&gt;=3,"Demonstrated","Gap - remediate")))</f>
        <v>Not assessed</v>
      </c>
      <c r="T112" s="16" t="str">
        <f aca="false">IF(J112="","No evidence pull assigned",IF(COUNTIF('Evidence Pulls'!$A$6:$A$125,J112)=0,"Pull ID not on Evidence Pulls sheet",IF(K112="","Not graded",IF(AND(G112="MANDATORY",L112="Gap - recommend tailoring"),"INVALID: safety-mandatory, not tailorable",IF(OR(P112="",P112=0),"NO NAMED EXECUTOR",IF(AND(H112="Full",N(O112)&gt;=3,N(IFERROR(INDEX('Evidence Pulls'!$J$6:$J$125,MATCH($J112,'Evidence Pulls'!$A$6:$A$125,0)),""))=0),"Operating claimed with no sample",IF(AND(N(O112)&gt;=3,P112=1),"Operating rests on one individual",IF(AND(G112="MANDATORY",N(O112)&lt;3),"SAFETY GATE: below Operating","OK"))))))))</f>
        <v>No evidence pull assigned</v>
      </c>
    </row>
    <row r="113" customFormat="false" ht="22.35" hidden="false" customHeight="false" outlineLevel="0" collapsed="false">
      <c r="A113" s="17" t="s">
        <v>290</v>
      </c>
      <c r="B113" s="17" t="s">
        <v>267</v>
      </c>
      <c r="C113" s="17" t="s">
        <v>283</v>
      </c>
      <c r="D113" s="17" t="s">
        <v>284</v>
      </c>
      <c r="E113" s="17" t="s">
        <v>129</v>
      </c>
      <c r="F113" s="17"/>
      <c r="G113" s="18" t="s">
        <v>107</v>
      </c>
      <c r="H113" s="18" t="s">
        <v>108</v>
      </c>
      <c r="I113" s="17" t="s">
        <v>270</v>
      </c>
      <c r="J113" s="15"/>
      <c r="K113" s="15"/>
      <c r="L113" s="15"/>
      <c r="M113" s="15"/>
      <c r="N113" s="15"/>
      <c r="O113" s="16" t="str">
        <f aca="false">IFERROR(INDEX(Lists!$B$3:$B$7,MATCH(K113,Lists!$A$3:$A$7,0)),"")</f>
        <v/>
      </c>
      <c r="P113" s="16" t="str">
        <f aca="false">IFERROR(INDEX('Evidence Pulls'!$N$6:$N$125,MATCH($J113,'Evidence Pulls'!$A$6:$A$125,0)),"")</f>
        <v/>
      </c>
      <c r="Q113" s="16" t="str">
        <f aca="false">IFERROR(INDEX('Evidence Pulls'!$G$6:$G$125,MATCH($J113,'Evidence Pulls'!$A$6:$A$125,0)),"")</f>
        <v/>
      </c>
      <c r="R113" s="16" t="str">
        <f aca="false">IFERROR(INDEX('Evidence Pulls'!$O$6:$O$125,MATCH($J113,'Evidence Pulls'!$A$6:$A$125,0)),"")</f>
        <v/>
      </c>
      <c r="S113" s="16" t="str">
        <f aca="false">IF(L113&lt;&gt;"",L113,IF(K113="","Not assessed",IF(N(O113)&gt;=3,"Demonstrated","Gap - remediate")))</f>
        <v>Not assessed</v>
      </c>
      <c r="T113" s="16" t="str">
        <f aca="false">IF(J113="","No evidence pull assigned",IF(COUNTIF('Evidence Pulls'!$A$6:$A$125,J113)=0,"Pull ID not on Evidence Pulls sheet",IF(K113="","Not graded",IF(AND(G113="MANDATORY",L113="Gap - recommend tailoring"),"INVALID: safety-mandatory, not tailorable",IF(OR(P113="",P113=0),"NO NAMED EXECUTOR",IF(AND(H113="Full",N(O113)&gt;=3,N(IFERROR(INDEX('Evidence Pulls'!$J$6:$J$125,MATCH($J113,'Evidence Pulls'!$A$6:$A$125,0)),""))=0),"Operating claimed with no sample",IF(AND(N(O113)&gt;=3,P113=1),"Operating rests on one individual",IF(AND(G113="MANDATORY",N(O113)&lt;3),"SAFETY GATE: below Operating","OK"))))))))</f>
        <v>No evidence pull assigned</v>
      </c>
    </row>
    <row r="114" customFormat="false" ht="22.35" hidden="false" customHeight="false" outlineLevel="0" collapsed="false">
      <c r="A114" s="17" t="s">
        <v>291</v>
      </c>
      <c r="B114" s="17" t="s">
        <v>267</v>
      </c>
      <c r="C114" s="17" t="s">
        <v>283</v>
      </c>
      <c r="D114" s="17" t="s">
        <v>284</v>
      </c>
      <c r="E114" s="17" t="s">
        <v>131</v>
      </c>
      <c r="F114" s="17"/>
      <c r="G114" s="18" t="s">
        <v>107</v>
      </c>
      <c r="H114" s="18" t="s">
        <v>108</v>
      </c>
      <c r="I114" s="17" t="s">
        <v>270</v>
      </c>
      <c r="J114" s="15"/>
      <c r="K114" s="15"/>
      <c r="L114" s="15"/>
      <c r="M114" s="15"/>
      <c r="N114" s="15"/>
      <c r="O114" s="16" t="str">
        <f aca="false">IFERROR(INDEX(Lists!$B$3:$B$7,MATCH(K114,Lists!$A$3:$A$7,0)),"")</f>
        <v/>
      </c>
      <c r="P114" s="16" t="str">
        <f aca="false">IFERROR(INDEX('Evidence Pulls'!$N$6:$N$125,MATCH($J114,'Evidence Pulls'!$A$6:$A$125,0)),"")</f>
        <v/>
      </c>
      <c r="Q114" s="16" t="str">
        <f aca="false">IFERROR(INDEX('Evidence Pulls'!$G$6:$G$125,MATCH($J114,'Evidence Pulls'!$A$6:$A$125,0)),"")</f>
        <v/>
      </c>
      <c r="R114" s="16" t="str">
        <f aca="false">IFERROR(INDEX('Evidence Pulls'!$O$6:$O$125,MATCH($J114,'Evidence Pulls'!$A$6:$A$125,0)),"")</f>
        <v/>
      </c>
      <c r="S114" s="16" t="str">
        <f aca="false">IF(L114&lt;&gt;"",L114,IF(K114="","Not assessed",IF(N(O114)&gt;=3,"Demonstrated","Gap - remediate")))</f>
        <v>Not assessed</v>
      </c>
      <c r="T114" s="16" t="str">
        <f aca="false">IF(J114="","No evidence pull assigned",IF(COUNTIF('Evidence Pulls'!$A$6:$A$125,J114)=0,"Pull ID not on Evidence Pulls sheet",IF(K114="","Not graded",IF(AND(G114="MANDATORY",L114="Gap - recommend tailoring"),"INVALID: safety-mandatory, not tailorable",IF(OR(P114="",P114=0),"NO NAMED EXECUTOR",IF(AND(H114="Full",N(O114)&gt;=3,N(IFERROR(INDEX('Evidence Pulls'!$J$6:$J$125,MATCH($J114,'Evidence Pulls'!$A$6:$A$125,0)),""))=0),"Operating claimed with no sample",IF(AND(N(O114)&gt;=3,P114=1),"Operating rests on one individual",IF(AND(G114="MANDATORY",N(O114)&lt;3),"SAFETY GATE: below Operating","OK"))))))))</f>
        <v>No evidence pull assigned</v>
      </c>
    </row>
    <row r="115" customFormat="false" ht="22.35" hidden="false" customHeight="false" outlineLevel="0" collapsed="false">
      <c r="A115" s="13" t="s">
        <v>292</v>
      </c>
      <c r="B115" s="13" t="s">
        <v>267</v>
      </c>
      <c r="C115" s="13" t="s">
        <v>283</v>
      </c>
      <c r="D115" s="13" t="s">
        <v>284</v>
      </c>
      <c r="E115" s="13" t="s">
        <v>133</v>
      </c>
      <c r="F115" s="14"/>
      <c r="G115" s="13"/>
      <c r="H115" s="13" t="s">
        <v>103</v>
      </c>
      <c r="I115" s="13" t="s">
        <v>270</v>
      </c>
      <c r="J115" s="15"/>
      <c r="K115" s="15"/>
      <c r="L115" s="15"/>
      <c r="M115" s="15"/>
      <c r="N115" s="15"/>
      <c r="O115" s="16" t="str">
        <f aca="false">IFERROR(INDEX(Lists!$B$3:$B$7,MATCH(K115,Lists!$A$3:$A$7,0)),"")</f>
        <v/>
      </c>
      <c r="P115" s="16" t="str">
        <f aca="false">IFERROR(INDEX('Evidence Pulls'!$N$6:$N$125,MATCH($J115,'Evidence Pulls'!$A$6:$A$125,0)),"")</f>
        <v/>
      </c>
      <c r="Q115" s="16" t="str">
        <f aca="false">IFERROR(INDEX('Evidence Pulls'!$G$6:$G$125,MATCH($J115,'Evidence Pulls'!$A$6:$A$125,0)),"")</f>
        <v/>
      </c>
      <c r="R115" s="16" t="str">
        <f aca="false">IFERROR(INDEX('Evidence Pulls'!$O$6:$O$125,MATCH($J115,'Evidence Pulls'!$A$6:$A$125,0)),"")</f>
        <v/>
      </c>
      <c r="S115" s="16" t="str">
        <f aca="false">IF(L115&lt;&gt;"",L115,IF(K115="","Not assessed",IF(N(O115)&gt;=3,"Demonstrated","Gap - remediate")))</f>
        <v>Not assessed</v>
      </c>
      <c r="T115" s="16" t="str">
        <f aca="false">IF(J115="","No evidence pull assigned",IF(COUNTIF('Evidence Pulls'!$A$6:$A$125,J115)=0,"Pull ID not on Evidence Pulls sheet",IF(K115="","Not graded",IF(AND(G115="MANDATORY",L115="Gap - recommend tailoring"),"INVALID: safety-mandatory, not tailorable",IF(OR(P115="",P115=0),"NO NAMED EXECUTOR",IF(AND(H115="Full",N(O115)&gt;=3,N(IFERROR(INDEX('Evidence Pulls'!$J$6:$J$125,MATCH($J115,'Evidence Pulls'!$A$6:$A$125,0)),""))=0),"Operating claimed with no sample",IF(AND(N(O115)&gt;=3,P115=1),"Operating rests on one individual",IF(AND(G115="MANDATORY",N(O115)&lt;3),"SAFETY GATE: below Operating","OK"))))))))</f>
        <v>No evidence pull assigned</v>
      </c>
    </row>
    <row r="116" customFormat="false" ht="22.35" hidden="false" customHeight="false" outlineLevel="0" collapsed="false">
      <c r="A116" s="13" t="s">
        <v>293</v>
      </c>
      <c r="B116" s="13" t="s">
        <v>267</v>
      </c>
      <c r="C116" s="13" t="s">
        <v>283</v>
      </c>
      <c r="D116" s="13" t="s">
        <v>284</v>
      </c>
      <c r="E116" s="13" t="s">
        <v>135</v>
      </c>
      <c r="F116" s="14"/>
      <c r="G116" s="13"/>
      <c r="H116" s="13" t="s">
        <v>103</v>
      </c>
      <c r="I116" s="13" t="s">
        <v>270</v>
      </c>
      <c r="J116" s="15"/>
      <c r="K116" s="15"/>
      <c r="L116" s="15"/>
      <c r="M116" s="15"/>
      <c r="N116" s="15"/>
      <c r="O116" s="16" t="str">
        <f aca="false">IFERROR(INDEX(Lists!$B$3:$B$7,MATCH(K116,Lists!$A$3:$A$7,0)),"")</f>
        <v/>
      </c>
      <c r="P116" s="16" t="str">
        <f aca="false">IFERROR(INDEX('Evidence Pulls'!$N$6:$N$125,MATCH($J116,'Evidence Pulls'!$A$6:$A$125,0)),"")</f>
        <v/>
      </c>
      <c r="Q116" s="16" t="str">
        <f aca="false">IFERROR(INDEX('Evidence Pulls'!$G$6:$G$125,MATCH($J116,'Evidence Pulls'!$A$6:$A$125,0)),"")</f>
        <v/>
      </c>
      <c r="R116" s="16" t="str">
        <f aca="false">IFERROR(INDEX('Evidence Pulls'!$O$6:$O$125,MATCH($J116,'Evidence Pulls'!$A$6:$A$125,0)),"")</f>
        <v/>
      </c>
      <c r="S116" s="16" t="str">
        <f aca="false">IF(L116&lt;&gt;"",L116,IF(K116="","Not assessed",IF(N(O116)&gt;=3,"Demonstrated","Gap - remediate")))</f>
        <v>Not assessed</v>
      </c>
      <c r="T116" s="16" t="str">
        <f aca="false">IF(J116="","No evidence pull assigned",IF(COUNTIF('Evidence Pulls'!$A$6:$A$125,J116)=0,"Pull ID not on Evidence Pulls sheet",IF(K116="","Not graded",IF(AND(G116="MANDATORY",L116="Gap - recommend tailoring"),"INVALID: safety-mandatory, not tailorable",IF(OR(P116="",P116=0),"NO NAMED EXECUTOR",IF(AND(H116="Full",N(O116)&gt;=3,N(IFERROR(INDEX('Evidence Pulls'!$J$6:$J$125,MATCH($J116,'Evidence Pulls'!$A$6:$A$125,0)),""))=0),"Operating claimed with no sample",IF(AND(N(O116)&gt;=3,P116=1),"Operating rests on one individual",IF(AND(G116="MANDATORY",N(O116)&lt;3),"SAFETY GATE: below Operating","OK"))))))))</f>
        <v>No evidence pull assigned</v>
      </c>
    </row>
    <row r="117" customFormat="false" ht="22.35" hidden="false" customHeight="false" outlineLevel="0" collapsed="false">
      <c r="A117" s="13" t="s">
        <v>294</v>
      </c>
      <c r="B117" s="13" t="s">
        <v>267</v>
      </c>
      <c r="C117" s="13" t="s">
        <v>283</v>
      </c>
      <c r="D117" s="13" t="s">
        <v>284</v>
      </c>
      <c r="E117" s="13" t="s">
        <v>137</v>
      </c>
      <c r="F117" s="14"/>
      <c r="G117" s="13"/>
      <c r="H117" s="13" t="s">
        <v>103</v>
      </c>
      <c r="I117" s="13" t="s">
        <v>270</v>
      </c>
      <c r="J117" s="15"/>
      <c r="K117" s="15"/>
      <c r="L117" s="15"/>
      <c r="M117" s="15"/>
      <c r="N117" s="15"/>
      <c r="O117" s="16" t="str">
        <f aca="false">IFERROR(INDEX(Lists!$B$3:$B$7,MATCH(K117,Lists!$A$3:$A$7,0)),"")</f>
        <v/>
      </c>
      <c r="P117" s="16" t="str">
        <f aca="false">IFERROR(INDEX('Evidence Pulls'!$N$6:$N$125,MATCH($J117,'Evidence Pulls'!$A$6:$A$125,0)),"")</f>
        <v/>
      </c>
      <c r="Q117" s="16" t="str">
        <f aca="false">IFERROR(INDEX('Evidence Pulls'!$G$6:$G$125,MATCH($J117,'Evidence Pulls'!$A$6:$A$125,0)),"")</f>
        <v/>
      </c>
      <c r="R117" s="16" t="str">
        <f aca="false">IFERROR(INDEX('Evidence Pulls'!$O$6:$O$125,MATCH($J117,'Evidence Pulls'!$A$6:$A$125,0)),"")</f>
        <v/>
      </c>
      <c r="S117" s="16" t="str">
        <f aca="false">IF(L117&lt;&gt;"",L117,IF(K117="","Not assessed",IF(N(O117)&gt;=3,"Demonstrated","Gap - remediate")))</f>
        <v>Not assessed</v>
      </c>
      <c r="T117" s="16" t="str">
        <f aca="false">IF(J117="","No evidence pull assigned",IF(COUNTIF('Evidence Pulls'!$A$6:$A$125,J117)=0,"Pull ID not on Evidence Pulls sheet",IF(K117="","Not graded",IF(AND(G117="MANDATORY",L117="Gap - recommend tailoring"),"INVALID: safety-mandatory, not tailorable",IF(OR(P117="",P117=0),"NO NAMED EXECUTOR",IF(AND(H117="Full",N(O117)&gt;=3,N(IFERROR(INDEX('Evidence Pulls'!$J$6:$J$125,MATCH($J117,'Evidence Pulls'!$A$6:$A$125,0)),""))=0),"Operating claimed with no sample",IF(AND(N(O117)&gt;=3,P117=1),"Operating rests on one individual",IF(AND(G117="MANDATORY",N(O117)&lt;3),"SAFETY GATE: below Operating","OK"))))))))</f>
        <v>No evidence pull assigned</v>
      </c>
    </row>
    <row r="118" customFormat="false" ht="22.35" hidden="false" customHeight="false" outlineLevel="0" collapsed="false">
      <c r="A118" s="13" t="s">
        <v>295</v>
      </c>
      <c r="B118" s="13" t="s">
        <v>267</v>
      </c>
      <c r="C118" s="13" t="s">
        <v>283</v>
      </c>
      <c r="D118" s="13" t="s">
        <v>284</v>
      </c>
      <c r="E118" s="13" t="s">
        <v>296</v>
      </c>
      <c r="F118" s="14"/>
      <c r="G118" s="13"/>
      <c r="H118" s="13" t="s">
        <v>103</v>
      </c>
      <c r="I118" s="13" t="s">
        <v>270</v>
      </c>
      <c r="J118" s="15"/>
      <c r="K118" s="15"/>
      <c r="L118" s="15"/>
      <c r="M118" s="15"/>
      <c r="N118" s="15"/>
      <c r="O118" s="16" t="str">
        <f aca="false">IFERROR(INDEX(Lists!$B$3:$B$7,MATCH(K118,Lists!$A$3:$A$7,0)),"")</f>
        <v/>
      </c>
      <c r="P118" s="16" t="str">
        <f aca="false">IFERROR(INDEX('Evidence Pulls'!$N$6:$N$125,MATCH($J118,'Evidence Pulls'!$A$6:$A$125,0)),"")</f>
        <v/>
      </c>
      <c r="Q118" s="16" t="str">
        <f aca="false">IFERROR(INDEX('Evidence Pulls'!$G$6:$G$125,MATCH($J118,'Evidence Pulls'!$A$6:$A$125,0)),"")</f>
        <v/>
      </c>
      <c r="R118" s="16" t="str">
        <f aca="false">IFERROR(INDEX('Evidence Pulls'!$O$6:$O$125,MATCH($J118,'Evidence Pulls'!$A$6:$A$125,0)),"")</f>
        <v/>
      </c>
      <c r="S118" s="16" t="str">
        <f aca="false">IF(L118&lt;&gt;"",L118,IF(K118="","Not assessed",IF(N(O118)&gt;=3,"Demonstrated","Gap - remediate")))</f>
        <v>Not assessed</v>
      </c>
      <c r="T118" s="16" t="str">
        <f aca="false">IF(J118="","No evidence pull assigned",IF(COUNTIF('Evidence Pulls'!$A$6:$A$125,J118)=0,"Pull ID not on Evidence Pulls sheet",IF(K118="","Not graded",IF(AND(G118="MANDATORY",L118="Gap - recommend tailoring"),"INVALID: safety-mandatory, not tailorable",IF(OR(P118="",P118=0),"NO NAMED EXECUTOR",IF(AND(H118="Full",N(O118)&gt;=3,N(IFERROR(INDEX('Evidence Pulls'!$J$6:$J$125,MATCH($J118,'Evidence Pulls'!$A$6:$A$125,0)),""))=0),"Operating claimed with no sample",IF(AND(N(O118)&gt;=3,P118=1),"Operating rests on one individual",IF(AND(G118="MANDATORY",N(O118)&lt;3),"SAFETY GATE: below Operating","OK"))))))))</f>
        <v>No evidence pull assigned</v>
      </c>
    </row>
    <row r="119" customFormat="false" ht="22.35" hidden="false" customHeight="false" outlineLevel="0" collapsed="false">
      <c r="A119" s="17" t="s">
        <v>297</v>
      </c>
      <c r="B119" s="17" t="s">
        <v>267</v>
      </c>
      <c r="C119" s="17" t="s">
        <v>298</v>
      </c>
      <c r="D119" s="17" t="s">
        <v>299</v>
      </c>
      <c r="E119" s="17" t="s">
        <v>102</v>
      </c>
      <c r="F119" s="17"/>
      <c r="G119" s="18" t="s">
        <v>107</v>
      </c>
      <c r="H119" s="18" t="s">
        <v>108</v>
      </c>
      <c r="I119" s="17" t="s">
        <v>270</v>
      </c>
      <c r="J119" s="15"/>
      <c r="K119" s="15"/>
      <c r="L119" s="15"/>
      <c r="M119" s="15"/>
      <c r="N119" s="15"/>
      <c r="O119" s="16" t="str">
        <f aca="false">IFERROR(INDEX(Lists!$B$3:$B$7,MATCH(K119,Lists!$A$3:$A$7,0)),"")</f>
        <v/>
      </c>
      <c r="P119" s="16" t="str">
        <f aca="false">IFERROR(INDEX('Evidence Pulls'!$N$6:$N$125,MATCH($J119,'Evidence Pulls'!$A$6:$A$125,0)),"")</f>
        <v/>
      </c>
      <c r="Q119" s="16" t="str">
        <f aca="false">IFERROR(INDEX('Evidence Pulls'!$G$6:$G$125,MATCH($J119,'Evidence Pulls'!$A$6:$A$125,0)),"")</f>
        <v/>
      </c>
      <c r="R119" s="16" t="str">
        <f aca="false">IFERROR(INDEX('Evidence Pulls'!$O$6:$O$125,MATCH($J119,'Evidence Pulls'!$A$6:$A$125,0)),"")</f>
        <v/>
      </c>
      <c r="S119" s="16" t="str">
        <f aca="false">IF(L119&lt;&gt;"",L119,IF(K119="","Not assessed",IF(N(O119)&gt;=3,"Demonstrated","Gap - remediate")))</f>
        <v>Not assessed</v>
      </c>
      <c r="T119" s="16" t="str">
        <f aca="false">IF(J119="","No evidence pull assigned",IF(COUNTIF('Evidence Pulls'!$A$6:$A$125,J119)=0,"Pull ID not on Evidence Pulls sheet",IF(K119="","Not graded",IF(AND(G119="MANDATORY",L119="Gap - recommend tailoring"),"INVALID: safety-mandatory, not tailorable",IF(OR(P119="",P119=0),"NO NAMED EXECUTOR",IF(AND(H119="Full",N(O119)&gt;=3,N(IFERROR(INDEX('Evidence Pulls'!$J$6:$J$125,MATCH($J119,'Evidence Pulls'!$A$6:$A$125,0)),""))=0),"Operating claimed with no sample",IF(AND(N(O119)&gt;=3,P119=1),"Operating rests on one individual",IF(AND(G119="MANDATORY",N(O119)&lt;3),"SAFETY GATE: below Operating","OK"))))))))</f>
        <v>No evidence pull assigned</v>
      </c>
    </row>
    <row r="120" customFormat="false" ht="22.35" hidden="false" customHeight="false" outlineLevel="0" collapsed="false">
      <c r="A120" s="13" t="s">
        <v>300</v>
      </c>
      <c r="B120" s="13" t="s">
        <v>267</v>
      </c>
      <c r="C120" s="13" t="s">
        <v>298</v>
      </c>
      <c r="D120" s="13" t="s">
        <v>299</v>
      </c>
      <c r="E120" s="13" t="s">
        <v>158</v>
      </c>
      <c r="F120" s="14"/>
      <c r="G120" s="13"/>
      <c r="H120" s="13" t="s">
        <v>103</v>
      </c>
      <c r="I120" s="13" t="s">
        <v>270</v>
      </c>
      <c r="J120" s="15"/>
      <c r="K120" s="15"/>
      <c r="L120" s="15"/>
      <c r="M120" s="15"/>
      <c r="N120" s="15"/>
      <c r="O120" s="16" t="str">
        <f aca="false">IFERROR(INDEX(Lists!$B$3:$B$7,MATCH(K120,Lists!$A$3:$A$7,0)),"")</f>
        <v/>
      </c>
      <c r="P120" s="16" t="str">
        <f aca="false">IFERROR(INDEX('Evidence Pulls'!$N$6:$N$125,MATCH($J120,'Evidence Pulls'!$A$6:$A$125,0)),"")</f>
        <v/>
      </c>
      <c r="Q120" s="16" t="str">
        <f aca="false">IFERROR(INDEX('Evidence Pulls'!$G$6:$G$125,MATCH($J120,'Evidence Pulls'!$A$6:$A$125,0)),"")</f>
        <v/>
      </c>
      <c r="R120" s="16" t="str">
        <f aca="false">IFERROR(INDEX('Evidence Pulls'!$O$6:$O$125,MATCH($J120,'Evidence Pulls'!$A$6:$A$125,0)),"")</f>
        <v/>
      </c>
      <c r="S120" s="16" t="str">
        <f aca="false">IF(L120&lt;&gt;"",L120,IF(K120="","Not assessed",IF(N(O120)&gt;=3,"Demonstrated","Gap - remediate")))</f>
        <v>Not assessed</v>
      </c>
      <c r="T120" s="16" t="str">
        <f aca="false">IF(J120="","No evidence pull assigned",IF(COUNTIF('Evidence Pulls'!$A$6:$A$125,J120)=0,"Pull ID not on Evidence Pulls sheet",IF(K120="","Not graded",IF(AND(G120="MANDATORY",L120="Gap - recommend tailoring"),"INVALID: safety-mandatory, not tailorable",IF(OR(P120="",P120=0),"NO NAMED EXECUTOR",IF(AND(H120="Full",N(O120)&gt;=3,N(IFERROR(INDEX('Evidence Pulls'!$J$6:$J$125,MATCH($J120,'Evidence Pulls'!$A$6:$A$125,0)),""))=0),"Operating claimed with no sample",IF(AND(N(O120)&gt;=3,P120=1),"Operating rests on one individual",IF(AND(G120="MANDATORY",N(O120)&lt;3),"SAFETY GATE: below Operating","OK"))))))))</f>
        <v>No evidence pull assigned</v>
      </c>
    </row>
    <row r="121" customFormat="false" ht="22.35" hidden="false" customHeight="false" outlineLevel="0" collapsed="false">
      <c r="A121" s="13" t="s">
        <v>301</v>
      </c>
      <c r="B121" s="13" t="s">
        <v>267</v>
      </c>
      <c r="C121" s="13" t="s">
        <v>298</v>
      </c>
      <c r="D121" s="13" t="s">
        <v>299</v>
      </c>
      <c r="E121" s="13" t="s">
        <v>160</v>
      </c>
      <c r="F121" s="14"/>
      <c r="G121" s="13"/>
      <c r="H121" s="13" t="s">
        <v>103</v>
      </c>
      <c r="I121" s="13" t="s">
        <v>270</v>
      </c>
      <c r="J121" s="15"/>
      <c r="K121" s="15"/>
      <c r="L121" s="15"/>
      <c r="M121" s="15"/>
      <c r="N121" s="15"/>
      <c r="O121" s="16" t="str">
        <f aca="false">IFERROR(INDEX(Lists!$B$3:$B$7,MATCH(K121,Lists!$A$3:$A$7,0)),"")</f>
        <v/>
      </c>
      <c r="P121" s="16" t="str">
        <f aca="false">IFERROR(INDEX('Evidence Pulls'!$N$6:$N$125,MATCH($J121,'Evidence Pulls'!$A$6:$A$125,0)),"")</f>
        <v/>
      </c>
      <c r="Q121" s="16" t="str">
        <f aca="false">IFERROR(INDEX('Evidence Pulls'!$G$6:$G$125,MATCH($J121,'Evidence Pulls'!$A$6:$A$125,0)),"")</f>
        <v/>
      </c>
      <c r="R121" s="16" t="str">
        <f aca="false">IFERROR(INDEX('Evidence Pulls'!$O$6:$O$125,MATCH($J121,'Evidence Pulls'!$A$6:$A$125,0)),"")</f>
        <v/>
      </c>
      <c r="S121" s="16" t="str">
        <f aca="false">IF(L121&lt;&gt;"",L121,IF(K121="","Not assessed",IF(N(O121)&gt;=3,"Demonstrated","Gap - remediate")))</f>
        <v>Not assessed</v>
      </c>
      <c r="T121" s="16" t="str">
        <f aca="false">IF(J121="","No evidence pull assigned",IF(COUNTIF('Evidence Pulls'!$A$6:$A$125,J121)=0,"Pull ID not on Evidence Pulls sheet",IF(K121="","Not graded",IF(AND(G121="MANDATORY",L121="Gap - recommend tailoring"),"INVALID: safety-mandatory, not tailorable",IF(OR(P121="",P121=0),"NO NAMED EXECUTOR",IF(AND(H121="Full",N(O121)&gt;=3,N(IFERROR(INDEX('Evidence Pulls'!$J$6:$J$125,MATCH($J121,'Evidence Pulls'!$A$6:$A$125,0)),""))=0),"Operating claimed with no sample",IF(AND(N(O121)&gt;=3,P121=1),"Operating rests on one individual",IF(AND(G121="MANDATORY",N(O121)&lt;3),"SAFETY GATE: below Operating","OK"))))))))</f>
        <v>No evidence pull assigned</v>
      </c>
    </row>
    <row r="122" customFormat="false" ht="22.35" hidden="false" customHeight="false" outlineLevel="0" collapsed="false">
      <c r="A122" s="13" t="s">
        <v>302</v>
      </c>
      <c r="B122" s="13" t="s">
        <v>267</v>
      </c>
      <c r="C122" s="13" t="s">
        <v>298</v>
      </c>
      <c r="D122" s="13" t="s">
        <v>299</v>
      </c>
      <c r="E122" s="13" t="s">
        <v>162</v>
      </c>
      <c r="F122" s="14"/>
      <c r="G122" s="13"/>
      <c r="H122" s="13" t="s">
        <v>103</v>
      </c>
      <c r="I122" s="13" t="s">
        <v>270</v>
      </c>
      <c r="J122" s="15"/>
      <c r="K122" s="15"/>
      <c r="L122" s="15"/>
      <c r="M122" s="15"/>
      <c r="N122" s="15"/>
      <c r="O122" s="16" t="str">
        <f aca="false">IFERROR(INDEX(Lists!$B$3:$B$7,MATCH(K122,Lists!$A$3:$A$7,0)),"")</f>
        <v/>
      </c>
      <c r="P122" s="16" t="str">
        <f aca="false">IFERROR(INDEX('Evidence Pulls'!$N$6:$N$125,MATCH($J122,'Evidence Pulls'!$A$6:$A$125,0)),"")</f>
        <v/>
      </c>
      <c r="Q122" s="16" t="str">
        <f aca="false">IFERROR(INDEX('Evidence Pulls'!$G$6:$G$125,MATCH($J122,'Evidence Pulls'!$A$6:$A$125,0)),"")</f>
        <v/>
      </c>
      <c r="R122" s="16" t="str">
        <f aca="false">IFERROR(INDEX('Evidence Pulls'!$O$6:$O$125,MATCH($J122,'Evidence Pulls'!$A$6:$A$125,0)),"")</f>
        <v/>
      </c>
      <c r="S122" s="16" t="str">
        <f aca="false">IF(L122&lt;&gt;"",L122,IF(K122="","Not assessed",IF(N(O122)&gt;=3,"Demonstrated","Gap - remediate")))</f>
        <v>Not assessed</v>
      </c>
      <c r="T122" s="16" t="str">
        <f aca="false">IF(J122="","No evidence pull assigned",IF(COUNTIF('Evidence Pulls'!$A$6:$A$125,J122)=0,"Pull ID not on Evidence Pulls sheet",IF(K122="","Not graded",IF(AND(G122="MANDATORY",L122="Gap - recommend tailoring"),"INVALID: safety-mandatory, not tailorable",IF(OR(P122="",P122=0),"NO NAMED EXECUTOR",IF(AND(H122="Full",N(O122)&gt;=3,N(IFERROR(INDEX('Evidence Pulls'!$J$6:$J$125,MATCH($J122,'Evidence Pulls'!$A$6:$A$125,0)),""))=0),"Operating claimed with no sample",IF(AND(N(O122)&gt;=3,P122=1),"Operating rests on one individual",IF(AND(G122="MANDATORY",N(O122)&lt;3),"SAFETY GATE: below Operating","OK"))))))))</f>
        <v>No evidence pull assigned</v>
      </c>
    </row>
    <row r="123" customFormat="false" ht="22.35" hidden="false" customHeight="false" outlineLevel="0" collapsed="false">
      <c r="A123" s="13" t="s">
        <v>303</v>
      </c>
      <c r="B123" s="13" t="s">
        <v>267</v>
      </c>
      <c r="C123" s="13" t="s">
        <v>298</v>
      </c>
      <c r="D123" s="13" t="s">
        <v>299</v>
      </c>
      <c r="E123" s="13" t="s">
        <v>164</v>
      </c>
      <c r="F123" s="14"/>
      <c r="G123" s="13"/>
      <c r="H123" s="13" t="s">
        <v>103</v>
      </c>
      <c r="I123" s="13" t="s">
        <v>270</v>
      </c>
      <c r="J123" s="15"/>
      <c r="K123" s="15"/>
      <c r="L123" s="15"/>
      <c r="M123" s="15"/>
      <c r="N123" s="15"/>
      <c r="O123" s="16" t="str">
        <f aca="false">IFERROR(INDEX(Lists!$B$3:$B$7,MATCH(K123,Lists!$A$3:$A$7,0)),"")</f>
        <v/>
      </c>
      <c r="P123" s="16" t="str">
        <f aca="false">IFERROR(INDEX('Evidence Pulls'!$N$6:$N$125,MATCH($J123,'Evidence Pulls'!$A$6:$A$125,0)),"")</f>
        <v/>
      </c>
      <c r="Q123" s="16" t="str">
        <f aca="false">IFERROR(INDEX('Evidence Pulls'!$G$6:$G$125,MATCH($J123,'Evidence Pulls'!$A$6:$A$125,0)),"")</f>
        <v/>
      </c>
      <c r="R123" s="16" t="str">
        <f aca="false">IFERROR(INDEX('Evidence Pulls'!$O$6:$O$125,MATCH($J123,'Evidence Pulls'!$A$6:$A$125,0)),"")</f>
        <v/>
      </c>
      <c r="S123" s="16" t="str">
        <f aca="false">IF(L123&lt;&gt;"",L123,IF(K123="","Not assessed",IF(N(O123)&gt;=3,"Demonstrated","Gap - remediate")))</f>
        <v>Not assessed</v>
      </c>
      <c r="T123" s="16" t="str">
        <f aca="false">IF(J123="","No evidence pull assigned",IF(COUNTIF('Evidence Pulls'!$A$6:$A$125,J123)=0,"Pull ID not on Evidence Pulls sheet",IF(K123="","Not graded",IF(AND(G123="MANDATORY",L123="Gap - recommend tailoring"),"INVALID: safety-mandatory, not tailorable",IF(OR(P123="",P123=0),"NO NAMED EXECUTOR",IF(AND(H123="Full",N(O123)&gt;=3,N(IFERROR(INDEX('Evidence Pulls'!$J$6:$J$125,MATCH($J123,'Evidence Pulls'!$A$6:$A$125,0)),""))=0),"Operating claimed with no sample",IF(AND(N(O123)&gt;=3,P123=1),"Operating rests on one individual",IF(AND(G123="MANDATORY",N(O123)&lt;3),"SAFETY GATE: below Operating","OK"))))))))</f>
        <v>No evidence pull assigned</v>
      </c>
    </row>
    <row r="124" customFormat="false" ht="22.35" hidden="false" customHeight="false" outlineLevel="0" collapsed="false">
      <c r="A124" s="13" t="s">
        <v>304</v>
      </c>
      <c r="B124" s="13" t="s">
        <v>267</v>
      </c>
      <c r="C124" s="13" t="s">
        <v>298</v>
      </c>
      <c r="D124" s="13" t="s">
        <v>299</v>
      </c>
      <c r="E124" s="13" t="s">
        <v>168</v>
      </c>
      <c r="F124" s="14"/>
      <c r="G124" s="13"/>
      <c r="H124" s="13" t="s">
        <v>103</v>
      </c>
      <c r="I124" s="13" t="s">
        <v>270</v>
      </c>
      <c r="J124" s="15"/>
      <c r="K124" s="15"/>
      <c r="L124" s="15"/>
      <c r="M124" s="15"/>
      <c r="N124" s="15"/>
      <c r="O124" s="16" t="str">
        <f aca="false">IFERROR(INDEX(Lists!$B$3:$B$7,MATCH(K124,Lists!$A$3:$A$7,0)),"")</f>
        <v/>
      </c>
      <c r="P124" s="16" t="str">
        <f aca="false">IFERROR(INDEX('Evidence Pulls'!$N$6:$N$125,MATCH($J124,'Evidence Pulls'!$A$6:$A$125,0)),"")</f>
        <v/>
      </c>
      <c r="Q124" s="16" t="str">
        <f aca="false">IFERROR(INDEX('Evidence Pulls'!$G$6:$G$125,MATCH($J124,'Evidence Pulls'!$A$6:$A$125,0)),"")</f>
        <v/>
      </c>
      <c r="R124" s="16" t="str">
        <f aca="false">IFERROR(INDEX('Evidence Pulls'!$O$6:$O$125,MATCH($J124,'Evidence Pulls'!$A$6:$A$125,0)),"")</f>
        <v/>
      </c>
      <c r="S124" s="16" t="str">
        <f aca="false">IF(L124&lt;&gt;"",L124,IF(K124="","Not assessed",IF(N(O124)&gt;=3,"Demonstrated","Gap - remediate")))</f>
        <v>Not assessed</v>
      </c>
      <c r="T124" s="16" t="str">
        <f aca="false">IF(J124="","No evidence pull assigned",IF(COUNTIF('Evidence Pulls'!$A$6:$A$125,J124)=0,"Pull ID not on Evidence Pulls sheet",IF(K124="","Not graded",IF(AND(G124="MANDATORY",L124="Gap - recommend tailoring"),"INVALID: safety-mandatory, not tailorable",IF(OR(P124="",P124=0),"NO NAMED EXECUTOR",IF(AND(H124="Full",N(O124)&gt;=3,N(IFERROR(INDEX('Evidence Pulls'!$J$6:$J$125,MATCH($J124,'Evidence Pulls'!$A$6:$A$125,0)),""))=0),"Operating claimed with no sample",IF(AND(N(O124)&gt;=3,P124=1),"Operating rests on one individual",IF(AND(G124="MANDATORY",N(O124)&lt;3),"SAFETY GATE: below Operating","OK"))))))))</f>
        <v>No evidence pull assigned</v>
      </c>
    </row>
    <row r="125" customFormat="false" ht="22.35" hidden="false" customHeight="false" outlineLevel="0" collapsed="false">
      <c r="A125" s="13" t="s">
        <v>305</v>
      </c>
      <c r="B125" s="13" t="s">
        <v>267</v>
      </c>
      <c r="C125" s="13" t="s">
        <v>298</v>
      </c>
      <c r="D125" s="13" t="s">
        <v>299</v>
      </c>
      <c r="E125" s="13" t="s">
        <v>170</v>
      </c>
      <c r="F125" s="14"/>
      <c r="G125" s="13"/>
      <c r="H125" s="13" t="s">
        <v>103</v>
      </c>
      <c r="I125" s="13" t="s">
        <v>270</v>
      </c>
      <c r="J125" s="15"/>
      <c r="K125" s="15"/>
      <c r="L125" s="15"/>
      <c r="M125" s="15"/>
      <c r="N125" s="15"/>
      <c r="O125" s="16" t="str">
        <f aca="false">IFERROR(INDEX(Lists!$B$3:$B$7,MATCH(K125,Lists!$A$3:$A$7,0)),"")</f>
        <v/>
      </c>
      <c r="P125" s="16" t="str">
        <f aca="false">IFERROR(INDEX('Evidence Pulls'!$N$6:$N$125,MATCH($J125,'Evidence Pulls'!$A$6:$A$125,0)),"")</f>
        <v/>
      </c>
      <c r="Q125" s="16" t="str">
        <f aca="false">IFERROR(INDEX('Evidence Pulls'!$G$6:$G$125,MATCH($J125,'Evidence Pulls'!$A$6:$A$125,0)),"")</f>
        <v/>
      </c>
      <c r="R125" s="16" t="str">
        <f aca="false">IFERROR(INDEX('Evidence Pulls'!$O$6:$O$125,MATCH($J125,'Evidence Pulls'!$A$6:$A$125,0)),"")</f>
        <v/>
      </c>
      <c r="S125" s="16" t="str">
        <f aca="false">IF(L125&lt;&gt;"",L125,IF(K125="","Not assessed",IF(N(O125)&gt;=3,"Demonstrated","Gap - remediate")))</f>
        <v>Not assessed</v>
      </c>
      <c r="T125" s="16" t="str">
        <f aca="false">IF(J125="","No evidence pull assigned",IF(COUNTIF('Evidence Pulls'!$A$6:$A$125,J125)=0,"Pull ID not on Evidence Pulls sheet",IF(K125="","Not graded",IF(AND(G125="MANDATORY",L125="Gap - recommend tailoring"),"INVALID: safety-mandatory, not tailorable",IF(OR(P125="",P125=0),"NO NAMED EXECUTOR",IF(AND(H125="Full",N(O125)&gt;=3,N(IFERROR(INDEX('Evidence Pulls'!$J$6:$J$125,MATCH($J125,'Evidence Pulls'!$A$6:$A$125,0)),""))=0),"Operating claimed with no sample",IF(AND(N(O125)&gt;=3,P125=1),"Operating rests on one individual",IF(AND(G125="MANDATORY",N(O125)&lt;3),"SAFETY GATE: below Operating","OK"))))))))</f>
        <v>No evidence pull assigned</v>
      </c>
    </row>
    <row r="126" customFormat="false" ht="22.35" hidden="false" customHeight="false" outlineLevel="0" collapsed="false">
      <c r="A126" s="13" t="s">
        <v>306</v>
      </c>
      <c r="B126" s="13" t="s">
        <v>267</v>
      </c>
      <c r="C126" s="13" t="s">
        <v>298</v>
      </c>
      <c r="D126" s="13" t="s">
        <v>299</v>
      </c>
      <c r="E126" s="13" t="s">
        <v>172</v>
      </c>
      <c r="F126" s="14"/>
      <c r="G126" s="13"/>
      <c r="H126" s="13" t="s">
        <v>103</v>
      </c>
      <c r="I126" s="13" t="s">
        <v>270</v>
      </c>
      <c r="J126" s="15"/>
      <c r="K126" s="15"/>
      <c r="L126" s="15"/>
      <c r="M126" s="15"/>
      <c r="N126" s="15"/>
      <c r="O126" s="16" t="str">
        <f aca="false">IFERROR(INDEX(Lists!$B$3:$B$7,MATCH(K126,Lists!$A$3:$A$7,0)),"")</f>
        <v/>
      </c>
      <c r="P126" s="16" t="str">
        <f aca="false">IFERROR(INDEX('Evidence Pulls'!$N$6:$N$125,MATCH($J126,'Evidence Pulls'!$A$6:$A$125,0)),"")</f>
        <v/>
      </c>
      <c r="Q126" s="16" t="str">
        <f aca="false">IFERROR(INDEX('Evidence Pulls'!$G$6:$G$125,MATCH($J126,'Evidence Pulls'!$A$6:$A$125,0)),"")</f>
        <v/>
      </c>
      <c r="R126" s="16" t="str">
        <f aca="false">IFERROR(INDEX('Evidence Pulls'!$O$6:$O$125,MATCH($J126,'Evidence Pulls'!$A$6:$A$125,0)),"")</f>
        <v/>
      </c>
      <c r="S126" s="16" t="str">
        <f aca="false">IF(L126&lt;&gt;"",L126,IF(K126="","Not assessed",IF(N(O126)&gt;=3,"Demonstrated","Gap - remediate")))</f>
        <v>Not assessed</v>
      </c>
      <c r="T126" s="16" t="str">
        <f aca="false">IF(J126="","No evidence pull assigned",IF(COUNTIF('Evidence Pulls'!$A$6:$A$125,J126)=0,"Pull ID not on Evidence Pulls sheet",IF(K126="","Not graded",IF(AND(G126="MANDATORY",L126="Gap - recommend tailoring"),"INVALID: safety-mandatory, not tailorable",IF(OR(P126="",P126=0),"NO NAMED EXECUTOR",IF(AND(H126="Full",N(O126)&gt;=3,N(IFERROR(INDEX('Evidence Pulls'!$J$6:$J$125,MATCH($J126,'Evidence Pulls'!$A$6:$A$125,0)),""))=0),"Operating claimed with no sample",IF(AND(N(O126)&gt;=3,P126=1),"Operating rests on one individual",IF(AND(G126="MANDATORY",N(O126)&lt;3),"SAFETY GATE: below Operating","OK"))))))))</f>
        <v>No evidence pull assigned</v>
      </c>
    </row>
    <row r="127" customFormat="false" ht="22.35" hidden="false" customHeight="false" outlineLevel="0" collapsed="false">
      <c r="A127" s="13" t="s">
        <v>307</v>
      </c>
      <c r="B127" s="13" t="s">
        <v>267</v>
      </c>
      <c r="C127" s="13" t="s">
        <v>298</v>
      </c>
      <c r="D127" s="13" t="s">
        <v>299</v>
      </c>
      <c r="E127" s="13" t="s">
        <v>174</v>
      </c>
      <c r="F127" s="14"/>
      <c r="G127" s="13"/>
      <c r="H127" s="13" t="s">
        <v>103</v>
      </c>
      <c r="I127" s="13" t="s">
        <v>270</v>
      </c>
      <c r="J127" s="15"/>
      <c r="K127" s="15"/>
      <c r="L127" s="15"/>
      <c r="M127" s="15"/>
      <c r="N127" s="15"/>
      <c r="O127" s="16" t="str">
        <f aca="false">IFERROR(INDEX(Lists!$B$3:$B$7,MATCH(K127,Lists!$A$3:$A$7,0)),"")</f>
        <v/>
      </c>
      <c r="P127" s="16" t="str">
        <f aca="false">IFERROR(INDEX('Evidence Pulls'!$N$6:$N$125,MATCH($J127,'Evidence Pulls'!$A$6:$A$125,0)),"")</f>
        <v/>
      </c>
      <c r="Q127" s="16" t="str">
        <f aca="false">IFERROR(INDEX('Evidence Pulls'!$G$6:$G$125,MATCH($J127,'Evidence Pulls'!$A$6:$A$125,0)),"")</f>
        <v/>
      </c>
      <c r="R127" s="16" t="str">
        <f aca="false">IFERROR(INDEX('Evidence Pulls'!$O$6:$O$125,MATCH($J127,'Evidence Pulls'!$A$6:$A$125,0)),"")</f>
        <v/>
      </c>
      <c r="S127" s="16" t="str">
        <f aca="false">IF(L127&lt;&gt;"",L127,IF(K127="","Not assessed",IF(N(O127)&gt;=3,"Demonstrated","Gap - remediate")))</f>
        <v>Not assessed</v>
      </c>
      <c r="T127" s="16" t="str">
        <f aca="false">IF(J127="","No evidence pull assigned",IF(COUNTIF('Evidence Pulls'!$A$6:$A$125,J127)=0,"Pull ID not on Evidence Pulls sheet",IF(K127="","Not graded",IF(AND(G127="MANDATORY",L127="Gap - recommend tailoring"),"INVALID: safety-mandatory, not tailorable",IF(OR(P127="",P127=0),"NO NAMED EXECUTOR",IF(AND(H127="Full",N(O127)&gt;=3,N(IFERROR(INDEX('Evidence Pulls'!$J$6:$J$125,MATCH($J127,'Evidence Pulls'!$A$6:$A$125,0)),""))=0),"Operating claimed with no sample",IF(AND(N(O127)&gt;=3,P127=1),"Operating rests on one individual",IF(AND(G127="MANDATORY",N(O127)&lt;3),"SAFETY GATE: below Operating","OK"))))))))</f>
        <v>No evidence pull assigned</v>
      </c>
    </row>
    <row r="128" customFormat="false" ht="22.35" hidden="false" customHeight="false" outlineLevel="0" collapsed="false">
      <c r="A128" s="13" t="s">
        <v>308</v>
      </c>
      <c r="B128" s="13" t="s">
        <v>267</v>
      </c>
      <c r="C128" s="13" t="s">
        <v>298</v>
      </c>
      <c r="D128" s="13" t="s">
        <v>299</v>
      </c>
      <c r="E128" s="13" t="s">
        <v>176</v>
      </c>
      <c r="F128" s="14"/>
      <c r="G128" s="13"/>
      <c r="H128" s="13" t="s">
        <v>103</v>
      </c>
      <c r="I128" s="13" t="s">
        <v>270</v>
      </c>
      <c r="J128" s="15"/>
      <c r="K128" s="15"/>
      <c r="L128" s="15"/>
      <c r="M128" s="15"/>
      <c r="N128" s="15"/>
      <c r="O128" s="16" t="str">
        <f aca="false">IFERROR(INDEX(Lists!$B$3:$B$7,MATCH(K128,Lists!$A$3:$A$7,0)),"")</f>
        <v/>
      </c>
      <c r="P128" s="16" t="str">
        <f aca="false">IFERROR(INDEX('Evidence Pulls'!$N$6:$N$125,MATCH($J128,'Evidence Pulls'!$A$6:$A$125,0)),"")</f>
        <v/>
      </c>
      <c r="Q128" s="16" t="str">
        <f aca="false">IFERROR(INDEX('Evidence Pulls'!$G$6:$G$125,MATCH($J128,'Evidence Pulls'!$A$6:$A$125,0)),"")</f>
        <v/>
      </c>
      <c r="R128" s="16" t="str">
        <f aca="false">IFERROR(INDEX('Evidence Pulls'!$O$6:$O$125,MATCH($J128,'Evidence Pulls'!$A$6:$A$125,0)),"")</f>
        <v/>
      </c>
      <c r="S128" s="16" t="str">
        <f aca="false">IF(L128&lt;&gt;"",L128,IF(K128="","Not assessed",IF(N(O128)&gt;=3,"Demonstrated","Gap - remediate")))</f>
        <v>Not assessed</v>
      </c>
      <c r="T128" s="16" t="str">
        <f aca="false">IF(J128="","No evidence pull assigned",IF(COUNTIF('Evidence Pulls'!$A$6:$A$125,J128)=0,"Pull ID not on Evidence Pulls sheet",IF(K128="","Not graded",IF(AND(G128="MANDATORY",L128="Gap - recommend tailoring"),"INVALID: safety-mandatory, not tailorable",IF(OR(P128="",P128=0),"NO NAMED EXECUTOR",IF(AND(H128="Full",N(O128)&gt;=3,N(IFERROR(INDEX('Evidence Pulls'!$J$6:$J$125,MATCH($J128,'Evidence Pulls'!$A$6:$A$125,0)),""))=0),"Operating claimed with no sample",IF(AND(N(O128)&gt;=3,P128=1),"Operating rests on one individual",IF(AND(G128="MANDATORY",N(O128)&lt;3),"SAFETY GATE: below Operating","OK"))))))))</f>
        <v>No evidence pull assigned</v>
      </c>
    </row>
    <row r="129" customFormat="false" ht="22.35" hidden="false" customHeight="false" outlineLevel="0" collapsed="false">
      <c r="A129" s="13" t="s">
        <v>309</v>
      </c>
      <c r="B129" s="13" t="s">
        <v>267</v>
      </c>
      <c r="C129" s="13" t="s">
        <v>298</v>
      </c>
      <c r="D129" s="13" t="s">
        <v>299</v>
      </c>
      <c r="E129" s="13" t="s">
        <v>178</v>
      </c>
      <c r="F129" s="14"/>
      <c r="G129" s="13"/>
      <c r="H129" s="13" t="s">
        <v>103</v>
      </c>
      <c r="I129" s="13" t="s">
        <v>270</v>
      </c>
      <c r="J129" s="15"/>
      <c r="K129" s="15"/>
      <c r="L129" s="15"/>
      <c r="M129" s="15"/>
      <c r="N129" s="15"/>
      <c r="O129" s="16" t="str">
        <f aca="false">IFERROR(INDEX(Lists!$B$3:$B$7,MATCH(K129,Lists!$A$3:$A$7,0)),"")</f>
        <v/>
      </c>
      <c r="P129" s="16" t="str">
        <f aca="false">IFERROR(INDEX('Evidence Pulls'!$N$6:$N$125,MATCH($J129,'Evidence Pulls'!$A$6:$A$125,0)),"")</f>
        <v/>
      </c>
      <c r="Q129" s="16" t="str">
        <f aca="false">IFERROR(INDEX('Evidence Pulls'!$G$6:$G$125,MATCH($J129,'Evidence Pulls'!$A$6:$A$125,0)),"")</f>
        <v/>
      </c>
      <c r="R129" s="16" t="str">
        <f aca="false">IFERROR(INDEX('Evidence Pulls'!$O$6:$O$125,MATCH($J129,'Evidence Pulls'!$A$6:$A$125,0)),"")</f>
        <v/>
      </c>
      <c r="S129" s="16" t="str">
        <f aca="false">IF(L129&lt;&gt;"",L129,IF(K129="","Not assessed",IF(N(O129)&gt;=3,"Demonstrated","Gap - remediate")))</f>
        <v>Not assessed</v>
      </c>
      <c r="T129" s="16" t="str">
        <f aca="false">IF(J129="","No evidence pull assigned",IF(COUNTIF('Evidence Pulls'!$A$6:$A$125,J129)=0,"Pull ID not on Evidence Pulls sheet",IF(K129="","Not graded",IF(AND(G129="MANDATORY",L129="Gap - recommend tailoring"),"INVALID: safety-mandatory, not tailorable",IF(OR(P129="",P129=0),"NO NAMED EXECUTOR",IF(AND(H129="Full",N(O129)&gt;=3,N(IFERROR(INDEX('Evidence Pulls'!$J$6:$J$125,MATCH($J129,'Evidence Pulls'!$A$6:$A$125,0)),""))=0),"Operating claimed with no sample",IF(AND(N(O129)&gt;=3,P129=1),"Operating rests on one individual",IF(AND(G129="MANDATORY",N(O129)&lt;3),"SAFETY GATE: below Operating","OK"))))))))</f>
        <v>No evidence pull assigned</v>
      </c>
    </row>
    <row r="130" customFormat="false" ht="22.35" hidden="false" customHeight="false" outlineLevel="0" collapsed="false">
      <c r="A130" s="13" t="s">
        <v>310</v>
      </c>
      <c r="B130" s="13" t="s">
        <v>267</v>
      </c>
      <c r="C130" s="13" t="s">
        <v>298</v>
      </c>
      <c r="D130" s="13" t="s">
        <v>299</v>
      </c>
      <c r="E130" s="13" t="s">
        <v>311</v>
      </c>
      <c r="F130" s="14"/>
      <c r="G130" s="13"/>
      <c r="H130" s="13" t="s">
        <v>103</v>
      </c>
      <c r="I130" s="13" t="s">
        <v>270</v>
      </c>
      <c r="J130" s="15"/>
      <c r="K130" s="15"/>
      <c r="L130" s="15"/>
      <c r="M130" s="15"/>
      <c r="N130" s="15"/>
      <c r="O130" s="16" t="str">
        <f aca="false">IFERROR(INDEX(Lists!$B$3:$B$7,MATCH(K130,Lists!$A$3:$A$7,0)),"")</f>
        <v/>
      </c>
      <c r="P130" s="16" t="str">
        <f aca="false">IFERROR(INDEX('Evidence Pulls'!$N$6:$N$125,MATCH($J130,'Evidence Pulls'!$A$6:$A$125,0)),"")</f>
        <v/>
      </c>
      <c r="Q130" s="16" t="str">
        <f aca="false">IFERROR(INDEX('Evidence Pulls'!$G$6:$G$125,MATCH($J130,'Evidence Pulls'!$A$6:$A$125,0)),"")</f>
        <v/>
      </c>
      <c r="R130" s="16" t="str">
        <f aca="false">IFERROR(INDEX('Evidence Pulls'!$O$6:$O$125,MATCH($J130,'Evidence Pulls'!$A$6:$A$125,0)),"")</f>
        <v/>
      </c>
      <c r="S130" s="16" t="str">
        <f aca="false">IF(L130&lt;&gt;"",L130,IF(K130="","Not assessed",IF(N(O130)&gt;=3,"Demonstrated","Gap - remediate")))</f>
        <v>Not assessed</v>
      </c>
      <c r="T130" s="16" t="str">
        <f aca="false">IF(J130="","No evidence pull assigned",IF(COUNTIF('Evidence Pulls'!$A$6:$A$125,J130)=0,"Pull ID not on Evidence Pulls sheet",IF(K130="","Not graded",IF(AND(G130="MANDATORY",L130="Gap - recommend tailoring"),"INVALID: safety-mandatory, not tailorable",IF(OR(P130="",P130=0),"NO NAMED EXECUTOR",IF(AND(H130="Full",N(O130)&gt;=3,N(IFERROR(INDEX('Evidence Pulls'!$J$6:$J$125,MATCH($J130,'Evidence Pulls'!$A$6:$A$125,0)),""))=0),"Operating claimed with no sample",IF(AND(N(O130)&gt;=3,P130=1),"Operating rests on one individual",IF(AND(G130="MANDATORY",N(O130)&lt;3),"SAFETY GATE: below Operating","OK"))))))))</f>
        <v>No evidence pull assigned</v>
      </c>
    </row>
    <row r="131" customFormat="false" ht="22.35" hidden="false" customHeight="false" outlineLevel="0" collapsed="false">
      <c r="A131" s="13" t="s">
        <v>312</v>
      </c>
      <c r="B131" s="13" t="s">
        <v>267</v>
      </c>
      <c r="C131" s="13" t="s">
        <v>298</v>
      </c>
      <c r="D131" s="13" t="s">
        <v>299</v>
      </c>
      <c r="E131" s="13" t="s">
        <v>313</v>
      </c>
      <c r="F131" s="14"/>
      <c r="G131" s="13"/>
      <c r="H131" s="13" t="s">
        <v>103</v>
      </c>
      <c r="I131" s="13" t="s">
        <v>270</v>
      </c>
      <c r="J131" s="15"/>
      <c r="K131" s="15"/>
      <c r="L131" s="15"/>
      <c r="M131" s="15"/>
      <c r="N131" s="15"/>
      <c r="O131" s="16" t="str">
        <f aca="false">IFERROR(INDEX(Lists!$B$3:$B$7,MATCH(K131,Lists!$A$3:$A$7,0)),"")</f>
        <v/>
      </c>
      <c r="P131" s="16" t="str">
        <f aca="false">IFERROR(INDEX('Evidence Pulls'!$N$6:$N$125,MATCH($J131,'Evidence Pulls'!$A$6:$A$125,0)),"")</f>
        <v/>
      </c>
      <c r="Q131" s="16" t="str">
        <f aca="false">IFERROR(INDEX('Evidence Pulls'!$G$6:$G$125,MATCH($J131,'Evidence Pulls'!$A$6:$A$125,0)),"")</f>
        <v/>
      </c>
      <c r="R131" s="16" t="str">
        <f aca="false">IFERROR(INDEX('Evidence Pulls'!$O$6:$O$125,MATCH($J131,'Evidence Pulls'!$A$6:$A$125,0)),"")</f>
        <v/>
      </c>
      <c r="S131" s="16" t="str">
        <f aca="false">IF(L131&lt;&gt;"",L131,IF(K131="","Not assessed",IF(N(O131)&gt;=3,"Demonstrated","Gap - remediate")))</f>
        <v>Not assessed</v>
      </c>
      <c r="T131" s="16" t="str">
        <f aca="false">IF(J131="","No evidence pull assigned",IF(COUNTIF('Evidence Pulls'!$A$6:$A$125,J131)=0,"Pull ID not on Evidence Pulls sheet",IF(K131="","Not graded",IF(AND(G131="MANDATORY",L131="Gap - recommend tailoring"),"INVALID: safety-mandatory, not tailorable",IF(OR(P131="",P131=0),"NO NAMED EXECUTOR",IF(AND(H131="Full",N(O131)&gt;=3,N(IFERROR(INDEX('Evidence Pulls'!$J$6:$J$125,MATCH($J131,'Evidence Pulls'!$A$6:$A$125,0)),""))=0),"Operating claimed with no sample",IF(AND(N(O131)&gt;=3,P131=1),"Operating rests on one individual",IF(AND(G131="MANDATORY",N(O131)&lt;3),"SAFETY GATE: below Operating","OK"))))))))</f>
        <v>No evidence pull assigned</v>
      </c>
    </row>
    <row r="132" customFormat="false" ht="22.35" hidden="false" customHeight="false" outlineLevel="0" collapsed="false">
      <c r="A132" s="13" t="s">
        <v>314</v>
      </c>
      <c r="B132" s="13" t="s">
        <v>267</v>
      </c>
      <c r="C132" s="13" t="s">
        <v>298</v>
      </c>
      <c r="D132" s="13" t="s">
        <v>299</v>
      </c>
      <c r="E132" s="13" t="s">
        <v>315</v>
      </c>
      <c r="F132" s="14"/>
      <c r="G132" s="13"/>
      <c r="H132" s="13" t="s">
        <v>103</v>
      </c>
      <c r="I132" s="13" t="s">
        <v>270</v>
      </c>
      <c r="J132" s="15"/>
      <c r="K132" s="15"/>
      <c r="L132" s="15"/>
      <c r="M132" s="15"/>
      <c r="N132" s="15"/>
      <c r="O132" s="16" t="str">
        <f aca="false">IFERROR(INDEX(Lists!$B$3:$B$7,MATCH(K132,Lists!$A$3:$A$7,0)),"")</f>
        <v/>
      </c>
      <c r="P132" s="16" t="str">
        <f aca="false">IFERROR(INDEX('Evidence Pulls'!$N$6:$N$125,MATCH($J132,'Evidence Pulls'!$A$6:$A$125,0)),"")</f>
        <v/>
      </c>
      <c r="Q132" s="16" t="str">
        <f aca="false">IFERROR(INDEX('Evidence Pulls'!$G$6:$G$125,MATCH($J132,'Evidence Pulls'!$A$6:$A$125,0)),"")</f>
        <v/>
      </c>
      <c r="R132" s="16" t="str">
        <f aca="false">IFERROR(INDEX('Evidence Pulls'!$O$6:$O$125,MATCH($J132,'Evidence Pulls'!$A$6:$A$125,0)),"")</f>
        <v/>
      </c>
      <c r="S132" s="16" t="str">
        <f aca="false">IF(L132&lt;&gt;"",L132,IF(K132="","Not assessed",IF(N(O132)&gt;=3,"Demonstrated","Gap - remediate")))</f>
        <v>Not assessed</v>
      </c>
      <c r="T132" s="16" t="str">
        <f aca="false">IF(J132="","No evidence pull assigned",IF(COUNTIF('Evidence Pulls'!$A$6:$A$125,J132)=0,"Pull ID not on Evidence Pulls sheet",IF(K132="","Not graded",IF(AND(G132="MANDATORY",L132="Gap - recommend tailoring"),"INVALID: safety-mandatory, not tailorable",IF(OR(P132="",P132=0),"NO NAMED EXECUTOR",IF(AND(H132="Full",N(O132)&gt;=3,N(IFERROR(INDEX('Evidence Pulls'!$J$6:$J$125,MATCH($J132,'Evidence Pulls'!$A$6:$A$125,0)),""))=0),"Operating claimed with no sample",IF(AND(N(O132)&gt;=3,P132=1),"Operating rests on one individual",IF(AND(G132="MANDATORY",N(O132)&lt;3),"SAFETY GATE: below Operating","OK"))))))))</f>
        <v>No evidence pull assigned</v>
      </c>
    </row>
    <row r="133" customFormat="false" ht="22.35" hidden="false" customHeight="false" outlineLevel="0" collapsed="false">
      <c r="A133" s="13" t="s">
        <v>316</v>
      </c>
      <c r="B133" s="13" t="s">
        <v>267</v>
      </c>
      <c r="C133" s="13" t="s">
        <v>298</v>
      </c>
      <c r="D133" s="13" t="s">
        <v>299</v>
      </c>
      <c r="E133" s="13" t="s">
        <v>317</v>
      </c>
      <c r="F133" s="14"/>
      <c r="G133" s="13"/>
      <c r="H133" s="13" t="s">
        <v>103</v>
      </c>
      <c r="I133" s="13" t="s">
        <v>270</v>
      </c>
      <c r="J133" s="15"/>
      <c r="K133" s="15"/>
      <c r="L133" s="15"/>
      <c r="M133" s="15"/>
      <c r="N133" s="15"/>
      <c r="O133" s="16" t="str">
        <f aca="false">IFERROR(INDEX(Lists!$B$3:$B$7,MATCH(K133,Lists!$A$3:$A$7,0)),"")</f>
        <v/>
      </c>
      <c r="P133" s="16" t="str">
        <f aca="false">IFERROR(INDEX('Evidence Pulls'!$N$6:$N$125,MATCH($J133,'Evidence Pulls'!$A$6:$A$125,0)),"")</f>
        <v/>
      </c>
      <c r="Q133" s="16" t="str">
        <f aca="false">IFERROR(INDEX('Evidence Pulls'!$G$6:$G$125,MATCH($J133,'Evidence Pulls'!$A$6:$A$125,0)),"")</f>
        <v/>
      </c>
      <c r="R133" s="16" t="str">
        <f aca="false">IFERROR(INDEX('Evidence Pulls'!$O$6:$O$125,MATCH($J133,'Evidence Pulls'!$A$6:$A$125,0)),"")</f>
        <v/>
      </c>
      <c r="S133" s="16" t="str">
        <f aca="false">IF(L133&lt;&gt;"",L133,IF(K133="","Not assessed",IF(N(O133)&gt;=3,"Demonstrated","Gap - remediate")))</f>
        <v>Not assessed</v>
      </c>
      <c r="T133" s="16" t="str">
        <f aca="false">IF(J133="","No evidence pull assigned",IF(COUNTIF('Evidence Pulls'!$A$6:$A$125,J133)=0,"Pull ID not on Evidence Pulls sheet",IF(K133="","Not graded",IF(AND(G133="MANDATORY",L133="Gap - recommend tailoring"),"INVALID: safety-mandatory, not tailorable",IF(OR(P133="",P133=0),"NO NAMED EXECUTOR",IF(AND(H133="Full",N(O133)&gt;=3,N(IFERROR(INDEX('Evidence Pulls'!$J$6:$J$125,MATCH($J133,'Evidence Pulls'!$A$6:$A$125,0)),""))=0),"Operating claimed with no sample",IF(AND(N(O133)&gt;=3,P133=1),"Operating rests on one individual",IF(AND(G133="MANDATORY",N(O133)&lt;3),"SAFETY GATE: below Operating","OK"))))))))</f>
        <v>No evidence pull assigned</v>
      </c>
    </row>
    <row r="134" customFormat="false" ht="22.35" hidden="false" customHeight="false" outlineLevel="0" collapsed="false">
      <c r="A134" s="13" t="s">
        <v>318</v>
      </c>
      <c r="B134" s="13" t="s">
        <v>267</v>
      </c>
      <c r="C134" s="13" t="s">
        <v>298</v>
      </c>
      <c r="D134" s="13" t="s">
        <v>299</v>
      </c>
      <c r="E134" s="13" t="s">
        <v>319</v>
      </c>
      <c r="F134" s="14"/>
      <c r="G134" s="13"/>
      <c r="H134" s="13" t="s">
        <v>103</v>
      </c>
      <c r="I134" s="13" t="s">
        <v>270</v>
      </c>
      <c r="J134" s="15"/>
      <c r="K134" s="15"/>
      <c r="L134" s="15"/>
      <c r="M134" s="15"/>
      <c r="N134" s="15"/>
      <c r="O134" s="16" t="str">
        <f aca="false">IFERROR(INDEX(Lists!$B$3:$B$7,MATCH(K134,Lists!$A$3:$A$7,0)),"")</f>
        <v/>
      </c>
      <c r="P134" s="16" t="str">
        <f aca="false">IFERROR(INDEX('Evidence Pulls'!$N$6:$N$125,MATCH($J134,'Evidence Pulls'!$A$6:$A$125,0)),"")</f>
        <v/>
      </c>
      <c r="Q134" s="16" t="str">
        <f aca="false">IFERROR(INDEX('Evidence Pulls'!$G$6:$G$125,MATCH($J134,'Evidence Pulls'!$A$6:$A$125,0)),"")</f>
        <v/>
      </c>
      <c r="R134" s="16" t="str">
        <f aca="false">IFERROR(INDEX('Evidence Pulls'!$O$6:$O$125,MATCH($J134,'Evidence Pulls'!$A$6:$A$125,0)),"")</f>
        <v/>
      </c>
      <c r="S134" s="16" t="str">
        <f aca="false">IF(L134&lt;&gt;"",L134,IF(K134="","Not assessed",IF(N(O134)&gt;=3,"Demonstrated","Gap - remediate")))</f>
        <v>Not assessed</v>
      </c>
      <c r="T134" s="16" t="str">
        <f aca="false">IF(J134="","No evidence pull assigned",IF(COUNTIF('Evidence Pulls'!$A$6:$A$125,J134)=0,"Pull ID not on Evidence Pulls sheet",IF(K134="","Not graded",IF(AND(G134="MANDATORY",L134="Gap - recommend tailoring"),"INVALID: safety-mandatory, not tailorable",IF(OR(P134="",P134=0),"NO NAMED EXECUTOR",IF(AND(H134="Full",N(O134)&gt;=3,N(IFERROR(INDEX('Evidence Pulls'!$J$6:$J$125,MATCH($J134,'Evidence Pulls'!$A$6:$A$125,0)),""))=0),"Operating claimed with no sample",IF(AND(N(O134)&gt;=3,P134=1),"Operating rests on one individual",IF(AND(G134="MANDATORY",N(O134)&lt;3),"SAFETY GATE: below Operating","OK"))))))))</f>
        <v>No evidence pull assigned</v>
      </c>
    </row>
    <row r="135" customFormat="false" ht="22.35" hidden="false" customHeight="false" outlineLevel="0" collapsed="false">
      <c r="A135" s="13" t="s">
        <v>320</v>
      </c>
      <c r="B135" s="13" t="s">
        <v>267</v>
      </c>
      <c r="C135" s="13" t="s">
        <v>298</v>
      </c>
      <c r="D135" s="13" t="s">
        <v>299</v>
      </c>
      <c r="E135" s="13" t="s">
        <v>321</v>
      </c>
      <c r="F135" s="14"/>
      <c r="G135" s="13"/>
      <c r="H135" s="13" t="s">
        <v>103</v>
      </c>
      <c r="I135" s="13" t="s">
        <v>270</v>
      </c>
      <c r="J135" s="15"/>
      <c r="K135" s="15"/>
      <c r="L135" s="15"/>
      <c r="M135" s="15"/>
      <c r="N135" s="15"/>
      <c r="O135" s="16" t="str">
        <f aca="false">IFERROR(INDEX(Lists!$B$3:$B$7,MATCH(K135,Lists!$A$3:$A$7,0)),"")</f>
        <v/>
      </c>
      <c r="P135" s="16" t="str">
        <f aca="false">IFERROR(INDEX('Evidence Pulls'!$N$6:$N$125,MATCH($J135,'Evidence Pulls'!$A$6:$A$125,0)),"")</f>
        <v/>
      </c>
      <c r="Q135" s="16" t="str">
        <f aca="false">IFERROR(INDEX('Evidence Pulls'!$G$6:$G$125,MATCH($J135,'Evidence Pulls'!$A$6:$A$125,0)),"")</f>
        <v/>
      </c>
      <c r="R135" s="16" t="str">
        <f aca="false">IFERROR(INDEX('Evidence Pulls'!$O$6:$O$125,MATCH($J135,'Evidence Pulls'!$A$6:$A$125,0)),"")</f>
        <v/>
      </c>
      <c r="S135" s="16" t="str">
        <f aca="false">IF(L135&lt;&gt;"",L135,IF(K135="","Not assessed",IF(N(O135)&gt;=3,"Demonstrated","Gap - remediate")))</f>
        <v>Not assessed</v>
      </c>
      <c r="T135" s="16" t="str">
        <f aca="false">IF(J135="","No evidence pull assigned",IF(COUNTIF('Evidence Pulls'!$A$6:$A$125,J135)=0,"Pull ID not on Evidence Pulls sheet",IF(K135="","Not graded",IF(AND(G135="MANDATORY",L135="Gap - recommend tailoring"),"INVALID: safety-mandatory, not tailorable",IF(OR(P135="",P135=0),"NO NAMED EXECUTOR",IF(AND(H135="Full",N(O135)&gt;=3,N(IFERROR(INDEX('Evidence Pulls'!$J$6:$J$125,MATCH($J135,'Evidence Pulls'!$A$6:$A$125,0)),""))=0),"Operating claimed with no sample",IF(AND(N(O135)&gt;=3,P135=1),"Operating rests on one individual",IF(AND(G135="MANDATORY",N(O135)&lt;3),"SAFETY GATE: below Operating","OK"))))))))</f>
        <v>No evidence pull assigned</v>
      </c>
    </row>
    <row r="136" customFormat="false" ht="22.35" hidden="false" customHeight="false" outlineLevel="0" collapsed="false">
      <c r="A136" s="13" t="s">
        <v>322</v>
      </c>
      <c r="B136" s="13" t="s">
        <v>267</v>
      </c>
      <c r="C136" s="13" t="s">
        <v>298</v>
      </c>
      <c r="D136" s="13" t="s">
        <v>299</v>
      </c>
      <c r="E136" s="13" t="s">
        <v>323</v>
      </c>
      <c r="F136" s="14"/>
      <c r="G136" s="13"/>
      <c r="H136" s="13" t="s">
        <v>103</v>
      </c>
      <c r="I136" s="13" t="s">
        <v>270</v>
      </c>
      <c r="J136" s="15"/>
      <c r="K136" s="15"/>
      <c r="L136" s="15"/>
      <c r="M136" s="15"/>
      <c r="N136" s="15"/>
      <c r="O136" s="16" t="str">
        <f aca="false">IFERROR(INDEX(Lists!$B$3:$B$7,MATCH(K136,Lists!$A$3:$A$7,0)),"")</f>
        <v/>
      </c>
      <c r="P136" s="16" t="str">
        <f aca="false">IFERROR(INDEX('Evidence Pulls'!$N$6:$N$125,MATCH($J136,'Evidence Pulls'!$A$6:$A$125,0)),"")</f>
        <v/>
      </c>
      <c r="Q136" s="16" t="str">
        <f aca="false">IFERROR(INDEX('Evidence Pulls'!$G$6:$G$125,MATCH($J136,'Evidence Pulls'!$A$6:$A$125,0)),"")</f>
        <v/>
      </c>
      <c r="R136" s="16" t="str">
        <f aca="false">IFERROR(INDEX('Evidence Pulls'!$O$6:$O$125,MATCH($J136,'Evidence Pulls'!$A$6:$A$125,0)),"")</f>
        <v/>
      </c>
      <c r="S136" s="16" t="str">
        <f aca="false">IF(L136&lt;&gt;"",L136,IF(K136="","Not assessed",IF(N(O136)&gt;=3,"Demonstrated","Gap - remediate")))</f>
        <v>Not assessed</v>
      </c>
      <c r="T136" s="16" t="str">
        <f aca="false">IF(J136="","No evidence pull assigned",IF(COUNTIF('Evidence Pulls'!$A$6:$A$125,J136)=0,"Pull ID not on Evidence Pulls sheet",IF(K136="","Not graded",IF(AND(G136="MANDATORY",L136="Gap - recommend tailoring"),"INVALID: safety-mandatory, not tailorable",IF(OR(P136="",P136=0),"NO NAMED EXECUTOR",IF(AND(H136="Full",N(O136)&gt;=3,N(IFERROR(INDEX('Evidence Pulls'!$J$6:$J$125,MATCH($J136,'Evidence Pulls'!$A$6:$A$125,0)),""))=0),"Operating claimed with no sample",IF(AND(N(O136)&gt;=3,P136=1),"Operating rests on one individual",IF(AND(G136="MANDATORY",N(O136)&lt;3),"SAFETY GATE: below Operating","OK"))))))))</f>
        <v>No evidence pull assigned</v>
      </c>
    </row>
    <row r="137" customFormat="false" ht="22.35" hidden="false" customHeight="false" outlineLevel="0" collapsed="false">
      <c r="A137" s="13" t="s">
        <v>324</v>
      </c>
      <c r="B137" s="13" t="s">
        <v>267</v>
      </c>
      <c r="C137" s="13" t="s">
        <v>298</v>
      </c>
      <c r="D137" s="13" t="s">
        <v>299</v>
      </c>
      <c r="E137" s="13" t="s">
        <v>325</v>
      </c>
      <c r="F137" s="14"/>
      <c r="G137" s="13"/>
      <c r="H137" s="13" t="s">
        <v>103</v>
      </c>
      <c r="I137" s="13" t="s">
        <v>270</v>
      </c>
      <c r="J137" s="15"/>
      <c r="K137" s="15"/>
      <c r="L137" s="15"/>
      <c r="M137" s="15"/>
      <c r="N137" s="15"/>
      <c r="O137" s="16" t="str">
        <f aca="false">IFERROR(INDEX(Lists!$B$3:$B$7,MATCH(K137,Lists!$A$3:$A$7,0)),"")</f>
        <v/>
      </c>
      <c r="P137" s="16" t="str">
        <f aca="false">IFERROR(INDEX('Evidence Pulls'!$N$6:$N$125,MATCH($J137,'Evidence Pulls'!$A$6:$A$125,0)),"")</f>
        <v/>
      </c>
      <c r="Q137" s="16" t="str">
        <f aca="false">IFERROR(INDEX('Evidence Pulls'!$G$6:$G$125,MATCH($J137,'Evidence Pulls'!$A$6:$A$125,0)),"")</f>
        <v/>
      </c>
      <c r="R137" s="16" t="str">
        <f aca="false">IFERROR(INDEX('Evidence Pulls'!$O$6:$O$125,MATCH($J137,'Evidence Pulls'!$A$6:$A$125,0)),"")</f>
        <v/>
      </c>
      <c r="S137" s="16" t="str">
        <f aca="false">IF(L137&lt;&gt;"",L137,IF(K137="","Not assessed",IF(N(O137)&gt;=3,"Demonstrated","Gap - remediate")))</f>
        <v>Not assessed</v>
      </c>
      <c r="T137" s="16" t="str">
        <f aca="false">IF(J137="","No evidence pull assigned",IF(COUNTIF('Evidence Pulls'!$A$6:$A$125,J137)=0,"Pull ID not on Evidence Pulls sheet",IF(K137="","Not graded",IF(AND(G137="MANDATORY",L137="Gap - recommend tailoring"),"INVALID: safety-mandatory, not tailorable",IF(OR(P137="",P137=0),"NO NAMED EXECUTOR",IF(AND(H137="Full",N(O137)&gt;=3,N(IFERROR(INDEX('Evidence Pulls'!$J$6:$J$125,MATCH($J137,'Evidence Pulls'!$A$6:$A$125,0)),""))=0),"Operating claimed with no sample",IF(AND(N(O137)&gt;=3,P137=1),"Operating rests on one individual",IF(AND(G137="MANDATORY",N(O137)&lt;3),"SAFETY GATE: below Operating","OK"))))))))</f>
        <v>No evidence pull assigned</v>
      </c>
    </row>
    <row r="138" customFormat="false" ht="22.35" hidden="false" customHeight="false" outlineLevel="0" collapsed="false">
      <c r="A138" s="13" t="s">
        <v>326</v>
      </c>
      <c r="B138" s="13" t="s">
        <v>267</v>
      </c>
      <c r="C138" s="13" t="s">
        <v>298</v>
      </c>
      <c r="D138" s="13" t="s">
        <v>299</v>
      </c>
      <c r="E138" s="13" t="s">
        <v>327</v>
      </c>
      <c r="F138" s="14"/>
      <c r="G138" s="13"/>
      <c r="H138" s="13" t="s">
        <v>103</v>
      </c>
      <c r="I138" s="13" t="s">
        <v>270</v>
      </c>
      <c r="J138" s="15"/>
      <c r="K138" s="15"/>
      <c r="L138" s="15"/>
      <c r="M138" s="15"/>
      <c r="N138" s="15"/>
      <c r="O138" s="16" t="str">
        <f aca="false">IFERROR(INDEX(Lists!$B$3:$B$7,MATCH(K138,Lists!$A$3:$A$7,0)),"")</f>
        <v/>
      </c>
      <c r="P138" s="16" t="str">
        <f aca="false">IFERROR(INDEX('Evidence Pulls'!$N$6:$N$125,MATCH($J138,'Evidence Pulls'!$A$6:$A$125,0)),"")</f>
        <v/>
      </c>
      <c r="Q138" s="16" t="str">
        <f aca="false">IFERROR(INDEX('Evidence Pulls'!$G$6:$G$125,MATCH($J138,'Evidence Pulls'!$A$6:$A$125,0)),"")</f>
        <v/>
      </c>
      <c r="R138" s="16" t="str">
        <f aca="false">IFERROR(INDEX('Evidence Pulls'!$O$6:$O$125,MATCH($J138,'Evidence Pulls'!$A$6:$A$125,0)),"")</f>
        <v/>
      </c>
      <c r="S138" s="16" t="str">
        <f aca="false">IF(L138&lt;&gt;"",L138,IF(K138="","Not assessed",IF(N(O138)&gt;=3,"Demonstrated","Gap - remediate")))</f>
        <v>Not assessed</v>
      </c>
      <c r="T138" s="16" t="str">
        <f aca="false">IF(J138="","No evidence pull assigned",IF(COUNTIF('Evidence Pulls'!$A$6:$A$125,J138)=0,"Pull ID not on Evidence Pulls sheet",IF(K138="","Not graded",IF(AND(G138="MANDATORY",L138="Gap - recommend tailoring"),"INVALID: safety-mandatory, not tailorable",IF(OR(P138="",P138=0),"NO NAMED EXECUTOR",IF(AND(H138="Full",N(O138)&gt;=3,N(IFERROR(INDEX('Evidence Pulls'!$J$6:$J$125,MATCH($J138,'Evidence Pulls'!$A$6:$A$125,0)),""))=0),"Operating claimed with no sample",IF(AND(N(O138)&gt;=3,P138=1),"Operating rests on one individual",IF(AND(G138="MANDATORY",N(O138)&lt;3),"SAFETY GATE: below Operating","OK"))))))))</f>
        <v>No evidence pull assigned</v>
      </c>
    </row>
    <row r="139" customFormat="false" ht="22.35" hidden="false" customHeight="false" outlineLevel="0" collapsed="false">
      <c r="A139" s="13" t="s">
        <v>328</v>
      </c>
      <c r="B139" s="13" t="s">
        <v>267</v>
      </c>
      <c r="C139" s="13" t="s">
        <v>298</v>
      </c>
      <c r="D139" s="13" t="s">
        <v>299</v>
      </c>
      <c r="E139" s="13" t="s">
        <v>329</v>
      </c>
      <c r="F139" s="14"/>
      <c r="G139" s="13"/>
      <c r="H139" s="13" t="s">
        <v>103</v>
      </c>
      <c r="I139" s="13" t="s">
        <v>270</v>
      </c>
      <c r="J139" s="15"/>
      <c r="K139" s="15"/>
      <c r="L139" s="15"/>
      <c r="M139" s="15"/>
      <c r="N139" s="15"/>
      <c r="O139" s="16" t="str">
        <f aca="false">IFERROR(INDEX(Lists!$B$3:$B$7,MATCH(K139,Lists!$A$3:$A$7,0)),"")</f>
        <v/>
      </c>
      <c r="P139" s="16" t="str">
        <f aca="false">IFERROR(INDEX('Evidence Pulls'!$N$6:$N$125,MATCH($J139,'Evidence Pulls'!$A$6:$A$125,0)),"")</f>
        <v/>
      </c>
      <c r="Q139" s="16" t="str">
        <f aca="false">IFERROR(INDEX('Evidence Pulls'!$G$6:$G$125,MATCH($J139,'Evidence Pulls'!$A$6:$A$125,0)),"")</f>
        <v/>
      </c>
      <c r="R139" s="16" t="str">
        <f aca="false">IFERROR(INDEX('Evidence Pulls'!$O$6:$O$125,MATCH($J139,'Evidence Pulls'!$A$6:$A$125,0)),"")</f>
        <v/>
      </c>
      <c r="S139" s="16" t="str">
        <f aca="false">IF(L139&lt;&gt;"",L139,IF(K139="","Not assessed",IF(N(O139)&gt;=3,"Demonstrated","Gap - remediate")))</f>
        <v>Not assessed</v>
      </c>
      <c r="T139" s="16" t="str">
        <f aca="false">IF(J139="","No evidence pull assigned",IF(COUNTIF('Evidence Pulls'!$A$6:$A$125,J139)=0,"Pull ID not on Evidence Pulls sheet",IF(K139="","Not graded",IF(AND(G139="MANDATORY",L139="Gap - recommend tailoring"),"INVALID: safety-mandatory, not tailorable",IF(OR(P139="",P139=0),"NO NAMED EXECUTOR",IF(AND(H139="Full",N(O139)&gt;=3,N(IFERROR(INDEX('Evidence Pulls'!$J$6:$J$125,MATCH($J139,'Evidence Pulls'!$A$6:$A$125,0)),""))=0),"Operating claimed with no sample",IF(AND(N(O139)&gt;=3,P139=1),"Operating rests on one individual",IF(AND(G139="MANDATORY",N(O139)&lt;3),"SAFETY GATE: below Operating","OK"))))))))</f>
        <v>No evidence pull assigned</v>
      </c>
    </row>
    <row r="140" customFormat="false" ht="22.35" hidden="false" customHeight="false" outlineLevel="0" collapsed="false">
      <c r="A140" s="13" t="s">
        <v>330</v>
      </c>
      <c r="B140" s="13" t="s">
        <v>267</v>
      </c>
      <c r="C140" s="13" t="s">
        <v>298</v>
      </c>
      <c r="D140" s="13" t="s">
        <v>299</v>
      </c>
      <c r="E140" s="13" t="s">
        <v>331</v>
      </c>
      <c r="F140" s="14"/>
      <c r="G140" s="13"/>
      <c r="H140" s="13" t="s">
        <v>103</v>
      </c>
      <c r="I140" s="13" t="s">
        <v>270</v>
      </c>
      <c r="J140" s="15"/>
      <c r="K140" s="15"/>
      <c r="L140" s="15"/>
      <c r="M140" s="15"/>
      <c r="N140" s="15"/>
      <c r="O140" s="16" t="str">
        <f aca="false">IFERROR(INDEX(Lists!$B$3:$B$7,MATCH(K140,Lists!$A$3:$A$7,0)),"")</f>
        <v/>
      </c>
      <c r="P140" s="16" t="str">
        <f aca="false">IFERROR(INDEX('Evidence Pulls'!$N$6:$N$125,MATCH($J140,'Evidence Pulls'!$A$6:$A$125,0)),"")</f>
        <v/>
      </c>
      <c r="Q140" s="16" t="str">
        <f aca="false">IFERROR(INDEX('Evidence Pulls'!$G$6:$G$125,MATCH($J140,'Evidence Pulls'!$A$6:$A$125,0)),"")</f>
        <v/>
      </c>
      <c r="R140" s="16" t="str">
        <f aca="false">IFERROR(INDEX('Evidence Pulls'!$O$6:$O$125,MATCH($J140,'Evidence Pulls'!$A$6:$A$125,0)),"")</f>
        <v/>
      </c>
      <c r="S140" s="16" t="str">
        <f aca="false">IF(L140&lt;&gt;"",L140,IF(K140="","Not assessed",IF(N(O140)&gt;=3,"Demonstrated","Gap - remediate")))</f>
        <v>Not assessed</v>
      </c>
      <c r="T140" s="16" t="str">
        <f aca="false">IF(J140="","No evidence pull assigned",IF(COUNTIF('Evidence Pulls'!$A$6:$A$125,J140)=0,"Pull ID not on Evidence Pulls sheet",IF(K140="","Not graded",IF(AND(G140="MANDATORY",L140="Gap - recommend tailoring"),"INVALID: safety-mandatory, not tailorable",IF(OR(P140="",P140=0),"NO NAMED EXECUTOR",IF(AND(H140="Full",N(O140)&gt;=3,N(IFERROR(INDEX('Evidence Pulls'!$J$6:$J$125,MATCH($J140,'Evidence Pulls'!$A$6:$A$125,0)),""))=0),"Operating claimed with no sample",IF(AND(N(O140)&gt;=3,P140=1),"Operating rests on one individual",IF(AND(G140="MANDATORY",N(O140)&lt;3),"SAFETY GATE: below Operating","OK"))))))))</f>
        <v>No evidence pull assigned</v>
      </c>
    </row>
    <row r="141" customFormat="false" ht="22.35" hidden="false" customHeight="false" outlineLevel="0" collapsed="false">
      <c r="A141" s="13" t="s">
        <v>332</v>
      </c>
      <c r="B141" s="13" t="s">
        <v>267</v>
      </c>
      <c r="C141" s="13" t="s">
        <v>298</v>
      </c>
      <c r="D141" s="13" t="s">
        <v>299</v>
      </c>
      <c r="E141" s="13" t="s">
        <v>333</v>
      </c>
      <c r="F141" s="14"/>
      <c r="G141" s="13"/>
      <c r="H141" s="13" t="s">
        <v>103</v>
      </c>
      <c r="I141" s="13" t="s">
        <v>270</v>
      </c>
      <c r="J141" s="15"/>
      <c r="K141" s="15"/>
      <c r="L141" s="15"/>
      <c r="M141" s="15"/>
      <c r="N141" s="15"/>
      <c r="O141" s="16" t="str">
        <f aca="false">IFERROR(INDEX(Lists!$B$3:$B$7,MATCH(K141,Lists!$A$3:$A$7,0)),"")</f>
        <v/>
      </c>
      <c r="P141" s="16" t="str">
        <f aca="false">IFERROR(INDEX('Evidence Pulls'!$N$6:$N$125,MATCH($J141,'Evidence Pulls'!$A$6:$A$125,0)),"")</f>
        <v/>
      </c>
      <c r="Q141" s="16" t="str">
        <f aca="false">IFERROR(INDEX('Evidence Pulls'!$G$6:$G$125,MATCH($J141,'Evidence Pulls'!$A$6:$A$125,0)),"")</f>
        <v/>
      </c>
      <c r="R141" s="16" t="str">
        <f aca="false">IFERROR(INDEX('Evidence Pulls'!$O$6:$O$125,MATCH($J141,'Evidence Pulls'!$A$6:$A$125,0)),"")</f>
        <v/>
      </c>
      <c r="S141" s="16" t="str">
        <f aca="false">IF(L141&lt;&gt;"",L141,IF(K141="","Not assessed",IF(N(O141)&gt;=3,"Demonstrated","Gap - remediate")))</f>
        <v>Not assessed</v>
      </c>
      <c r="T141" s="16" t="str">
        <f aca="false">IF(J141="","No evidence pull assigned",IF(COUNTIF('Evidence Pulls'!$A$6:$A$125,J141)=0,"Pull ID not on Evidence Pulls sheet",IF(K141="","Not graded",IF(AND(G141="MANDATORY",L141="Gap - recommend tailoring"),"INVALID: safety-mandatory, not tailorable",IF(OR(P141="",P141=0),"NO NAMED EXECUTOR",IF(AND(H141="Full",N(O141)&gt;=3,N(IFERROR(INDEX('Evidence Pulls'!$J$6:$J$125,MATCH($J141,'Evidence Pulls'!$A$6:$A$125,0)),""))=0),"Operating claimed with no sample",IF(AND(N(O141)&gt;=3,P141=1),"Operating rests on one individual",IF(AND(G141="MANDATORY",N(O141)&lt;3),"SAFETY GATE: below Operating","OK"))))))))</f>
        <v>No evidence pull assigned</v>
      </c>
    </row>
    <row r="142" customFormat="false" ht="22.35" hidden="false" customHeight="false" outlineLevel="0" collapsed="false">
      <c r="A142" s="13" t="s">
        <v>334</v>
      </c>
      <c r="B142" s="13" t="s">
        <v>267</v>
      </c>
      <c r="C142" s="13" t="s">
        <v>298</v>
      </c>
      <c r="D142" s="13" t="s">
        <v>299</v>
      </c>
      <c r="E142" s="13" t="s">
        <v>335</v>
      </c>
      <c r="F142" s="14"/>
      <c r="G142" s="13"/>
      <c r="H142" s="13" t="s">
        <v>103</v>
      </c>
      <c r="I142" s="13" t="s">
        <v>270</v>
      </c>
      <c r="J142" s="15"/>
      <c r="K142" s="15"/>
      <c r="L142" s="15"/>
      <c r="M142" s="15"/>
      <c r="N142" s="15"/>
      <c r="O142" s="16" t="str">
        <f aca="false">IFERROR(INDEX(Lists!$B$3:$B$7,MATCH(K142,Lists!$A$3:$A$7,0)),"")</f>
        <v/>
      </c>
      <c r="P142" s="16" t="str">
        <f aca="false">IFERROR(INDEX('Evidence Pulls'!$N$6:$N$125,MATCH($J142,'Evidence Pulls'!$A$6:$A$125,0)),"")</f>
        <v/>
      </c>
      <c r="Q142" s="16" t="str">
        <f aca="false">IFERROR(INDEX('Evidence Pulls'!$G$6:$G$125,MATCH($J142,'Evidence Pulls'!$A$6:$A$125,0)),"")</f>
        <v/>
      </c>
      <c r="R142" s="16" t="str">
        <f aca="false">IFERROR(INDEX('Evidence Pulls'!$O$6:$O$125,MATCH($J142,'Evidence Pulls'!$A$6:$A$125,0)),"")</f>
        <v/>
      </c>
      <c r="S142" s="16" t="str">
        <f aca="false">IF(L142&lt;&gt;"",L142,IF(K142="","Not assessed",IF(N(O142)&gt;=3,"Demonstrated","Gap - remediate")))</f>
        <v>Not assessed</v>
      </c>
      <c r="T142" s="16" t="str">
        <f aca="false">IF(J142="","No evidence pull assigned",IF(COUNTIF('Evidence Pulls'!$A$6:$A$125,J142)=0,"Pull ID not on Evidence Pulls sheet",IF(K142="","Not graded",IF(AND(G142="MANDATORY",L142="Gap - recommend tailoring"),"INVALID: safety-mandatory, not tailorable",IF(OR(P142="",P142=0),"NO NAMED EXECUTOR",IF(AND(H142="Full",N(O142)&gt;=3,N(IFERROR(INDEX('Evidence Pulls'!$J$6:$J$125,MATCH($J142,'Evidence Pulls'!$A$6:$A$125,0)),""))=0),"Operating claimed with no sample",IF(AND(N(O142)&gt;=3,P142=1),"Operating rests on one individual",IF(AND(G142="MANDATORY",N(O142)&lt;3),"SAFETY GATE: below Operating","OK"))))))))</f>
        <v>No evidence pull assigned</v>
      </c>
    </row>
    <row r="143" customFormat="false" ht="22.35" hidden="false" customHeight="false" outlineLevel="0" collapsed="false">
      <c r="A143" s="13" t="s">
        <v>336</v>
      </c>
      <c r="B143" s="13" t="s">
        <v>267</v>
      </c>
      <c r="C143" s="13" t="s">
        <v>298</v>
      </c>
      <c r="D143" s="13" t="s">
        <v>299</v>
      </c>
      <c r="E143" s="13" t="s">
        <v>337</v>
      </c>
      <c r="F143" s="14"/>
      <c r="G143" s="13"/>
      <c r="H143" s="13" t="s">
        <v>103</v>
      </c>
      <c r="I143" s="13" t="s">
        <v>270</v>
      </c>
      <c r="J143" s="15"/>
      <c r="K143" s="15"/>
      <c r="L143" s="15"/>
      <c r="M143" s="15"/>
      <c r="N143" s="15"/>
      <c r="O143" s="16" t="str">
        <f aca="false">IFERROR(INDEX(Lists!$B$3:$B$7,MATCH(K143,Lists!$A$3:$A$7,0)),"")</f>
        <v/>
      </c>
      <c r="P143" s="16" t="str">
        <f aca="false">IFERROR(INDEX('Evidence Pulls'!$N$6:$N$125,MATCH($J143,'Evidence Pulls'!$A$6:$A$125,0)),"")</f>
        <v/>
      </c>
      <c r="Q143" s="16" t="str">
        <f aca="false">IFERROR(INDEX('Evidence Pulls'!$G$6:$G$125,MATCH($J143,'Evidence Pulls'!$A$6:$A$125,0)),"")</f>
        <v/>
      </c>
      <c r="R143" s="16" t="str">
        <f aca="false">IFERROR(INDEX('Evidence Pulls'!$O$6:$O$125,MATCH($J143,'Evidence Pulls'!$A$6:$A$125,0)),"")</f>
        <v/>
      </c>
      <c r="S143" s="16" t="str">
        <f aca="false">IF(L143&lt;&gt;"",L143,IF(K143="","Not assessed",IF(N(O143)&gt;=3,"Demonstrated","Gap - remediate")))</f>
        <v>Not assessed</v>
      </c>
      <c r="T143" s="16" t="str">
        <f aca="false">IF(J143="","No evidence pull assigned",IF(COUNTIF('Evidence Pulls'!$A$6:$A$125,J143)=0,"Pull ID not on Evidence Pulls sheet",IF(K143="","Not graded",IF(AND(G143="MANDATORY",L143="Gap - recommend tailoring"),"INVALID: safety-mandatory, not tailorable",IF(OR(P143="",P143=0),"NO NAMED EXECUTOR",IF(AND(H143="Full",N(O143)&gt;=3,N(IFERROR(INDEX('Evidence Pulls'!$J$6:$J$125,MATCH($J143,'Evidence Pulls'!$A$6:$A$125,0)),""))=0),"Operating claimed with no sample",IF(AND(N(O143)&gt;=3,P143=1),"Operating rests on one individual",IF(AND(G143="MANDATORY",N(O143)&lt;3),"SAFETY GATE: below Operating","OK"))))))))</f>
        <v>No evidence pull assigned</v>
      </c>
    </row>
    <row r="144" customFormat="false" ht="22.35" hidden="false" customHeight="false" outlineLevel="0" collapsed="false">
      <c r="A144" s="13" t="s">
        <v>338</v>
      </c>
      <c r="B144" s="13" t="s">
        <v>267</v>
      </c>
      <c r="C144" s="13" t="s">
        <v>298</v>
      </c>
      <c r="D144" s="13" t="s">
        <v>299</v>
      </c>
      <c r="E144" s="13" t="s">
        <v>339</v>
      </c>
      <c r="F144" s="14"/>
      <c r="G144" s="13"/>
      <c r="H144" s="13" t="s">
        <v>103</v>
      </c>
      <c r="I144" s="13" t="s">
        <v>270</v>
      </c>
      <c r="J144" s="15"/>
      <c r="K144" s="15"/>
      <c r="L144" s="15"/>
      <c r="M144" s="15"/>
      <c r="N144" s="15"/>
      <c r="O144" s="16" t="str">
        <f aca="false">IFERROR(INDEX(Lists!$B$3:$B$7,MATCH(K144,Lists!$A$3:$A$7,0)),"")</f>
        <v/>
      </c>
      <c r="P144" s="16" t="str">
        <f aca="false">IFERROR(INDEX('Evidence Pulls'!$N$6:$N$125,MATCH($J144,'Evidence Pulls'!$A$6:$A$125,0)),"")</f>
        <v/>
      </c>
      <c r="Q144" s="16" t="str">
        <f aca="false">IFERROR(INDEX('Evidence Pulls'!$G$6:$G$125,MATCH($J144,'Evidence Pulls'!$A$6:$A$125,0)),"")</f>
        <v/>
      </c>
      <c r="R144" s="16" t="str">
        <f aca="false">IFERROR(INDEX('Evidence Pulls'!$O$6:$O$125,MATCH($J144,'Evidence Pulls'!$A$6:$A$125,0)),"")</f>
        <v/>
      </c>
      <c r="S144" s="16" t="str">
        <f aca="false">IF(L144&lt;&gt;"",L144,IF(K144="","Not assessed",IF(N(O144)&gt;=3,"Demonstrated","Gap - remediate")))</f>
        <v>Not assessed</v>
      </c>
      <c r="T144" s="16" t="str">
        <f aca="false">IF(J144="","No evidence pull assigned",IF(COUNTIF('Evidence Pulls'!$A$6:$A$125,J144)=0,"Pull ID not on Evidence Pulls sheet",IF(K144="","Not graded",IF(AND(G144="MANDATORY",L144="Gap - recommend tailoring"),"INVALID: safety-mandatory, not tailorable",IF(OR(P144="",P144=0),"NO NAMED EXECUTOR",IF(AND(H144="Full",N(O144)&gt;=3,N(IFERROR(INDEX('Evidence Pulls'!$J$6:$J$125,MATCH($J144,'Evidence Pulls'!$A$6:$A$125,0)),""))=0),"Operating claimed with no sample",IF(AND(N(O144)&gt;=3,P144=1),"Operating rests on one individual",IF(AND(G144="MANDATORY",N(O144)&lt;3),"SAFETY GATE: below Operating","OK"))))))))</f>
        <v>No evidence pull assigned</v>
      </c>
    </row>
    <row r="145" customFormat="false" ht="22.35" hidden="false" customHeight="false" outlineLevel="0" collapsed="false">
      <c r="A145" s="13" t="s">
        <v>340</v>
      </c>
      <c r="B145" s="13" t="s">
        <v>267</v>
      </c>
      <c r="C145" s="13" t="s">
        <v>298</v>
      </c>
      <c r="D145" s="13" t="s">
        <v>299</v>
      </c>
      <c r="E145" s="13" t="s">
        <v>341</v>
      </c>
      <c r="F145" s="14"/>
      <c r="G145" s="13"/>
      <c r="H145" s="13" t="s">
        <v>103</v>
      </c>
      <c r="I145" s="13" t="s">
        <v>270</v>
      </c>
      <c r="J145" s="15"/>
      <c r="K145" s="15"/>
      <c r="L145" s="15"/>
      <c r="M145" s="15"/>
      <c r="N145" s="15"/>
      <c r="O145" s="16" t="str">
        <f aca="false">IFERROR(INDEX(Lists!$B$3:$B$7,MATCH(K145,Lists!$A$3:$A$7,0)),"")</f>
        <v/>
      </c>
      <c r="P145" s="16" t="str">
        <f aca="false">IFERROR(INDEX('Evidence Pulls'!$N$6:$N$125,MATCH($J145,'Evidence Pulls'!$A$6:$A$125,0)),"")</f>
        <v/>
      </c>
      <c r="Q145" s="16" t="str">
        <f aca="false">IFERROR(INDEX('Evidence Pulls'!$G$6:$G$125,MATCH($J145,'Evidence Pulls'!$A$6:$A$125,0)),"")</f>
        <v/>
      </c>
      <c r="R145" s="16" t="str">
        <f aca="false">IFERROR(INDEX('Evidence Pulls'!$O$6:$O$125,MATCH($J145,'Evidence Pulls'!$A$6:$A$125,0)),"")</f>
        <v/>
      </c>
      <c r="S145" s="16" t="str">
        <f aca="false">IF(L145&lt;&gt;"",L145,IF(K145="","Not assessed",IF(N(O145)&gt;=3,"Demonstrated","Gap - remediate")))</f>
        <v>Not assessed</v>
      </c>
      <c r="T145" s="16" t="str">
        <f aca="false">IF(J145="","No evidence pull assigned",IF(COUNTIF('Evidence Pulls'!$A$6:$A$125,J145)=0,"Pull ID not on Evidence Pulls sheet",IF(K145="","Not graded",IF(AND(G145="MANDATORY",L145="Gap - recommend tailoring"),"INVALID: safety-mandatory, not tailorable",IF(OR(P145="",P145=0),"NO NAMED EXECUTOR",IF(AND(H145="Full",N(O145)&gt;=3,N(IFERROR(INDEX('Evidence Pulls'!$J$6:$J$125,MATCH($J145,'Evidence Pulls'!$A$6:$A$125,0)),""))=0),"Operating claimed with no sample",IF(AND(N(O145)&gt;=3,P145=1),"Operating rests on one individual",IF(AND(G145="MANDATORY",N(O145)&lt;3),"SAFETY GATE: below Operating","OK"))))))))</f>
        <v>No evidence pull assigned</v>
      </c>
    </row>
    <row r="146" customFormat="false" ht="22.35" hidden="false" customHeight="false" outlineLevel="0" collapsed="false">
      <c r="A146" s="13" t="s">
        <v>342</v>
      </c>
      <c r="B146" s="13" t="s">
        <v>267</v>
      </c>
      <c r="C146" s="13" t="s">
        <v>298</v>
      </c>
      <c r="D146" s="13" t="s">
        <v>299</v>
      </c>
      <c r="E146" s="13" t="s">
        <v>343</v>
      </c>
      <c r="F146" s="14"/>
      <c r="G146" s="13"/>
      <c r="H146" s="13" t="s">
        <v>103</v>
      </c>
      <c r="I146" s="13" t="s">
        <v>270</v>
      </c>
      <c r="J146" s="15"/>
      <c r="K146" s="15"/>
      <c r="L146" s="15"/>
      <c r="M146" s="15"/>
      <c r="N146" s="15"/>
      <c r="O146" s="16" t="str">
        <f aca="false">IFERROR(INDEX(Lists!$B$3:$B$7,MATCH(K146,Lists!$A$3:$A$7,0)),"")</f>
        <v/>
      </c>
      <c r="P146" s="16" t="str">
        <f aca="false">IFERROR(INDEX('Evidence Pulls'!$N$6:$N$125,MATCH($J146,'Evidence Pulls'!$A$6:$A$125,0)),"")</f>
        <v/>
      </c>
      <c r="Q146" s="16" t="str">
        <f aca="false">IFERROR(INDEX('Evidence Pulls'!$G$6:$G$125,MATCH($J146,'Evidence Pulls'!$A$6:$A$125,0)),"")</f>
        <v/>
      </c>
      <c r="R146" s="16" t="str">
        <f aca="false">IFERROR(INDEX('Evidence Pulls'!$O$6:$O$125,MATCH($J146,'Evidence Pulls'!$A$6:$A$125,0)),"")</f>
        <v/>
      </c>
      <c r="S146" s="16" t="str">
        <f aca="false">IF(L146&lt;&gt;"",L146,IF(K146="","Not assessed",IF(N(O146)&gt;=3,"Demonstrated","Gap - remediate")))</f>
        <v>Not assessed</v>
      </c>
      <c r="T146" s="16" t="str">
        <f aca="false">IF(J146="","No evidence pull assigned",IF(COUNTIF('Evidence Pulls'!$A$6:$A$125,J146)=0,"Pull ID not on Evidence Pulls sheet",IF(K146="","Not graded",IF(AND(G146="MANDATORY",L146="Gap - recommend tailoring"),"INVALID: safety-mandatory, not tailorable",IF(OR(P146="",P146=0),"NO NAMED EXECUTOR",IF(AND(H146="Full",N(O146)&gt;=3,N(IFERROR(INDEX('Evidence Pulls'!$J$6:$J$125,MATCH($J146,'Evidence Pulls'!$A$6:$A$125,0)),""))=0),"Operating claimed with no sample",IF(AND(N(O146)&gt;=3,P146=1),"Operating rests on one individual",IF(AND(G146="MANDATORY",N(O146)&lt;3),"SAFETY GATE: below Operating","OK"))))))))</f>
        <v>No evidence pull assigned</v>
      </c>
    </row>
    <row r="147" customFormat="false" ht="22.35" hidden="false" customHeight="false" outlineLevel="0" collapsed="false">
      <c r="A147" s="13" t="s">
        <v>344</v>
      </c>
      <c r="B147" s="13" t="s">
        <v>267</v>
      </c>
      <c r="C147" s="13" t="s">
        <v>298</v>
      </c>
      <c r="D147" s="13" t="s">
        <v>299</v>
      </c>
      <c r="E147" s="13" t="s">
        <v>345</v>
      </c>
      <c r="F147" s="14"/>
      <c r="G147" s="13"/>
      <c r="H147" s="13" t="s">
        <v>103</v>
      </c>
      <c r="I147" s="13" t="s">
        <v>270</v>
      </c>
      <c r="J147" s="15"/>
      <c r="K147" s="15"/>
      <c r="L147" s="15"/>
      <c r="M147" s="15"/>
      <c r="N147" s="15"/>
      <c r="O147" s="16" t="str">
        <f aca="false">IFERROR(INDEX(Lists!$B$3:$B$7,MATCH(K147,Lists!$A$3:$A$7,0)),"")</f>
        <v/>
      </c>
      <c r="P147" s="16" t="str">
        <f aca="false">IFERROR(INDEX('Evidence Pulls'!$N$6:$N$125,MATCH($J147,'Evidence Pulls'!$A$6:$A$125,0)),"")</f>
        <v/>
      </c>
      <c r="Q147" s="16" t="str">
        <f aca="false">IFERROR(INDEX('Evidence Pulls'!$G$6:$G$125,MATCH($J147,'Evidence Pulls'!$A$6:$A$125,0)),"")</f>
        <v/>
      </c>
      <c r="R147" s="16" t="str">
        <f aca="false">IFERROR(INDEX('Evidence Pulls'!$O$6:$O$125,MATCH($J147,'Evidence Pulls'!$A$6:$A$125,0)),"")</f>
        <v/>
      </c>
      <c r="S147" s="16" t="str">
        <f aca="false">IF(L147&lt;&gt;"",L147,IF(K147="","Not assessed",IF(N(O147)&gt;=3,"Demonstrated","Gap - remediate")))</f>
        <v>Not assessed</v>
      </c>
      <c r="T147" s="16" t="str">
        <f aca="false">IF(J147="","No evidence pull assigned",IF(COUNTIF('Evidence Pulls'!$A$6:$A$125,J147)=0,"Pull ID not on Evidence Pulls sheet",IF(K147="","Not graded",IF(AND(G147="MANDATORY",L147="Gap - recommend tailoring"),"INVALID: safety-mandatory, not tailorable",IF(OR(P147="",P147=0),"NO NAMED EXECUTOR",IF(AND(H147="Full",N(O147)&gt;=3,N(IFERROR(INDEX('Evidence Pulls'!$J$6:$J$125,MATCH($J147,'Evidence Pulls'!$A$6:$A$125,0)),""))=0),"Operating claimed with no sample",IF(AND(N(O147)&gt;=3,P147=1),"Operating rests on one individual",IF(AND(G147="MANDATORY",N(O147)&lt;3),"SAFETY GATE: below Operating","OK"))))))))</f>
        <v>No evidence pull assigned</v>
      </c>
    </row>
    <row r="148" customFormat="false" ht="22.35" hidden="false" customHeight="false" outlineLevel="0" collapsed="false">
      <c r="A148" s="13" t="s">
        <v>346</v>
      </c>
      <c r="B148" s="13" t="s">
        <v>267</v>
      </c>
      <c r="C148" s="13" t="s">
        <v>298</v>
      </c>
      <c r="D148" s="13" t="s">
        <v>299</v>
      </c>
      <c r="E148" s="13" t="s">
        <v>347</v>
      </c>
      <c r="F148" s="14"/>
      <c r="G148" s="13"/>
      <c r="H148" s="13" t="s">
        <v>103</v>
      </c>
      <c r="I148" s="13" t="s">
        <v>270</v>
      </c>
      <c r="J148" s="15"/>
      <c r="K148" s="15"/>
      <c r="L148" s="15"/>
      <c r="M148" s="15"/>
      <c r="N148" s="15"/>
      <c r="O148" s="16" t="str">
        <f aca="false">IFERROR(INDEX(Lists!$B$3:$B$7,MATCH(K148,Lists!$A$3:$A$7,0)),"")</f>
        <v/>
      </c>
      <c r="P148" s="16" t="str">
        <f aca="false">IFERROR(INDEX('Evidence Pulls'!$N$6:$N$125,MATCH($J148,'Evidence Pulls'!$A$6:$A$125,0)),"")</f>
        <v/>
      </c>
      <c r="Q148" s="16" t="str">
        <f aca="false">IFERROR(INDEX('Evidence Pulls'!$G$6:$G$125,MATCH($J148,'Evidence Pulls'!$A$6:$A$125,0)),"")</f>
        <v/>
      </c>
      <c r="R148" s="16" t="str">
        <f aca="false">IFERROR(INDEX('Evidence Pulls'!$O$6:$O$125,MATCH($J148,'Evidence Pulls'!$A$6:$A$125,0)),"")</f>
        <v/>
      </c>
      <c r="S148" s="16" t="str">
        <f aca="false">IF(L148&lt;&gt;"",L148,IF(K148="","Not assessed",IF(N(O148)&gt;=3,"Demonstrated","Gap - remediate")))</f>
        <v>Not assessed</v>
      </c>
      <c r="T148" s="16" t="str">
        <f aca="false">IF(J148="","No evidence pull assigned",IF(COUNTIF('Evidence Pulls'!$A$6:$A$125,J148)=0,"Pull ID not on Evidence Pulls sheet",IF(K148="","Not graded",IF(AND(G148="MANDATORY",L148="Gap - recommend tailoring"),"INVALID: safety-mandatory, not tailorable",IF(OR(P148="",P148=0),"NO NAMED EXECUTOR",IF(AND(H148="Full",N(O148)&gt;=3,N(IFERROR(INDEX('Evidence Pulls'!$J$6:$J$125,MATCH($J148,'Evidence Pulls'!$A$6:$A$125,0)),""))=0),"Operating claimed with no sample",IF(AND(N(O148)&gt;=3,P148=1),"Operating rests on one individual",IF(AND(G148="MANDATORY",N(O148)&lt;3),"SAFETY GATE: below Operating","OK"))))))))</f>
        <v>No evidence pull assigned</v>
      </c>
    </row>
    <row r="149" customFormat="false" ht="22.35" hidden="false" customHeight="false" outlineLevel="0" collapsed="false">
      <c r="A149" s="13" t="s">
        <v>348</v>
      </c>
      <c r="B149" s="13" t="s">
        <v>267</v>
      </c>
      <c r="C149" s="13" t="s">
        <v>298</v>
      </c>
      <c r="D149" s="13" t="s">
        <v>299</v>
      </c>
      <c r="E149" s="13" t="s">
        <v>349</v>
      </c>
      <c r="F149" s="14"/>
      <c r="G149" s="13"/>
      <c r="H149" s="13" t="s">
        <v>103</v>
      </c>
      <c r="I149" s="13" t="s">
        <v>270</v>
      </c>
      <c r="J149" s="15"/>
      <c r="K149" s="15"/>
      <c r="L149" s="15"/>
      <c r="M149" s="15"/>
      <c r="N149" s="15"/>
      <c r="O149" s="16" t="str">
        <f aca="false">IFERROR(INDEX(Lists!$B$3:$B$7,MATCH(K149,Lists!$A$3:$A$7,0)),"")</f>
        <v/>
      </c>
      <c r="P149" s="16" t="str">
        <f aca="false">IFERROR(INDEX('Evidence Pulls'!$N$6:$N$125,MATCH($J149,'Evidence Pulls'!$A$6:$A$125,0)),"")</f>
        <v/>
      </c>
      <c r="Q149" s="16" t="str">
        <f aca="false">IFERROR(INDEX('Evidence Pulls'!$G$6:$G$125,MATCH($J149,'Evidence Pulls'!$A$6:$A$125,0)),"")</f>
        <v/>
      </c>
      <c r="R149" s="16" t="str">
        <f aca="false">IFERROR(INDEX('Evidence Pulls'!$O$6:$O$125,MATCH($J149,'Evidence Pulls'!$A$6:$A$125,0)),"")</f>
        <v/>
      </c>
      <c r="S149" s="16" t="str">
        <f aca="false">IF(L149&lt;&gt;"",L149,IF(K149="","Not assessed",IF(N(O149)&gt;=3,"Demonstrated","Gap - remediate")))</f>
        <v>Not assessed</v>
      </c>
      <c r="T149" s="16" t="str">
        <f aca="false">IF(J149="","No evidence pull assigned",IF(COUNTIF('Evidence Pulls'!$A$6:$A$125,J149)=0,"Pull ID not on Evidence Pulls sheet",IF(K149="","Not graded",IF(AND(G149="MANDATORY",L149="Gap - recommend tailoring"),"INVALID: safety-mandatory, not tailorable",IF(OR(P149="",P149=0),"NO NAMED EXECUTOR",IF(AND(H149="Full",N(O149)&gt;=3,N(IFERROR(INDEX('Evidence Pulls'!$J$6:$J$125,MATCH($J149,'Evidence Pulls'!$A$6:$A$125,0)),""))=0),"Operating claimed with no sample",IF(AND(N(O149)&gt;=3,P149=1),"Operating rests on one individual",IF(AND(G149="MANDATORY",N(O149)&lt;3),"SAFETY GATE: below Operating","OK"))))))))</f>
        <v>No evidence pull assigned</v>
      </c>
    </row>
    <row r="150" customFormat="false" ht="22.35" hidden="false" customHeight="false" outlineLevel="0" collapsed="false">
      <c r="A150" s="13" t="s">
        <v>350</v>
      </c>
      <c r="B150" s="13" t="s">
        <v>267</v>
      </c>
      <c r="C150" s="13" t="s">
        <v>298</v>
      </c>
      <c r="D150" s="13" t="s">
        <v>299</v>
      </c>
      <c r="E150" s="13" t="s">
        <v>351</v>
      </c>
      <c r="F150" s="14"/>
      <c r="G150" s="13"/>
      <c r="H150" s="13" t="s">
        <v>103</v>
      </c>
      <c r="I150" s="13" t="s">
        <v>270</v>
      </c>
      <c r="J150" s="15"/>
      <c r="K150" s="15"/>
      <c r="L150" s="15"/>
      <c r="M150" s="15"/>
      <c r="N150" s="15"/>
      <c r="O150" s="16" t="str">
        <f aca="false">IFERROR(INDEX(Lists!$B$3:$B$7,MATCH(K150,Lists!$A$3:$A$7,0)),"")</f>
        <v/>
      </c>
      <c r="P150" s="16" t="str">
        <f aca="false">IFERROR(INDEX('Evidence Pulls'!$N$6:$N$125,MATCH($J150,'Evidence Pulls'!$A$6:$A$125,0)),"")</f>
        <v/>
      </c>
      <c r="Q150" s="16" t="str">
        <f aca="false">IFERROR(INDEX('Evidence Pulls'!$G$6:$G$125,MATCH($J150,'Evidence Pulls'!$A$6:$A$125,0)),"")</f>
        <v/>
      </c>
      <c r="R150" s="16" t="str">
        <f aca="false">IFERROR(INDEX('Evidence Pulls'!$O$6:$O$125,MATCH($J150,'Evidence Pulls'!$A$6:$A$125,0)),"")</f>
        <v/>
      </c>
      <c r="S150" s="16" t="str">
        <f aca="false">IF(L150&lt;&gt;"",L150,IF(K150="","Not assessed",IF(N(O150)&gt;=3,"Demonstrated","Gap - remediate")))</f>
        <v>Not assessed</v>
      </c>
      <c r="T150" s="16" t="str">
        <f aca="false">IF(J150="","No evidence pull assigned",IF(COUNTIF('Evidence Pulls'!$A$6:$A$125,J150)=0,"Pull ID not on Evidence Pulls sheet",IF(K150="","Not graded",IF(AND(G150="MANDATORY",L150="Gap - recommend tailoring"),"INVALID: safety-mandatory, not tailorable",IF(OR(P150="",P150=0),"NO NAMED EXECUTOR",IF(AND(H150="Full",N(O150)&gt;=3,N(IFERROR(INDEX('Evidence Pulls'!$J$6:$J$125,MATCH($J150,'Evidence Pulls'!$A$6:$A$125,0)),""))=0),"Operating claimed with no sample",IF(AND(N(O150)&gt;=3,P150=1),"Operating rests on one individual",IF(AND(G150="MANDATORY",N(O150)&lt;3),"SAFETY GATE: below Operating","OK"))))))))</f>
        <v>No evidence pull assigned</v>
      </c>
    </row>
    <row r="151" customFormat="false" ht="22.35" hidden="false" customHeight="false" outlineLevel="0" collapsed="false">
      <c r="A151" s="13" t="s">
        <v>352</v>
      </c>
      <c r="B151" s="13" t="s">
        <v>267</v>
      </c>
      <c r="C151" s="13" t="s">
        <v>298</v>
      </c>
      <c r="D151" s="13" t="s">
        <v>299</v>
      </c>
      <c r="E151" s="13" t="s">
        <v>353</v>
      </c>
      <c r="F151" s="14"/>
      <c r="G151" s="13"/>
      <c r="H151" s="13" t="s">
        <v>103</v>
      </c>
      <c r="I151" s="13" t="s">
        <v>270</v>
      </c>
      <c r="J151" s="15"/>
      <c r="K151" s="15"/>
      <c r="L151" s="15"/>
      <c r="M151" s="15"/>
      <c r="N151" s="15"/>
      <c r="O151" s="16" t="str">
        <f aca="false">IFERROR(INDEX(Lists!$B$3:$B$7,MATCH(K151,Lists!$A$3:$A$7,0)),"")</f>
        <v/>
      </c>
      <c r="P151" s="16" t="str">
        <f aca="false">IFERROR(INDEX('Evidence Pulls'!$N$6:$N$125,MATCH($J151,'Evidence Pulls'!$A$6:$A$125,0)),"")</f>
        <v/>
      </c>
      <c r="Q151" s="16" t="str">
        <f aca="false">IFERROR(INDEX('Evidence Pulls'!$G$6:$G$125,MATCH($J151,'Evidence Pulls'!$A$6:$A$125,0)),"")</f>
        <v/>
      </c>
      <c r="R151" s="16" t="str">
        <f aca="false">IFERROR(INDEX('Evidence Pulls'!$O$6:$O$125,MATCH($J151,'Evidence Pulls'!$A$6:$A$125,0)),"")</f>
        <v/>
      </c>
      <c r="S151" s="16" t="str">
        <f aca="false">IF(L151&lt;&gt;"",L151,IF(K151="","Not assessed",IF(N(O151)&gt;=3,"Demonstrated","Gap - remediate")))</f>
        <v>Not assessed</v>
      </c>
      <c r="T151" s="16" t="str">
        <f aca="false">IF(J151="","No evidence pull assigned",IF(COUNTIF('Evidence Pulls'!$A$6:$A$125,J151)=0,"Pull ID not on Evidence Pulls sheet",IF(K151="","Not graded",IF(AND(G151="MANDATORY",L151="Gap - recommend tailoring"),"INVALID: safety-mandatory, not tailorable",IF(OR(P151="",P151=0),"NO NAMED EXECUTOR",IF(AND(H151="Full",N(O151)&gt;=3,N(IFERROR(INDEX('Evidence Pulls'!$J$6:$J$125,MATCH($J151,'Evidence Pulls'!$A$6:$A$125,0)),""))=0),"Operating claimed with no sample",IF(AND(N(O151)&gt;=3,P151=1),"Operating rests on one individual",IF(AND(G151="MANDATORY",N(O151)&lt;3),"SAFETY GATE: below Operating","OK"))))))))</f>
        <v>No evidence pull assigned</v>
      </c>
    </row>
    <row r="152" customFormat="false" ht="22.35" hidden="false" customHeight="false" outlineLevel="0" collapsed="false">
      <c r="A152" s="13" t="s">
        <v>354</v>
      </c>
      <c r="B152" s="13" t="s">
        <v>267</v>
      </c>
      <c r="C152" s="13" t="s">
        <v>298</v>
      </c>
      <c r="D152" s="13" t="s">
        <v>299</v>
      </c>
      <c r="E152" s="13" t="s">
        <v>355</v>
      </c>
      <c r="F152" s="14"/>
      <c r="G152" s="13"/>
      <c r="H152" s="13" t="s">
        <v>103</v>
      </c>
      <c r="I152" s="13" t="s">
        <v>270</v>
      </c>
      <c r="J152" s="15"/>
      <c r="K152" s="15"/>
      <c r="L152" s="15"/>
      <c r="M152" s="15"/>
      <c r="N152" s="15"/>
      <c r="O152" s="16" t="str">
        <f aca="false">IFERROR(INDEX(Lists!$B$3:$B$7,MATCH(K152,Lists!$A$3:$A$7,0)),"")</f>
        <v/>
      </c>
      <c r="P152" s="16" t="str">
        <f aca="false">IFERROR(INDEX('Evidence Pulls'!$N$6:$N$125,MATCH($J152,'Evidence Pulls'!$A$6:$A$125,0)),"")</f>
        <v/>
      </c>
      <c r="Q152" s="16" t="str">
        <f aca="false">IFERROR(INDEX('Evidence Pulls'!$G$6:$G$125,MATCH($J152,'Evidence Pulls'!$A$6:$A$125,0)),"")</f>
        <v/>
      </c>
      <c r="R152" s="16" t="str">
        <f aca="false">IFERROR(INDEX('Evidence Pulls'!$O$6:$O$125,MATCH($J152,'Evidence Pulls'!$A$6:$A$125,0)),"")</f>
        <v/>
      </c>
      <c r="S152" s="16" t="str">
        <f aca="false">IF(L152&lt;&gt;"",L152,IF(K152="","Not assessed",IF(N(O152)&gt;=3,"Demonstrated","Gap - remediate")))</f>
        <v>Not assessed</v>
      </c>
      <c r="T152" s="16" t="str">
        <f aca="false">IF(J152="","No evidence pull assigned",IF(COUNTIF('Evidence Pulls'!$A$6:$A$125,J152)=0,"Pull ID not on Evidence Pulls sheet",IF(K152="","Not graded",IF(AND(G152="MANDATORY",L152="Gap - recommend tailoring"),"INVALID: safety-mandatory, not tailorable",IF(OR(P152="",P152=0),"NO NAMED EXECUTOR",IF(AND(H152="Full",N(O152)&gt;=3,N(IFERROR(INDEX('Evidence Pulls'!$J$6:$J$125,MATCH($J152,'Evidence Pulls'!$A$6:$A$125,0)),""))=0),"Operating claimed with no sample",IF(AND(N(O152)&gt;=3,P152=1),"Operating rests on one individual",IF(AND(G152="MANDATORY",N(O152)&lt;3),"SAFETY GATE: below Operating","OK"))))))))</f>
        <v>No evidence pull assigned</v>
      </c>
    </row>
    <row r="153" customFormat="false" ht="22.35" hidden="false" customHeight="false" outlineLevel="0" collapsed="false">
      <c r="A153" s="13" t="s">
        <v>356</v>
      </c>
      <c r="B153" s="13" t="s">
        <v>267</v>
      </c>
      <c r="C153" s="13" t="s">
        <v>298</v>
      </c>
      <c r="D153" s="13" t="s">
        <v>299</v>
      </c>
      <c r="E153" s="13" t="s">
        <v>357</v>
      </c>
      <c r="F153" s="14"/>
      <c r="G153" s="13"/>
      <c r="H153" s="13" t="s">
        <v>103</v>
      </c>
      <c r="I153" s="13" t="s">
        <v>270</v>
      </c>
      <c r="J153" s="15"/>
      <c r="K153" s="15"/>
      <c r="L153" s="15"/>
      <c r="M153" s="15"/>
      <c r="N153" s="15"/>
      <c r="O153" s="16" t="str">
        <f aca="false">IFERROR(INDEX(Lists!$B$3:$B$7,MATCH(K153,Lists!$A$3:$A$7,0)),"")</f>
        <v/>
      </c>
      <c r="P153" s="16" t="str">
        <f aca="false">IFERROR(INDEX('Evidence Pulls'!$N$6:$N$125,MATCH($J153,'Evidence Pulls'!$A$6:$A$125,0)),"")</f>
        <v/>
      </c>
      <c r="Q153" s="16" t="str">
        <f aca="false">IFERROR(INDEX('Evidence Pulls'!$G$6:$G$125,MATCH($J153,'Evidence Pulls'!$A$6:$A$125,0)),"")</f>
        <v/>
      </c>
      <c r="R153" s="16" t="str">
        <f aca="false">IFERROR(INDEX('Evidence Pulls'!$O$6:$O$125,MATCH($J153,'Evidence Pulls'!$A$6:$A$125,0)),"")</f>
        <v/>
      </c>
      <c r="S153" s="16" t="str">
        <f aca="false">IF(L153&lt;&gt;"",L153,IF(K153="","Not assessed",IF(N(O153)&gt;=3,"Demonstrated","Gap - remediate")))</f>
        <v>Not assessed</v>
      </c>
      <c r="T153" s="16" t="str">
        <f aca="false">IF(J153="","No evidence pull assigned",IF(COUNTIF('Evidence Pulls'!$A$6:$A$125,J153)=0,"Pull ID not on Evidence Pulls sheet",IF(K153="","Not graded",IF(AND(G153="MANDATORY",L153="Gap - recommend tailoring"),"INVALID: safety-mandatory, not tailorable",IF(OR(P153="",P153=0),"NO NAMED EXECUTOR",IF(AND(H153="Full",N(O153)&gt;=3,N(IFERROR(INDEX('Evidence Pulls'!$J$6:$J$125,MATCH($J153,'Evidence Pulls'!$A$6:$A$125,0)),""))=0),"Operating claimed with no sample",IF(AND(N(O153)&gt;=3,P153=1),"Operating rests on one individual",IF(AND(G153="MANDATORY",N(O153)&lt;3),"SAFETY GATE: below Operating","OK"))))))))</f>
        <v>No evidence pull assigned</v>
      </c>
    </row>
    <row r="154" customFormat="false" ht="22.35" hidden="false" customHeight="false" outlineLevel="0" collapsed="false">
      <c r="A154" s="13" t="s">
        <v>358</v>
      </c>
      <c r="B154" s="13" t="s">
        <v>267</v>
      </c>
      <c r="C154" s="13" t="s">
        <v>298</v>
      </c>
      <c r="D154" s="13" t="s">
        <v>299</v>
      </c>
      <c r="E154" s="13" t="s">
        <v>359</v>
      </c>
      <c r="F154" s="14"/>
      <c r="G154" s="13"/>
      <c r="H154" s="13" t="s">
        <v>103</v>
      </c>
      <c r="I154" s="13" t="s">
        <v>270</v>
      </c>
      <c r="J154" s="15"/>
      <c r="K154" s="15"/>
      <c r="L154" s="15"/>
      <c r="M154" s="15"/>
      <c r="N154" s="15"/>
      <c r="O154" s="16" t="str">
        <f aca="false">IFERROR(INDEX(Lists!$B$3:$B$7,MATCH(K154,Lists!$A$3:$A$7,0)),"")</f>
        <v/>
      </c>
      <c r="P154" s="16" t="str">
        <f aca="false">IFERROR(INDEX('Evidence Pulls'!$N$6:$N$125,MATCH($J154,'Evidence Pulls'!$A$6:$A$125,0)),"")</f>
        <v/>
      </c>
      <c r="Q154" s="16" t="str">
        <f aca="false">IFERROR(INDEX('Evidence Pulls'!$G$6:$G$125,MATCH($J154,'Evidence Pulls'!$A$6:$A$125,0)),"")</f>
        <v/>
      </c>
      <c r="R154" s="16" t="str">
        <f aca="false">IFERROR(INDEX('Evidence Pulls'!$O$6:$O$125,MATCH($J154,'Evidence Pulls'!$A$6:$A$125,0)),"")</f>
        <v/>
      </c>
      <c r="S154" s="16" t="str">
        <f aca="false">IF(L154&lt;&gt;"",L154,IF(K154="","Not assessed",IF(N(O154)&gt;=3,"Demonstrated","Gap - remediate")))</f>
        <v>Not assessed</v>
      </c>
      <c r="T154" s="16" t="str">
        <f aca="false">IF(J154="","No evidence pull assigned",IF(COUNTIF('Evidence Pulls'!$A$6:$A$125,J154)=0,"Pull ID not on Evidence Pulls sheet",IF(K154="","Not graded",IF(AND(G154="MANDATORY",L154="Gap - recommend tailoring"),"INVALID: safety-mandatory, not tailorable",IF(OR(P154="",P154=0),"NO NAMED EXECUTOR",IF(AND(H154="Full",N(O154)&gt;=3,N(IFERROR(INDEX('Evidence Pulls'!$J$6:$J$125,MATCH($J154,'Evidence Pulls'!$A$6:$A$125,0)),""))=0),"Operating claimed with no sample",IF(AND(N(O154)&gt;=3,P154=1),"Operating rests on one individual",IF(AND(G154="MANDATORY",N(O154)&lt;3),"SAFETY GATE: below Operating","OK"))))))))</f>
        <v>No evidence pull assigned</v>
      </c>
    </row>
    <row r="155" customFormat="false" ht="22.35" hidden="false" customHeight="false" outlineLevel="0" collapsed="false">
      <c r="A155" s="13" t="s">
        <v>360</v>
      </c>
      <c r="B155" s="13" t="s">
        <v>267</v>
      </c>
      <c r="C155" s="13" t="s">
        <v>298</v>
      </c>
      <c r="D155" s="13" t="s">
        <v>299</v>
      </c>
      <c r="E155" s="13" t="s">
        <v>361</v>
      </c>
      <c r="F155" s="14"/>
      <c r="G155" s="13"/>
      <c r="H155" s="13" t="s">
        <v>103</v>
      </c>
      <c r="I155" s="13" t="s">
        <v>270</v>
      </c>
      <c r="J155" s="15"/>
      <c r="K155" s="15"/>
      <c r="L155" s="15"/>
      <c r="M155" s="15"/>
      <c r="N155" s="15"/>
      <c r="O155" s="16" t="str">
        <f aca="false">IFERROR(INDEX(Lists!$B$3:$B$7,MATCH(K155,Lists!$A$3:$A$7,0)),"")</f>
        <v/>
      </c>
      <c r="P155" s="16" t="str">
        <f aca="false">IFERROR(INDEX('Evidence Pulls'!$N$6:$N$125,MATCH($J155,'Evidence Pulls'!$A$6:$A$125,0)),"")</f>
        <v/>
      </c>
      <c r="Q155" s="16" t="str">
        <f aca="false">IFERROR(INDEX('Evidence Pulls'!$G$6:$G$125,MATCH($J155,'Evidence Pulls'!$A$6:$A$125,0)),"")</f>
        <v/>
      </c>
      <c r="R155" s="16" t="str">
        <f aca="false">IFERROR(INDEX('Evidence Pulls'!$O$6:$O$125,MATCH($J155,'Evidence Pulls'!$A$6:$A$125,0)),"")</f>
        <v/>
      </c>
      <c r="S155" s="16" t="str">
        <f aca="false">IF(L155&lt;&gt;"",L155,IF(K155="","Not assessed",IF(N(O155)&gt;=3,"Demonstrated","Gap - remediate")))</f>
        <v>Not assessed</v>
      </c>
      <c r="T155" s="16" t="str">
        <f aca="false">IF(J155="","No evidence pull assigned",IF(COUNTIF('Evidence Pulls'!$A$6:$A$125,J155)=0,"Pull ID not on Evidence Pulls sheet",IF(K155="","Not graded",IF(AND(G155="MANDATORY",L155="Gap - recommend tailoring"),"INVALID: safety-mandatory, not tailorable",IF(OR(P155="",P155=0),"NO NAMED EXECUTOR",IF(AND(H155="Full",N(O155)&gt;=3,N(IFERROR(INDEX('Evidence Pulls'!$J$6:$J$125,MATCH($J155,'Evidence Pulls'!$A$6:$A$125,0)),""))=0),"Operating claimed with no sample",IF(AND(N(O155)&gt;=3,P155=1),"Operating rests on one individual",IF(AND(G155="MANDATORY",N(O155)&lt;3),"SAFETY GATE: below Operating","OK"))))))))</f>
        <v>No evidence pull assigned</v>
      </c>
    </row>
    <row r="156" customFormat="false" ht="22.35" hidden="false" customHeight="false" outlineLevel="0" collapsed="false">
      <c r="A156" s="17" t="s">
        <v>362</v>
      </c>
      <c r="B156" s="17" t="s">
        <v>267</v>
      </c>
      <c r="C156" s="17" t="s">
        <v>298</v>
      </c>
      <c r="D156" s="17" t="s">
        <v>299</v>
      </c>
      <c r="E156" s="17" t="s">
        <v>363</v>
      </c>
      <c r="F156" s="17"/>
      <c r="G156" s="18" t="s">
        <v>107</v>
      </c>
      <c r="H156" s="18" t="s">
        <v>108</v>
      </c>
      <c r="I156" s="17" t="s">
        <v>270</v>
      </c>
      <c r="J156" s="15"/>
      <c r="K156" s="15"/>
      <c r="L156" s="15"/>
      <c r="M156" s="15"/>
      <c r="N156" s="15"/>
      <c r="O156" s="16" t="str">
        <f aca="false">IFERROR(INDEX(Lists!$B$3:$B$7,MATCH(K156,Lists!$A$3:$A$7,0)),"")</f>
        <v/>
      </c>
      <c r="P156" s="16" t="str">
        <f aca="false">IFERROR(INDEX('Evidence Pulls'!$N$6:$N$125,MATCH($J156,'Evidence Pulls'!$A$6:$A$125,0)),"")</f>
        <v/>
      </c>
      <c r="Q156" s="16" t="str">
        <f aca="false">IFERROR(INDEX('Evidence Pulls'!$G$6:$G$125,MATCH($J156,'Evidence Pulls'!$A$6:$A$125,0)),"")</f>
        <v/>
      </c>
      <c r="R156" s="16" t="str">
        <f aca="false">IFERROR(INDEX('Evidence Pulls'!$O$6:$O$125,MATCH($J156,'Evidence Pulls'!$A$6:$A$125,0)),"")</f>
        <v/>
      </c>
      <c r="S156" s="16" t="str">
        <f aca="false">IF(L156&lt;&gt;"",L156,IF(K156="","Not assessed",IF(N(O156)&gt;=3,"Demonstrated","Gap - remediate")))</f>
        <v>Not assessed</v>
      </c>
      <c r="T156" s="16" t="str">
        <f aca="false">IF(J156="","No evidence pull assigned",IF(COUNTIF('Evidence Pulls'!$A$6:$A$125,J156)=0,"Pull ID not on Evidence Pulls sheet",IF(K156="","Not graded",IF(AND(G156="MANDATORY",L156="Gap - recommend tailoring"),"INVALID: safety-mandatory, not tailorable",IF(OR(P156="",P156=0),"NO NAMED EXECUTOR",IF(AND(H156="Full",N(O156)&gt;=3,N(IFERROR(INDEX('Evidence Pulls'!$J$6:$J$125,MATCH($J156,'Evidence Pulls'!$A$6:$A$125,0)),""))=0),"Operating claimed with no sample",IF(AND(N(O156)&gt;=3,P156=1),"Operating rests on one individual",IF(AND(G156="MANDATORY",N(O156)&lt;3),"SAFETY GATE: below Operating","OK"))))))))</f>
        <v>No evidence pull assigned</v>
      </c>
    </row>
    <row r="157" customFormat="false" ht="22.35" hidden="false" customHeight="false" outlineLevel="0" collapsed="false">
      <c r="A157" s="13" t="s">
        <v>364</v>
      </c>
      <c r="B157" s="13" t="s">
        <v>267</v>
      </c>
      <c r="C157" s="13" t="s">
        <v>298</v>
      </c>
      <c r="D157" s="13" t="s">
        <v>299</v>
      </c>
      <c r="E157" s="13" t="s">
        <v>365</v>
      </c>
      <c r="F157" s="14"/>
      <c r="G157" s="13"/>
      <c r="H157" s="13" t="s">
        <v>103</v>
      </c>
      <c r="I157" s="13" t="s">
        <v>270</v>
      </c>
      <c r="J157" s="15"/>
      <c r="K157" s="15"/>
      <c r="L157" s="15"/>
      <c r="M157" s="15"/>
      <c r="N157" s="15"/>
      <c r="O157" s="16" t="str">
        <f aca="false">IFERROR(INDEX(Lists!$B$3:$B$7,MATCH(K157,Lists!$A$3:$A$7,0)),"")</f>
        <v/>
      </c>
      <c r="P157" s="16" t="str">
        <f aca="false">IFERROR(INDEX('Evidence Pulls'!$N$6:$N$125,MATCH($J157,'Evidence Pulls'!$A$6:$A$125,0)),"")</f>
        <v/>
      </c>
      <c r="Q157" s="16" t="str">
        <f aca="false">IFERROR(INDEX('Evidence Pulls'!$G$6:$G$125,MATCH($J157,'Evidence Pulls'!$A$6:$A$125,0)),"")</f>
        <v/>
      </c>
      <c r="R157" s="16" t="str">
        <f aca="false">IFERROR(INDEX('Evidence Pulls'!$O$6:$O$125,MATCH($J157,'Evidence Pulls'!$A$6:$A$125,0)),"")</f>
        <v/>
      </c>
      <c r="S157" s="16" t="str">
        <f aca="false">IF(L157&lt;&gt;"",L157,IF(K157="","Not assessed",IF(N(O157)&gt;=3,"Demonstrated","Gap - remediate")))</f>
        <v>Not assessed</v>
      </c>
      <c r="T157" s="16" t="str">
        <f aca="false">IF(J157="","No evidence pull assigned",IF(COUNTIF('Evidence Pulls'!$A$6:$A$125,J157)=0,"Pull ID not on Evidence Pulls sheet",IF(K157="","Not graded",IF(AND(G157="MANDATORY",L157="Gap - recommend tailoring"),"INVALID: safety-mandatory, not tailorable",IF(OR(P157="",P157=0),"NO NAMED EXECUTOR",IF(AND(H157="Full",N(O157)&gt;=3,N(IFERROR(INDEX('Evidence Pulls'!$J$6:$J$125,MATCH($J157,'Evidence Pulls'!$A$6:$A$125,0)),""))=0),"Operating claimed with no sample",IF(AND(N(O157)&gt;=3,P157=1),"Operating rests on one individual",IF(AND(G157="MANDATORY",N(O157)&lt;3),"SAFETY GATE: below Operating","OK"))))))))</f>
        <v>No evidence pull assigned</v>
      </c>
    </row>
    <row r="158" customFormat="false" ht="22.35" hidden="false" customHeight="false" outlineLevel="0" collapsed="false">
      <c r="A158" s="13" t="s">
        <v>366</v>
      </c>
      <c r="B158" s="13" t="s">
        <v>267</v>
      </c>
      <c r="C158" s="13" t="s">
        <v>298</v>
      </c>
      <c r="D158" s="13" t="s">
        <v>299</v>
      </c>
      <c r="E158" s="13" t="s">
        <v>367</v>
      </c>
      <c r="F158" s="14"/>
      <c r="G158" s="13"/>
      <c r="H158" s="13" t="s">
        <v>103</v>
      </c>
      <c r="I158" s="13" t="s">
        <v>270</v>
      </c>
      <c r="J158" s="15"/>
      <c r="K158" s="15"/>
      <c r="L158" s="15"/>
      <c r="M158" s="15"/>
      <c r="N158" s="15"/>
      <c r="O158" s="16" t="str">
        <f aca="false">IFERROR(INDEX(Lists!$B$3:$B$7,MATCH(K158,Lists!$A$3:$A$7,0)),"")</f>
        <v/>
      </c>
      <c r="P158" s="16" t="str">
        <f aca="false">IFERROR(INDEX('Evidence Pulls'!$N$6:$N$125,MATCH($J158,'Evidence Pulls'!$A$6:$A$125,0)),"")</f>
        <v/>
      </c>
      <c r="Q158" s="16" t="str">
        <f aca="false">IFERROR(INDEX('Evidence Pulls'!$G$6:$G$125,MATCH($J158,'Evidence Pulls'!$A$6:$A$125,0)),"")</f>
        <v/>
      </c>
      <c r="R158" s="16" t="str">
        <f aca="false">IFERROR(INDEX('Evidence Pulls'!$O$6:$O$125,MATCH($J158,'Evidence Pulls'!$A$6:$A$125,0)),"")</f>
        <v/>
      </c>
      <c r="S158" s="16" t="str">
        <f aca="false">IF(L158&lt;&gt;"",L158,IF(K158="","Not assessed",IF(N(O158)&gt;=3,"Demonstrated","Gap - remediate")))</f>
        <v>Not assessed</v>
      </c>
      <c r="T158" s="16" t="str">
        <f aca="false">IF(J158="","No evidence pull assigned",IF(COUNTIF('Evidence Pulls'!$A$6:$A$125,J158)=0,"Pull ID not on Evidence Pulls sheet",IF(K158="","Not graded",IF(AND(G158="MANDATORY",L158="Gap - recommend tailoring"),"INVALID: safety-mandatory, not tailorable",IF(OR(P158="",P158=0),"NO NAMED EXECUTOR",IF(AND(H158="Full",N(O158)&gt;=3,N(IFERROR(INDEX('Evidence Pulls'!$J$6:$J$125,MATCH($J158,'Evidence Pulls'!$A$6:$A$125,0)),""))=0),"Operating claimed with no sample",IF(AND(N(O158)&gt;=3,P158=1),"Operating rests on one individual",IF(AND(G158="MANDATORY",N(O158)&lt;3),"SAFETY GATE: below Operating","OK"))))))))</f>
        <v>No evidence pull assigned</v>
      </c>
    </row>
    <row r="159" customFormat="false" ht="22.35" hidden="false" customHeight="false" outlineLevel="0" collapsed="false">
      <c r="A159" s="13" t="s">
        <v>368</v>
      </c>
      <c r="B159" s="13" t="s">
        <v>267</v>
      </c>
      <c r="C159" s="13" t="s">
        <v>298</v>
      </c>
      <c r="D159" s="13" t="s">
        <v>299</v>
      </c>
      <c r="E159" s="13" t="s">
        <v>369</v>
      </c>
      <c r="F159" s="14"/>
      <c r="G159" s="13"/>
      <c r="H159" s="13" t="s">
        <v>103</v>
      </c>
      <c r="I159" s="13" t="s">
        <v>270</v>
      </c>
      <c r="J159" s="15"/>
      <c r="K159" s="15"/>
      <c r="L159" s="15"/>
      <c r="M159" s="15"/>
      <c r="N159" s="15"/>
      <c r="O159" s="16" t="str">
        <f aca="false">IFERROR(INDEX(Lists!$B$3:$B$7,MATCH(K159,Lists!$A$3:$A$7,0)),"")</f>
        <v/>
      </c>
      <c r="P159" s="16" t="str">
        <f aca="false">IFERROR(INDEX('Evidence Pulls'!$N$6:$N$125,MATCH($J159,'Evidence Pulls'!$A$6:$A$125,0)),"")</f>
        <v/>
      </c>
      <c r="Q159" s="16" t="str">
        <f aca="false">IFERROR(INDEX('Evidence Pulls'!$G$6:$G$125,MATCH($J159,'Evidence Pulls'!$A$6:$A$125,0)),"")</f>
        <v/>
      </c>
      <c r="R159" s="16" t="str">
        <f aca="false">IFERROR(INDEX('Evidence Pulls'!$O$6:$O$125,MATCH($J159,'Evidence Pulls'!$A$6:$A$125,0)),"")</f>
        <v/>
      </c>
      <c r="S159" s="16" t="str">
        <f aca="false">IF(L159&lt;&gt;"",L159,IF(K159="","Not assessed",IF(N(O159)&gt;=3,"Demonstrated","Gap - remediate")))</f>
        <v>Not assessed</v>
      </c>
      <c r="T159" s="16" t="str">
        <f aca="false">IF(J159="","No evidence pull assigned",IF(COUNTIF('Evidence Pulls'!$A$6:$A$125,J159)=0,"Pull ID not on Evidence Pulls sheet",IF(K159="","Not graded",IF(AND(G159="MANDATORY",L159="Gap - recommend tailoring"),"INVALID: safety-mandatory, not tailorable",IF(OR(P159="",P159=0),"NO NAMED EXECUTOR",IF(AND(H159="Full",N(O159)&gt;=3,N(IFERROR(INDEX('Evidence Pulls'!$J$6:$J$125,MATCH($J159,'Evidence Pulls'!$A$6:$A$125,0)),""))=0),"Operating claimed with no sample",IF(AND(N(O159)&gt;=3,P159=1),"Operating rests on one individual",IF(AND(G159="MANDATORY",N(O159)&lt;3),"SAFETY GATE: below Operating","OK"))))))))</f>
        <v>No evidence pull assigned</v>
      </c>
    </row>
    <row r="160" customFormat="false" ht="22.35" hidden="false" customHeight="false" outlineLevel="0" collapsed="false">
      <c r="A160" s="13" t="s">
        <v>370</v>
      </c>
      <c r="B160" s="13" t="s">
        <v>267</v>
      </c>
      <c r="C160" s="13" t="s">
        <v>298</v>
      </c>
      <c r="D160" s="13" t="s">
        <v>299</v>
      </c>
      <c r="E160" s="13" t="s">
        <v>371</v>
      </c>
      <c r="F160" s="14"/>
      <c r="G160" s="13"/>
      <c r="H160" s="13" t="s">
        <v>103</v>
      </c>
      <c r="I160" s="13" t="s">
        <v>270</v>
      </c>
      <c r="J160" s="15"/>
      <c r="K160" s="15"/>
      <c r="L160" s="15"/>
      <c r="M160" s="15"/>
      <c r="N160" s="15"/>
      <c r="O160" s="16" t="str">
        <f aca="false">IFERROR(INDEX(Lists!$B$3:$B$7,MATCH(K160,Lists!$A$3:$A$7,0)),"")</f>
        <v/>
      </c>
      <c r="P160" s="16" t="str">
        <f aca="false">IFERROR(INDEX('Evidence Pulls'!$N$6:$N$125,MATCH($J160,'Evidence Pulls'!$A$6:$A$125,0)),"")</f>
        <v/>
      </c>
      <c r="Q160" s="16" t="str">
        <f aca="false">IFERROR(INDEX('Evidence Pulls'!$G$6:$G$125,MATCH($J160,'Evidence Pulls'!$A$6:$A$125,0)),"")</f>
        <v/>
      </c>
      <c r="R160" s="16" t="str">
        <f aca="false">IFERROR(INDEX('Evidence Pulls'!$O$6:$O$125,MATCH($J160,'Evidence Pulls'!$A$6:$A$125,0)),"")</f>
        <v/>
      </c>
      <c r="S160" s="16" t="str">
        <f aca="false">IF(L160&lt;&gt;"",L160,IF(K160="","Not assessed",IF(N(O160)&gt;=3,"Demonstrated","Gap - remediate")))</f>
        <v>Not assessed</v>
      </c>
      <c r="T160" s="16" t="str">
        <f aca="false">IF(J160="","No evidence pull assigned",IF(COUNTIF('Evidence Pulls'!$A$6:$A$125,J160)=0,"Pull ID not on Evidence Pulls sheet",IF(K160="","Not graded",IF(AND(G160="MANDATORY",L160="Gap - recommend tailoring"),"INVALID: safety-mandatory, not tailorable",IF(OR(P160="",P160=0),"NO NAMED EXECUTOR",IF(AND(H160="Full",N(O160)&gt;=3,N(IFERROR(INDEX('Evidence Pulls'!$J$6:$J$125,MATCH($J160,'Evidence Pulls'!$A$6:$A$125,0)),""))=0),"Operating claimed with no sample",IF(AND(N(O160)&gt;=3,P160=1),"Operating rests on one individual",IF(AND(G160="MANDATORY",N(O160)&lt;3),"SAFETY GATE: below Operating","OK"))))))))</f>
        <v>No evidence pull assigned</v>
      </c>
    </row>
    <row r="161" customFormat="false" ht="22.35" hidden="false" customHeight="false" outlineLevel="0" collapsed="false">
      <c r="A161" s="13" t="s">
        <v>372</v>
      </c>
      <c r="B161" s="13" t="s">
        <v>267</v>
      </c>
      <c r="C161" s="13" t="s">
        <v>298</v>
      </c>
      <c r="D161" s="13" t="s">
        <v>299</v>
      </c>
      <c r="E161" s="13" t="s">
        <v>373</v>
      </c>
      <c r="F161" s="14"/>
      <c r="G161" s="13"/>
      <c r="H161" s="13" t="s">
        <v>103</v>
      </c>
      <c r="I161" s="13" t="s">
        <v>270</v>
      </c>
      <c r="J161" s="15"/>
      <c r="K161" s="15"/>
      <c r="L161" s="15"/>
      <c r="M161" s="15"/>
      <c r="N161" s="15"/>
      <c r="O161" s="16" t="str">
        <f aca="false">IFERROR(INDEX(Lists!$B$3:$B$7,MATCH(K161,Lists!$A$3:$A$7,0)),"")</f>
        <v/>
      </c>
      <c r="P161" s="16" t="str">
        <f aca="false">IFERROR(INDEX('Evidence Pulls'!$N$6:$N$125,MATCH($J161,'Evidence Pulls'!$A$6:$A$125,0)),"")</f>
        <v/>
      </c>
      <c r="Q161" s="16" t="str">
        <f aca="false">IFERROR(INDEX('Evidence Pulls'!$G$6:$G$125,MATCH($J161,'Evidence Pulls'!$A$6:$A$125,0)),"")</f>
        <v/>
      </c>
      <c r="R161" s="16" t="str">
        <f aca="false">IFERROR(INDEX('Evidence Pulls'!$O$6:$O$125,MATCH($J161,'Evidence Pulls'!$A$6:$A$125,0)),"")</f>
        <v/>
      </c>
      <c r="S161" s="16" t="str">
        <f aca="false">IF(L161&lt;&gt;"",L161,IF(K161="","Not assessed",IF(N(O161)&gt;=3,"Demonstrated","Gap - remediate")))</f>
        <v>Not assessed</v>
      </c>
      <c r="T161" s="16" t="str">
        <f aca="false">IF(J161="","No evidence pull assigned",IF(COUNTIF('Evidence Pulls'!$A$6:$A$125,J161)=0,"Pull ID not on Evidence Pulls sheet",IF(K161="","Not graded",IF(AND(G161="MANDATORY",L161="Gap - recommend tailoring"),"INVALID: safety-mandatory, not tailorable",IF(OR(P161="",P161=0),"NO NAMED EXECUTOR",IF(AND(H161="Full",N(O161)&gt;=3,N(IFERROR(INDEX('Evidence Pulls'!$J$6:$J$125,MATCH($J161,'Evidence Pulls'!$A$6:$A$125,0)),""))=0),"Operating claimed with no sample",IF(AND(N(O161)&gt;=3,P161=1),"Operating rests on one individual",IF(AND(G161="MANDATORY",N(O161)&lt;3),"SAFETY GATE: below Operating","OK"))))))))</f>
        <v>No evidence pull assigned</v>
      </c>
    </row>
    <row r="162" customFormat="false" ht="22.35" hidden="false" customHeight="false" outlineLevel="0" collapsed="false">
      <c r="A162" s="13" t="s">
        <v>374</v>
      </c>
      <c r="B162" s="13" t="s">
        <v>267</v>
      </c>
      <c r="C162" s="13" t="s">
        <v>298</v>
      </c>
      <c r="D162" s="13" t="s">
        <v>299</v>
      </c>
      <c r="E162" s="13" t="s">
        <v>375</v>
      </c>
      <c r="F162" s="14"/>
      <c r="G162" s="13"/>
      <c r="H162" s="13" t="s">
        <v>103</v>
      </c>
      <c r="I162" s="13" t="s">
        <v>270</v>
      </c>
      <c r="J162" s="15"/>
      <c r="K162" s="15"/>
      <c r="L162" s="15"/>
      <c r="M162" s="15"/>
      <c r="N162" s="15"/>
      <c r="O162" s="16" t="str">
        <f aca="false">IFERROR(INDEX(Lists!$B$3:$B$7,MATCH(K162,Lists!$A$3:$A$7,0)),"")</f>
        <v/>
      </c>
      <c r="P162" s="16" t="str">
        <f aca="false">IFERROR(INDEX('Evidence Pulls'!$N$6:$N$125,MATCH($J162,'Evidence Pulls'!$A$6:$A$125,0)),"")</f>
        <v/>
      </c>
      <c r="Q162" s="16" t="str">
        <f aca="false">IFERROR(INDEX('Evidence Pulls'!$G$6:$G$125,MATCH($J162,'Evidence Pulls'!$A$6:$A$125,0)),"")</f>
        <v/>
      </c>
      <c r="R162" s="16" t="str">
        <f aca="false">IFERROR(INDEX('Evidence Pulls'!$O$6:$O$125,MATCH($J162,'Evidence Pulls'!$A$6:$A$125,0)),"")</f>
        <v/>
      </c>
      <c r="S162" s="16" t="str">
        <f aca="false">IF(L162&lt;&gt;"",L162,IF(K162="","Not assessed",IF(N(O162)&gt;=3,"Demonstrated","Gap - remediate")))</f>
        <v>Not assessed</v>
      </c>
      <c r="T162" s="16" t="str">
        <f aca="false">IF(J162="","No evidence pull assigned",IF(COUNTIF('Evidence Pulls'!$A$6:$A$125,J162)=0,"Pull ID not on Evidence Pulls sheet",IF(K162="","Not graded",IF(AND(G162="MANDATORY",L162="Gap - recommend tailoring"),"INVALID: safety-mandatory, not tailorable",IF(OR(P162="",P162=0),"NO NAMED EXECUTOR",IF(AND(H162="Full",N(O162)&gt;=3,N(IFERROR(INDEX('Evidence Pulls'!$J$6:$J$125,MATCH($J162,'Evidence Pulls'!$A$6:$A$125,0)),""))=0),"Operating claimed with no sample",IF(AND(N(O162)&gt;=3,P162=1),"Operating rests on one individual",IF(AND(G162="MANDATORY",N(O162)&lt;3),"SAFETY GATE: below Operating","OK"))))))))</f>
        <v>No evidence pull assigned</v>
      </c>
    </row>
    <row r="163" customFormat="false" ht="22.35" hidden="false" customHeight="false" outlineLevel="0" collapsed="false">
      <c r="A163" s="13" t="s">
        <v>376</v>
      </c>
      <c r="B163" s="13" t="s">
        <v>267</v>
      </c>
      <c r="C163" s="13" t="s">
        <v>298</v>
      </c>
      <c r="D163" s="13" t="s">
        <v>299</v>
      </c>
      <c r="E163" s="13" t="s">
        <v>110</v>
      </c>
      <c r="F163" s="14"/>
      <c r="G163" s="13"/>
      <c r="H163" s="13" t="s">
        <v>103</v>
      </c>
      <c r="I163" s="13" t="s">
        <v>270</v>
      </c>
      <c r="J163" s="15"/>
      <c r="K163" s="15"/>
      <c r="L163" s="15"/>
      <c r="M163" s="15"/>
      <c r="N163" s="15"/>
      <c r="O163" s="16" t="str">
        <f aca="false">IFERROR(INDEX(Lists!$B$3:$B$7,MATCH(K163,Lists!$A$3:$A$7,0)),"")</f>
        <v/>
      </c>
      <c r="P163" s="16" t="str">
        <f aca="false">IFERROR(INDEX('Evidence Pulls'!$N$6:$N$125,MATCH($J163,'Evidence Pulls'!$A$6:$A$125,0)),"")</f>
        <v/>
      </c>
      <c r="Q163" s="16" t="str">
        <f aca="false">IFERROR(INDEX('Evidence Pulls'!$G$6:$G$125,MATCH($J163,'Evidence Pulls'!$A$6:$A$125,0)),"")</f>
        <v/>
      </c>
      <c r="R163" s="16" t="str">
        <f aca="false">IFERROR(INDEX('Evidence Pulls'!$O$6:$O$125,MATCH($J163,'Evidence Pulls'!$A$6:$A$125,0)),"")</f>
        <v/>
      </c>
      <c r="S163" s="16" t="str">
        <f aca="false">IF(L163&lt;&gt;"",L163,IF(K163="","Not assessed",IF(N(O163)&gt;=3,"Demonstrated","Gap - remediate")))</f>
        <v>Not assessed</v>
      </c>
      <c r="T163" s="16" t="str">
        <f aca="false">IF(J163="","No evidence pull assigned",IF(COUNTIF('Evidence Pulls'!$A$6:$A$125,J163)=0,"Pull ID not on Evidence Pulls sheet",IF(K163="","Not graded",IF(AND(G163="MANDATORY",L163="Gap - recommend tailoring"),"INVALID: safety-mandatory, not tailorable",IF(OR(P163="",P163=0),"NO NAMED EXECUTOR",IF(AND(H163="Full",N(O163)&gt;=3,N(IFERROR(INDEX('Evidence Pulls'!$J$6:$J$125,MATCH($J163,'Evidence Pulls'!$A$6:$A$125,0)),""))=0),"Operating claimed with no sample",IF(AND(N(O163)&gt;=3,P163=1),"Operating rests on one individual",IF(AND(G163="MANDATORY",N(O163)&lt;3),"SAFETY GATE: below Operating","OK"))))))))</f>
        <v>No evidence pull assigned</v>
      </c>
    </row>
    <row r="164" customFormat="false" ht="22.35" hidden="false" customHeight="false" outlineLevel="0" collapsed="false">
      <c r="A164" s="13" t="s">
        <v>377</v>
      </c>
      <c r="B164" s="13" t="s">
        <v>267</v>
      </c>
      <c r="C164" s="13" t="s">
        <v>298</v>
      </c>
      <c r="D164" s="13" t="s">
        <v>299</v>
      </c>
      <c r="E164" s="13" t="s">
        <v>112</v>
      </c>
      <c r="F164" s="14"/>
      <c r="G164" s="13"/>
      <c r="H164" s="13" t="s">
        <v>103</v>
      </c>
      <c r="I164" s="13" t="s">
        <v>270</v>
      </c>
      <c r="J164" s="15"/>
      <c r="K164" s="15"/>
      <c r="L164" s="15"/>
      <c r="M164" s="15"/>
      <c r="N164" s="15"/>
      <c r="O164" s="16" t="str">
        <f aca="false">IFERROR(INDEX(Lists!$B$3:$B$7,MATCH(K164,Lists!$A$3:$A$7,0)),"")</f>
        <v/>
      </c>
      <c r="P164" s="16" t="str">
        <f aca="false">IFERROR(INDEX('Evidence Pulls'!$N$6:$N$125,MATCH($J164,'Evidence Pulls'!$A$6:$A$125,0)),"")</f>
        <v/>
      </c>
      <c r="Q164" s="16" t="str">
        <f aca="false">IFERROR(INDEX('Evidence Pulls'!$G$6:$G$125,MATCH($J164,'Evidence Pulls'!$A$6:$A$125,0)),"")</f>
        <v/>
      </c>
      <c r="R164" s="16" t="str">
        <f aca="false">IFERROR(INDEX('Evidence Pulls'!$O$6:$O$125,MATCH($J164,'Evidence Pulls'!$A$6:$A$125,0)),"")</f>
        <v/>
      </c>
      <c r="S164" s="16" t="str">
        <f aca="false">IF(L164&lt;&gt;"",L164,IF(K164="","Not assessed",IF(N(O164)&gt;=3,"Demonstrated","Gap - remediate")))</f>
        <v>Not assessed</v>
      </c>
      <c r="T164" s="16" t="str">
        <f aca="false">IF(J164="","No evidence pull assigned",IF(COUNTIF('Evidence Pulls'!$A$6:$A$125,J164)=0,"Pull ID not on Evidence Pulls sheet",IF(K164="","Not graded",IF(AND(G164="MANDATORY",L164="Gap - recommend tailoring"),"INVALID: safety-mandatory, not tailorable",IF(OR(P164="",P164=0),"NO NAMED EXECUTOR",IF(AND(H164="Full",N(O164)&gt;=3,N(IFERROR(INDEX('Evidence Pulls'!$J$6:$J$125,MATCH($J164,'Evidence Pulls'!$A$6:$A$125,0)),""))=0),"Operating claimed with no sample",IF(AND(N(O164)&gt;=3,P164=1),"Operating rests on one individual",IF(AND(G164="MANDATORY",N(O164)&lt;3),"SAFETY GATE: below Operating","OK"))))))))</f>
        <v>No evidence pull assigned</v>
      </c>
    </row>
    <row r="165" customFormat="false" ht="22.35" hidden="false" customHeight="false" outlineLevel="0" collapsed="false">
      <c r="A165" s="13" t="s">
        <v>378</v>
      </c>
      <c r="B165" s="13" t="s">
        <v>267</v>
      </c>
      <c r="C165" s="13" t="s">
        <v>379</v>
      </c>
      <c r="D165" s="13" t="s">
        <v>380</v>
      </c>
      <c r="E165" s="13" t="s">
        <v>102</v>
      </c>
      <c r="F165" s="14"/>
      <c r="G165" s="13"/>
      <c r="H165" s="13" t="s">
        <v>103</v>
      </c>
      <c r="I165" s="13" t="s">
        <v>270</v>
      </c>
      <c r="J165" s="15"/>
      <c r="K165" s="15"/>
      <c r="L165" s="15"/>
      <c r="M165" s="15"/>
      <c r="N165" s="15"/>
      <c r="O165" s="16" t="str">
        <f aca="false">IFERROR(INDEX(Lists!$B$3:$B$7,MATCH(K165,Lists!$A$3:$A$7,0)),"")</f>
        <v/>
      </c>
      <c r="P165" s="16" t="str">
        <f aca="false">IFERROR(INDEX('Evidence Pulls'!$N$6:$N$125,MATCH($J165,'Evidence Pulls'!$A$6:$A$125,0)),"")</f>
        <v/>
      </c>
      <c r="Q165" s="16" t="str">
        <f aca="false">IFERROR(INDEX('Evidence Pulls'!$G$6:$G$125,MATCH($J165,'Evidence Pulls'!$A$6:$A$125,0)),"")</f>
        <v/>
      </c>
      <c r="R165" s="16" t="str">
        <f aca="false">IFERROR(INDEX('Evidence Pulls'!$O$6:$O$125,MATCH($J165,'Evidence Pulls'!$A$6:$A$125,0)),"")</f>
        <v/>
      </c>
      <c r="S165" s="16" t="str">
        <f aca="false">IF(L165&lt;&gt;"",L165,IF(K165="","Not assessed",IF(N(O165)&gt;=3,"Demonstrated","Gap - remediate")))</f>
        <v>Not assessed</v>
      </c>
      <c r="T165" s="16" t="str">
        <f aca="false">IF(J165="","No evidence pull assigned",IF(COUNTIF('Evidence Pulls'!$A$6:$A$125,J165)=0,"Pull ID not on Evidence Pulls sheet",IF(K165="","Not graded",IF(AND(G165="MANDATORY",L165="Gap - recommend tailoring"),"INVALID: safety-mandatory, not tailorable",IF(OR(P165="",P165=0),"NO NAMED EXECUTOR",IF(AND(H165="Full",N(O165)&gt;=3,N(IFERROR(INDEX('Evidence Pulls'!$J$6:$J$125,MATCH($J165,'Evidence Pulls'!$A$6:$A$125,0)),""))=0),"Operating claimed with no sample",IF(AND(N(O165)&gt;=3,P165=1),"Operating rests on one individual",IF(AND(G165="MANDATORY",N(O165)&lt;3),"SAFETY GATE: below Operating","OK"))))))))</f>
        <v>No evidence pull assigned</v>
      </c>
    </row>
    <row r="166" customFormat="false" ht="22.35" hidden="false" customHeight="false" outlineLevel="0" collapsed="false">
      <c r="A166" s="13" t="s">
        <v>381</v>
      </c>
      <c r="B166" s="13" t="s">
        <v>267</v>
      </c>
      <c r="C166" s="13" t="s">
        <v>379</v>
      </c>
      <c r="D166" s="13" t="s">
        <v>380</v>
      </c>
      <c r="E166" s="13" t="s">
        <v>106</v>
      </c>
      <c r="F166" s="14"/>
      <c r="G166" s="13"/>
      <c r="H166" s="13" t="s">
        <v>103</v>
      </c>
      <c r="I166" s="13" t="s">
        <v>270</v>
      </c>
      <c r="J166" s="15"/>
      <c r="K166" s="15"/>
      <c r="L166" s="15"/>
      <c r="M166" s="15"/>
      <c r="N166" s="15"/>
      <c r="O166" s="16" t="str">
        <f aca="false">IFERROR(INDEX(Lists!$B$3:$B$7,MATCH(K166,Lists!$A$3:$A$7,0)),"")</f>
        <v/>
      </c>
      <c r="P166" s="16" t="str">
        <f aca="false">IFERROR(INDEX('Evidence Pulls'!$N$6:$N$125,MATCH($J166,'Evidence Pulls'!$A$6:$A$125,0)),"")</f>
        <v/>
      </c>
      <c r="Q166" s="16" t="str">
        <f aca="false">IFERROR(INDEX('Evidence Pulls'!$G$6:$G$125,MATCH($J166,'Evidence Pulls'!$A$6:$A$125,0)),"")</f>
        <v/>
      </c>
      <c r="R166" s="16" t="str">
        <f aca="false">IFERROR(INDEX('Evidence Pulls'!$O$6:$O$125,MATCH($J166,'Evidence Pulls'!$A$6:$A$125,0)),"")</f>
        <v/>
      </c>
      <c r="S166" s="16" t="str">
        <f aca="false">IF(L166&lt;&gt;"",L166,IF(K166="","Not assessed",IF(N(O166)&gt;=3,"Demonstrated","Gap - remediate")))</f>
        <v>Not assessed</v>
      </c>
      <c r="T166" s="16" t="str">
        <f aca="false">IF(J166="","No evidence pull assigned",IF(COUNTIF('Evidence Pulls'!$A$6:$A$125,J166)=0,"Pull ID not on Evidence Pulls sheet",IF(K166="","Not graded",IF(AND(G166="MANDATORY",L166="Gap - recommend tailoring"),"INVALID: safety-mandatory, not tailorable",IF(OR(P166="",P166=0),"NO NAMED EXECUTOR",IF(AND(H166="Full",N(O166)&gt;=3,N(IFERROR(INDEX('Evidence Pulls'!$J$6:$J$125,MATCH($J166,'Evidence Pulls'!$A$6:$A$125,0)),""))=0),"Operating claimed with no sample",IF(AND(N(O166)&gt;=3,P166=1),"Operating rests on one individual",IF(AND(G166="MANDATORY",N(O166)&lt;3),"SAFETY GATE: below Operating","OK"))))))))</f>
        <v>No evidence pull assigned</v>
      </c>
    </row>
    <row r="167" customFormat="false" ht="22.35" hidden="false" customHeight="false" outlineLevel="0" collapsed="false">
      <c r="A167" s="17" t="s">
        <v>382</v>
      </c>
      <c r="B167" s="17" t="s">
        <v>267</v>
      </c>
      <c r="C167" s="17" t="s">
        <v>383</v>
      </c>
      <c r="D167" s="17" t="s">
        <v>384</v>
      </c>
      <c r="E167" s="17" t="s">
        <v>102</v>
      </c>
      <c r="F167" s="17"/>
      <c r="G167" s="18" t="s">
        <v>107</v>
      </c>
      <c r="H167" s="18" t="s">
        <v>108</v>
      </c>
      <c r="I167" s="17" t="s">
        <v>270</v>
      </c>
      <c r="J167" s="15"/>
      <c r="K167" s="15"/>
      <c r="L167" s="15"/>
      <c r="M167" s="15"/>
      <c r="N167" s="15"/>
      <c r="O167" s="16" t="str">
        <f aca="false">IFERROR(INDEX(Lists!$B$3:$B$7,MATCH(K167,Lists!$A$3:$A$7,0)),"")</f>
        <v/>
      </c>
      <c r="P167" s="16" t="str">
        <f aca="false">IFERROR(INDEX('Evidence Pulls'!$N$6:$N$125,MATCH($J167,'Evidence Pulls'!$A$6:$A$125,0)),"")</f>
        <v/>
      </c>
      <c r="Q167" s="16" t="str">
        <f aca="false">IFERROR(INDEX('Evidence Pulls'!$G$6:$G$125,MATCH($J167,'Evidence Pulls'!$A$6:$A$125,0)),"")</f>
        <v/>
      </c>
      <c r="R167" s="16" t="str">
        <f aca="false">IFERROR(INDEX('Evidence Pulls'!$O$6:$O$125,MATCH($J167,'Evidence Pulls'!$A$6:$A$125,0)),"")</f>
        <v/>
      </c>
      <c r="S167" s="16" t="str">
        <f aca="false">IF(L167&lt;&gt;"",L167,IF(K167="","Not assessed",IF(N(O167)&gt;=3,"Demonstrated","Gap - remediate")))</f>
        <v>Not assessed</v>
      </c>
      <c r="T167" s="16" t="str">
        <f aca="false">IF(J167="","No evidence pull assigned",IF(COUNTIF('Evidence Pulls'!$A$6:$A$125,J167)=0,"Pull ID not on Evidence Pulls sheet",IF(K167="","Not graded",IF(AND(G167="MANDATORY",L167="Gap - recommend tailoring"),"INVALID: safety-mandatory, not tailorable",IF(OR(P167="",P167=0),"NO NAMED EXECUTOR",IF(AND(H167="Full",N(O167)&gt;=3,N(IFERROR(INDEX('Evidence Pulls'!$J$6:$J$125,MATCH($J167,'Evidence Pulls'!$A$6:$A$125,0)),""))=0),"Operating claimed with no sample",IF(AND(N(O167)&gt;=3,P167=1),"Operating rests on one individual",IF(AND(G167="MANDATORY",N(O167)&lt;3),"SAFETY GATE: below Operating","OK"))))))))</f>
        <v>No evidence pull assigned</v>
      </c>
    </row>
    <row r="168" customFormat="false" ht="22.35" hidden="false" customHeight="false" outlineLevel="0" collapsed="false">
      <c r="A168" s="13" t="s">
        <v>385</v>
      </c>
      <c r="B168" s="13" t="s">
        <v>267</v>
      </c>
      <c r="C168" s="13" t="s">
        <v>383</v>
      </c>
      <c r="D168" s="13" t="s">
        <v>384</v>
      </c>
      <c r="E168" s="13" t="s">
        <v>158</v>
      </c>
      <c r="F168" s="14"/>
      <c r="G168" s="13"/>
      <c r="H168" s="13" t="s">
        <v>103</v>
      </c>
      <c r="I168" s="13" t="s">
        <v>270</v>
      </c>
      <c r="J168" s="15"/>
      <c r="K168" s="15"/>
      <c r="L168" s="15"/>
      <c r="M168" s="15"/>
      <c r="N168" s="15"/>
      <c r="O168" s="16" t="str">
        <f aca="false">IFERROR(INDEX(Lists!$B$3:$B$7,MATCH(K168,Lists!$A$3:$A$7,0)),"")</f>
        <v/>
      </c>
      <c r="P168" s="16" t="str">
        <f aca="false">IFERROR(INDEX('Evidence Pulls'!$N$6:$N$125,MATCH($J168,'Evidence Pulls'!$A$6:$A$125,0)),"")</f>
        <v/>
      </c>
      <c r="Q168" s="16" t="str">
        <f aca="false">IFERROR(INDEX('Evidence Pulls'!$G$6:$G$125,MATCH($J168,'Evidence Pulls'!$A$6:$A$125,0)),"")</f>
        <v/>
      </c>
      <c r="R168" s="16" t="str">
        <f aca="false">IFERROR(INDEX('Evidence Pulls'!$O$6:$O$125,MATCH($J168,'Evidence Pulls'!$A$6:$A$125,0)),"")</f>
        <v/>
      </c>
      <c r="S168" s="16" t="str">
        <f aca="false">IF(L168&lt;&gt;"",L168,IF(K168="","Not assessed",IF(N(O168)&gt;=3,"Demonstrated","Gap - remediate")))</f>
        <v>Not assessed</v>
      </c>
      <c r="T168" s="16" t="str">
        <f aca="false">IF(J168="","No evidence pull assigned",IF(COUNTIF('Evidence Pulls'!$A$6:$A$125,J168)=0,"Pull ID not on Evidence Pulls sheet",IF(K168="","Not graded",IF(AND(G168="MANDATORY",L168="Gap - recommend tailoring"),"INVALID: safety-mandatory, not tailorable",IF(OR(P168="",P168=0),"NO NAMED EXECUTOR",IF(AND(H168="Full",N(O168)&gt;=3,N(IFERROR(INDEX('Evidence Pulls'!$J$6:$J$125,MATCH($J168,'Evidence Pulls'!$A$6:$A$125,0)),""))=0),"Operating claimed with no sample",IF(AND(N(O168)&gt;=3,P168=1),"Operating rests on one individual",IF(AND(G168="MANDATORY",N(O168)&lt;3),"SAFETY GATE: below Operating","OK"))))))))</f>
        <v>No evidence pull assigned</v>
      </c>
    </row>
    <row r="169" customFormat="false" ht="22.35" hidden="false" customHeight="false" outlineLevel="0" collapsed="false">
      <c r="A169" s="13" t="s">
        <v>386</v>
      </c>
      <c r="B169" s="13" t="s">
        <v>267</v>
      </c>
      <c r="C169" s="13" t="s">
        <v>383</v>
      </c>
      <c r="D169" s="13" t="s">
        <v>384</v>
      </c>
      <c r="E169" s="13" t="s">
        <v>160</v>
      </c>
      <c r="F169" s="14"/>
      <c r="G169" s="13"/>
      <c r="H169" s="13" t="s">
        <v>103</v>
      </c>
      <c r="I169" s="13" t="s">
        <v>270</v>
      </c>
      <c r="J169" s="15"/>
      <c r="K169" s="15"/>
      <c r="L169" s="15"/>
      <c r="M169" s="15"/>
      <c r="N169" s="15"/>
      <c r="O169" s="16" t="str">
        <f aca="false">IFERROR(INDEX(Lists!$B$3:$B$7,MATCH(K169,Lists!$A$3:$A$7,0)),"")</f>
        <v/>
      </c>
      <c r="P169" s="16" t="str">
        <f aca="false">IFERROR(INDEX('Evidence Pulls'!$N$6:$N$125,MATCH($J169,'Evidence Pulls'!$A$6:$A$125,0)),"")</f>
        <v/>
      </c>
      <c r="Q169" s="16" t="str">
        <f aca="false">IFERROR(INDEX('Evidence Pulls'!$G$6:$G$125,MATCH($J169,'Evidence Pulls'!$A$6:$A$125,0)),"")</f>
        <v/>
      </c>
      <c r="R169" s="16" t="str">
        <f aca="false">IFERROR(INDEX('Evidence Pulls'!$O$6:$O$125,MATCH($J169,'Evidence Pulls'!$A$6:$A$125,0)),"")</f>
        <v/>
      </c>
      <c r="S169" s="16" t="str">
        <f aca="false">IF(L169&lt;&gt;"",L169,IF(K169="","Not assessed",IF(N(O169)&gt;=3,"Demonstrated","Gap - remediate")))</f>
        <v>Not assessed</v>
      </c>
      <c r="T169" s="16" t="str">
        <f aca="false">IF(J169="","No evidence pull assigned",IF(COUNTIF('Evidence Pulls'!$A$6:$A$125,J169)=0,"Pull ID not on Evidence Pulls sheet",IF(K169="","Not graded",IF(AND(G169="MANDATORY",L169="Gap - recommend tailoring"),"INVALID: safety-mandatory, not tailorable",IF(OR(P169="",P169=0),"NO NAMED EXECUTOR",IF(AND(H169="Full",N(O169)&gt;=3,N(IFERROR(INDEX('Evidence Pulls'!$J$6:$J$125,MATCH($J169,'Evidence Pulls'!$A$6:$A$125,0)),""))=0),"Operating claimed with no sample",IF(AND(N(O169)&gt;=3,P169=1),"Operating rests on one individual",IF(AND(G169="MANDATORY",N(O169)&lt;3),"SAFETY GATE: below Operating","OK"))))))))</f>
        <v>No evidence pull assigned</v>
      </c>
    </row>
    <row r="170" customFormat="false" ht="22.35" hidden="false" customHeight="false" outlineLevel="0" collapsed="false">
      <c r="A170" s="17" t="s">
        <v>387</v>
      </c>
      <c r="B170" s="17" t="s">
        <v>267</v>
      </c>
      <c r="C170" s="17" t="s">
        <v>383</v>
      </c>
      <c r="D170" s="17" t="s">
        <v>384</v>
      </c>
      <c r="E170" s="17" t="s">
        <v>110</v>
      </c>
      <c r="F170" s="17"/>
      <c r="G170" s="18" t="s">
        <v>107</v>
      </c>
      <c r="H170" s="18" t="s">
        <v>108</v>
      </c>
      <c r="I170" s="17" t="s">
        <v>270</v>
      </c>
      <c r="J170" s="15"/>
      <c r="K170" s="15"/>
      <c r="L170" s="15"/>
      <c r="M170" s="15"/>
      <c r="N170" s="15"/>
      <c r="O170" s="16" t="str">
        <f aca="false">IFERROR(INDEX(Lists!$B$3:$B$7,MATCH(K170,Lists!$A$3:$A$7,0)),"")</f>
        <v/>
      </c>
      <c r="P170" s="16" t="str">
        <f aca="false">IFERROR(INDEX('Evidence Pulls'!$N$6:$N$125,MATCH($J170,'Evidence Pulls'!$A$6:$A$125,0)),"")</f>
        <v/>
      </c>
      <c r="Q170" s="16" t="str">
        <f aca="false">IFERROR(INDEX('Evidence Pulls'!$G$6:$G$125,MATCH($J170,'Evidence Pulls'!$A$6:$A$125,0)),"")</f>
        <v/>
      </c>
      <c r="R170" s="16" t="str">
        <f aca="false">IFERROR(INDEX('Evidence Pulls'!$O$6:$O$125,MATCH($J170,'Evidence Pulls'!$A$6:$A$125,0)),"")</f>
        <v/>
      </c>
      <c r="S170" s="16" t="str">
        <f aca="false">IF(L170&lt;&gt;"",L170,IF(K170="","Not assessed",IF(N(O170)&gt;=3,"Demonstrated","Gap - remediate")))</f>
        <v>Not assessed</v>
      </c>
      <c r="T170" s="16" t="str">
        <f aca="false">IF(J170="","No evidence pull assigned",IF(COUNTIF('Evidence Pulls'!$A$6:$A$125,J170)=0,"Pull ID not on Evidence Pulls sheet",IF(K170="","Not graded",IF(AND(G170="MANDATORY",L170="Gap - recommend tailoring"),"INVALID: safety-mandatory, not tailorable",IF(OR(P170="",P170=0),"NO NAMED EXECUTOR",IF(AND(H170="Full",N(O170)&gt;=3,N(IFERROR(INDEX('Evidence Pulls'!$J$6:$J$125,MATCH($J170,'Evidence Pulls'!$A$6:$A$125,0)),""))=0),"Operating claimed with no sample",IF(AND(N(O170)&gt;=3,P170=1),"Operating rests on one individual",IF(AND(G170="MANDATORY",N(O170)&lt;3),"SAFETY GATE: below Operating","OK"))))))))</f>
        <v>No evidence pull assigned</v>
      </c>
    </row>
    <row r="171" customFormat="false" ht="22.35" hidden="false" customHeight="false" outlineLevel="0" collapsed="false">
      <c r="A171" s="13" t="s">
        <v>388</v>
      </c>
      <c r="B171" s="13" t="s">
        <v>267</v>
      </c>
      <c r="C171" s="13" t="s">
        <v>389</v>
      </c>
      <c r="D171" s="13" t="s">
        <v>390</v>
      </c>
      <c r="E171" s="13" t="s">
        <v>102</v>
      </c>
      <c r="F171" s="14"/>
      <c r="G171" s="13"/>
      <c r="H171" s="13" t="s">
        <v>103</v>
      </c>
      <c r="I171" s="13" t="s">
        <v>270</v>
      </c>
      <c r="J171" s="15"/>
      <c r="K171" s="15"/>
      <c r="L171" s="15"/>
      <c r="M171" s="15"/>
      <c r="N171" s="15"/>
      <c r="O171" s="16" t="str">
        <f aca="false">IFERROR(INDEX(Lists!$B$3:$B$7,MATCH(K171,Lists!$A$3:$A$7,0)),"")</f>
        <v/>
      </c>
      <c r="P171" s="16" t="str">
        <f aca="false">IFERROR(INDEX('Evidence Pulls'!$N$6:$N$125,MATCH($J171,'Evidence Pulls'!$A$6:$A$125,0)),"")</f>
        <v/>
      </c>
      <c r="Q171" s="16" t="str">
        <f aca="false">IFERROR(INDEX('Evidence Pulls'!$G$6:$G$125,MATCH($J171,'Evidence Pulls'!$A$6:$A$125,0)),"")</f>
        <v/>
      </c>
      <c r="R171" s="16" t="str">
        <f aca="false">IFERROR(INDEX('Evidence Pulls'!$O$6:$O$125,MATCH($J171,'Evidence Pulls'!$A$6:$A$125,0)),"")</f>
        <v/>
      </c>
      <c r="S171" s="16" t="str">
        <f aca="false">IF(L171&lt;&gt;"",L171,IF(K171="","Not assessed",IF(N(O171)&gt;=3,"Demonstrated","Gap - remediate")))</f>
        <v>Not assessed</v>
      </c>
      <c r="T171" s="16" t="str">
        <f aca="false">IF(J171="","No evidence pull assigned",IF(COUNTIF('Evidence Pulls'!$A$6:$A$125,J171)=0,"Pull ID not on Evidence Pulls sheet",IF(K171="","Not graded",IF(AND(G171="MANDATORY",L171="Gap - recommend tailoring"),"INVALID: safety-mandatory, not tailorable",IF(OR(P171="",P171=0),"NO NAMED EXECUTOR",IF(AND(H171="Full",N(O171)&gt;=3,N(IFERROR(INDEX('Evidence Pulls'!$J$6:$J$125,MATCH($J171,'Evidence Pulls'!$A$6:$A$125,0)),""))=0),"Operating claimed with no sample",IF(AND(N(O171)&gt;=3,P171=1),"Operating rests on one individual",IF(AND(G171="MANDATORY",N(O171)&lt;3),"SAFETY GATE: below Operating","OK"))))))))</f>
        <v>No evidence pull assigned</v>
      </c>
    </row>
    <row r="172" customFormat="false" ht="22.35" hidden="false" customHeight="false" outlineLevel="0" collapsed="false">
      <c r="A172" s="13" t="s">
        <v>391</v>
      </c>
      <c r="B172" s="13" t="s">
        <v>267</v>
      </c>
      <c r="C172" s="13" t="s">
        <v>392</v>
      </c>
      <c r="D172" s="13" t="s">
        <v>393</v>
      </c>
      <c r="E172" s="13" t="s">
        <v>102</v>
      </c>
      <c r="F172" s="14"/>
      <c r="G172" s="13"/>
      <c r="H172" s="13" t="s">
        <v>103</v>
      </c>
      <c r="I172" s="13" t="s">
        <v>270</v>
      </c>
      <c r="J172" s="15"/>
      <c r="K172" s="15"/>
      <c r="L172" s="15"/>
      <c r="M172" s="15"/>
      <c r="N172" s="15"/>
      <c r="O172" s="16" t="str">
        <f aca="false">IFERROR(INDEX(Lists!$B$3:$B$7,MATCH(K172,Lists!$A$3:$A$7,0)),"")</f>
        <v/>
      </c>
      <c r="P172" s="16" t="str">
        <f aca="false">IFERROR(INDEX('Evidence Pulls'!$N$6:$N$125,MATCH($J172,'Evidence Pulls'!$A$6:$A$125,0)),"")</f>
        <v/>
      </c>
      <c r="Q172" s="16" t="str">
        <f aca="false">IFERROR(INDEX('Evidence Pulls'!$G$6:$G$125,MATCH($J172,'Evidence Pulls'!$A$6:$A$125,0)),"")</f>
        <v/>
      </c>
      <c r="R172" s="16" t="str">
        <f aca="false">IFERROR(INDEX('Evidence Pulls'!$O$6:$O$125,MATCH($J172,'Evidence Pulls'!$A$6:$A$125,0)),"")</f>
        <v/>
      </c>
      <c r="S172" s="16" t="str">
        <f aca="false">IF(L172&lt;&gt;"",L172,IF(K172="","Not assessed",IF(N(O172)&gt;=3,"Demonstrated","Gap - remediate")))</f>
        <v>Not assessed</v>
      </c>
      <c r="T172" s="16" t="str">
        <f aca="false">IF(J172="","No evidence pull assigned",IF(COUNTIF('Evidence Pulls'!$A$6:$A$125,J172)=0,"Pull ID not on Evidence Pulls sheet",IF(K172="","Not graded",IF(AND(G172="MANDATORY",L172="Gap - recommend tailoring"),"INVALID: safety-mandatory, not tailorable",IF(OR(P172="",P172=0),"NO NAMED EXECUTOR",IF(AND(H172="Full",N(O172)&gt;=3,N(IFERROR(INDEX('Evidence Pulls'!$J$6:$J$125,MATCH($J172,'Evidence Pulls'!$A$6:$A$125,0)),""))=0),"Operating claimed with no sample",IF(AND(N(O172)&gt;=3,P172=1),"Operating rests on one individual",IF(AND(G172="MANDATORY",N(O172)&lt;3),"SAFETY GATE: below Operating","OK"))))))))</f>
        <v>No evidence pull assigned</v>
      </c>
    </row>
    <row r="173" customFormat="false" ht="22.35" hidden="false" customHeight="false" outlineLevel="0" collapsed="false">
      <c r="A173" s="13" t="s">
        <v>394</v>
      </c>
      <c r="B173" s="13" t="s">
        <v>267</v>
      </c>
      <c r="C173" s="13" t="s">
        <v>395</v>
      </c>
      <c r="D173" s="13" t="s">
        <v>396</v>
      </c>
      <c r="E173" s="13" t="s">
        <v>102</v>
      </c>
      <c r="F173" s="14"/>
      <c r="G173" s="13"/>
      <c r="H173" s="13" t="s">
        <v>103</v>
      </c>
      <c r="I173" s="13" t="s">
        <v>270</v>
      </c>
      <c r="J173" s="15"/>
      <c r="K173" s="15"/>
      <c r="L173" s="15"/>
      <c r="M173" s="15"/>
      <c r="N173" s="15"/>
      <c r="O173" s="16" t="str">
        <f aca="false">IFERROR(INDEX(Lists!$B$3:$B$7,MATCH(K173,Lists!$A$3:$A$7,0)),"")</f>
        <v/>
      </c>
      <c r="P173" s="16" t="str">
        <f aca="false">IFERROR(INDEX('Evidence Pulls'!$N$6:$N$125,MATCH($J173,'Evidence Pulls'!$A$6:$A$125,0)),"")</f>
        <v/>
      </c>
      <c r="Q173" s="16" t="str">
        <f aca="false">IFERROR(INDEX('Evidence Pulls'!$G$6:$G$125,MATCH($J173,'Evidence Pulls'!$A$6:$A$125,0)),"")</f>
        <v/>
      </c>
      <c r="R173" s="16" t="str">
        <f aca="false">IFERROR(INDEX('Evidence Pulls'!$O$6:$O$125,MATCH($J173,'Evidence Pulls'!$A$6:$A$125,0)),"")</f>
        <v/>
      </c>
      <c r="S173" s="16" t="str">
        <f aca="false">IF(L173&lt;&gt;"",L173,IF(K173="","Not assessed",IF(N(O173)&gt;=3,"Demonstrated","Gap - remediate")))</f>
        <v>Not assessed</v>
      </c>
      <c r="T173" s="16" t="str">
        <f aca="false">IF(J173="","No evidence pull assigned",IF(COUNTIF('Evidence Pulls'!$A$6:$A$125,J173)=0,"Pull ID not on Evidence Pulls sheet",IF(K173="","Not graded",IF(AND(G173="MANDATORY",L173="Gap - recommend tailoring"),"INVALID: safety-mandatory, not tailorable",IF(OR(P173="",P173=0),"NO NAMED EXECUTOR",IF(AND(H173="Full",N(O173)&gt;=3,N(IFERROR(INDEX('Evidence Pulls'!$J$6:$J$125,MATCH($J173,'Evidence Pulls'!$A$6:$A$125,0)),""))=0),"Operating claimed with no sample",IF(AND(N(O173)&gt;=3,P173=1),"Operating rests on one individual",IF(AND(G173="MANDATORY",N(O173)&lt;3),"SAFETY GATE: below Operating","OK"))))))))</f>
        <v>No evidence pull assigned</v>
      </c>
    </row>
    <row r="174" customFormat="false" ht="22.35" hidden="false" customHeight="false" outlineLevel="0" collapsed="false">
      <c r="A174" s="13" t="s">
        <v>397</v>
      </c>
      <c r="B174" s="13" t="s">
        <v>267</v>
      </c>
      <c r="C174" s="13" t="s">
        <v>395</v>
      </c>
      <c r="D174" s="13" t="s">
        <v>396</v>
      </c>
      <c r="E174" s="13" t="s">
        <v>106</v>
      </c>
      <c r="F174" s="14"/>
      <c r="G174" s="13"/>
      <c r="H174" s="13" t="s">
        <v>103</v>
      </c>
      <c r="I174" s="13" t="s">
        <v>270</v>
      </c>
      <c r="J174" s="15"/>
      <c r="K174" s="15"/>
      <c r="L174" s="15"/>
      <c r="M174" s="15"/>
      <c r="N174" s="15"/>
      <c r="O174" s="16" t="str">
        <f aca="false">IFERROR(INDEX(Lists!$B$3:$B$7,MATCH(K174,Lists!$A$3:$A$7,0)),"")</f>
        <v/>
      </c>
      <c r="P174" s="16" t="str">
        <f aca="false">IFERROR(INDEX('Evidence Pulls'!$N$6:$N$125,MATCH($J174,'Evidence Pulls'!$A$6:$A$125,0)),"")</f>
        <v/>
      </c>
      <c r="Q174" s="16" t="str">
        <f aca="false">IFERROR(INDEX('Evidence Pulls'!$G$6:$G$125,MATCH($J174,'Evidence Pulls'!$A$6:$A$125,0)),"")</f>
        <v/>
      </c>
      <c r="R174" s="16" t="str">
        <f aca="false">IFERROR(INDEX('Evidence Pulls'!$O$6:$O$125,MATCH($J174,'Evidence Pulls'!$A$6:$A$125,0)),"")</f>
        <v/>
      </c>
      <c r="S174" s="16" t="str">
        <f aca="false">IF(L174&lt;&gt;"",L174,IF(K174="","Not assessed",IF(N(O174)&gt;=3,"Demonstrated","Gap - remediate")))</f>
        <v>Not assessed</v>
      </c>
      <c r="T174" s="16" t="str">
        <f aca="false">IF(J174="","No evidence pull assigned",IF(COUNTIF('Evidence Pulls'!$A$6:$A$125,J174)=0,"Pull ID not on Evidence Pulls sheet",IF(K174="","Not graded",IF(AND(G174="MANDATORY",L174="Gap - recommend tailoring"),"INVALID: safety-mandatory, not tailorable",IF(OR(P174="",P174=0),"NO NAMED EXECUTOR",IF(AND(H174="Full",N(O174)&gt;=3,N(IFERROR(INDEX('Evidence Pulls'!$J$6:$J$125,MATCH($J174,'Evidence Pulls'!$A$6:$A$125,0)),""))=0),"Operating claimed with no sample",IF(AND(N(O174)&gt;=3,P174=1),"Operating rests on one individual",IF(AND(G174="MANDATORY",N(O174)&lt;3),"SAFETY GATE: below Operating","OK"))))))))</f>
        <v>No evidence pull assigned</v>
      </c>
    </row>
    <row r="175" customFormat="false" ht="22.35" hidden="false" customHeight="false" outlineLevel="0" collapsed="false">
      <c r="A175" s="13" t="s">
        <v>398</v>
      </c>
      <c r="B175" s="13" t="s">
        <v>267</v>
      </c>
      <c r="C175" s="13" t="s">
        <v>399</v>
      </c>
      <c r="D175" s="13" t="s">
        <v>400</v>
      </c>
      <c r="E175" s="13" t="s">
        <v>102</v>
      </c>
      <c r="F175" s="14"/>
      <c r="G175" s="13"/>
      <c r="H175" s="13" t="s">
        <v>103</v>
      </c>
      <c r="I175" s="13" t="s">
        <v>270</v>
      </c>
      <c r="J175" s="15"/>
      <c r="K175" s="15"/>
      <c r="L175" s="15"/>
      <c r="M175" s="15"/>
      <c r="N175" s="15"/>
      <c r="O175" s="16" t="str">
        <f aca="false">IFERROR(INDEX(Lists!$B$3:$B$7,MATCH(K175,Lists!$A$3:$A$7,0)),"")</f>
        <v/>
      </c>
      <c r="P175" s="16" t="str">
        <f aca="false">IFERROR(INDEX('Evidence Pulls'!$N$6:$N$125,MATCH($J175,'Evidence Pulls'!$A$6:$A$125,0)),"")</f>
        <v/>
      </c>
      <c r="Q175" s="16" t="str">
        <f aca="false">IFERROR(INDEX('Evidence Pulls'!$G$6:$G$125,MATCH($J175,'Evidence Pulls'!$A$6:$A$125,0)),"")</f>
        <v/>
      </c>
      <c r="R175" s="16" t="str">
        <f aca="false">IFERROR(INDEX('Evidence Pulls'!$O$6:$O$125,MATCH($J175,'Evidence Pulls'!$A$6:$A$125,0)),"")</f>
        <v/>
      </c>
      <c r="S175" s="16" t="str">
        <f aca="false">IF(L175&lt;&gt;"",L175,IF(K175="","Not assessed",IF(N(O175)&gt;=3,"Demonstrated","Gap - remediate")))</f>
        <v>Not assessed</v>
      </c>
      <c r="T175" s="16" t="str">
        <f aca="false">IF(J175="","No evidence pull assigned",IF(COUNTIF('Evidence Pulls'!$A$6:$A$125,J175)=0,"Pull ID not on Evidence Pulls sheet",IF(K175="","Not graded",IF(AND(G175="MANDATORY",L175="Gap - recommend tailoring"),"INVALID: safety-mandatory, not tailorable",IF(OR(P175="",P175=0),"NO NAMED EXECUTOR",IF(AND(H175="Full",N(O175)&gt;=3,N(IFERROR(INDEX('Evidence Pulls'!$J$6:$J$125,MATCH($J175,'Evidence Pulls'!$A$6:$A$125,0)),""))=0),"Operating claimed with no sample",IF(AND(N(O175)&gt;=3,P175=1),"Operating rests on one individual",IF(AND(G175="MANDATORY",N(O175)&lt;3),"SAFETY GATE: below Operating","OK"))))))))</f>
        <v>No evidence pull assigned</v>
      </c>
    </row>
    <row r="176" customFormat="false" ht="22.35" hidden="false" customHeight="false" outlineLevel="0" collapsed="false">
      <c r="A176" s="13" t="s">
        <v>401</v>
      </c>
      <c r="B176" s="13" t="s">
        <v>267</v>
      </c>
      <c r="C176" s="13" t="s">
        <v>399</v>
      </c>
      <c r="D176" s="13" t="s">
        <v>400</v>
      </c>
      <c r="E176" s="13" t="s">
        <v>106</v>
      </c>
      <c r="F176" s="14"/>
      <c r="G176" s="13"/>
      <c r="H176" s="13" t="s">
        <v>103</v>
      </c>
      <c r="I176" s="13" t="s">
        <v>270</v>
      </c>
      <c r="J176" s="15"/>
      <c r="K176" s="15"/>
      <c r="L176" s="15"/>
      <c r="M176" s="15"/>
      <c r="N176" s="15"/>
      <c r="O176" s="16" t="str">
        <f aca="false">IFERROR(INDEX(Lists!$B$3:$B$7,MATCH(K176,Lists!$A$3:$A$7,0)),"")</f>
        <v/>
      </c>
      <c r="P176" s="16" t="str">
        <f aca="false">IFERROR(INDEX('Evidence Pulls'!$N$6:$N$125,MATCH($J176,'Evidence Pulls'!$A$6:$A$125,0)),"")</f>
        <v/>
      </c>
      <c r="Q176" s="16" t="str">
        <f aca="false">IFERROR(INDEX('Evidence Pulls'!$G$6:$G$125,MATCH($J176,'Evidence Pulls'!$A$6:$A$125,0)),"")</f>
        <v/>
      </c>
      <c r="R176" s="16" t="str">
        <f aca="false">IFERROR(INDEX('Evidence Pulls'!$O$6:$O$125,MATCH($J176,'Evidence Pulls'!$A$6:$A$125,0)),"")</f>
        <v/>
      </c>
      <c r="S176" s="16" t="str">
        <f aca="false">IF(L176&lt;&gt;"",L176,IF(K176="","Not assessed",IF(N(O176)&gt;=3,"Demonstrated","Gap - remediate")))</f>
        <v>Not assessed</v>
      </c>
      <c r="T176" s="16" t="str">
        <f aca="false">IF(J176="","No evidence pull assigned",IF(COUNTIF('Evidence Pulls'!$A$6:$A$125,J176)=0,"Pull ID not on Evidence Pulls sheet",IF(K176="","Not graded",IF(AND(G176="MANDATORY",L176="Gap - recommend tailoring"),"INVALID: safety-mandatory, not tailorable",IF(OR(P176="",P176=0),"NO NAMED EXECUTOR",IF(AND(H176="Full",N(O176)&gt;=3,N(IFERROR(INDEX('Evidence Pulls'!$J$6:$J$125,MATCH($J176,'Evidence Pulls'!$A$6:$A$125,0)),""))=0),"Operating claimed with no sample",IF(AND(N(O176)&gt;=3,P176=1),"Operating rests on one individual",IF(AND(G176="MANDATORY",N(O176)&lt;3),"SAFETY GATE: below Operating","OK"))))))))</f>
        <v>No evidence pull assigned</v>
      </c>
    </row>
    <row r="177" customFormat="false" ht="22.35" hidden="false" customHeight="false" outlineLevel="0" collapsed="false">
      <c r="A177" s="13" t="s">
        <v>402</v>
      </c>
      <c r="B177" s="13" t="s">
        <v>267</v>
      </c>
      <c r="C177" s="13" t="s">
        <v>399</v>
      </c>
      <c r="D177" s="13" t="s">
        <v>400</v>
      </c>
      <c r="E177" s="13" t="s">
        <v>110</v>
      </c>
      <c r="F177" s="14"/>
      <c r="G177" s="13"/>
      <c r="H177" s="13" t="s">
        <v>103</v>
      </c>
      <c r="I177" s="13" t="s">
        <v>270</v>
      </c>
      <c r="J177" s="15"/>
      <c r="K177" s="15"/>
      <c r="L177" s="15"/>
      <c r="M177" s="15"/>
      <c r="N177" s="15"/>
      <c r="O177" s="16" t="str">
        <f aca="false">IFERROR(INDEX(Lists!$B$3:$B$7,MATCH(K177,Lists!$A$3:$A$7,0)),"")</f>
        <v/>
      </c>
      <c r="P177" s="16" t="str">
        <f aca="false">IFERROR(INDEX('Evidence Pulls'!$N$6:$N$125,MATCH($J177,'Evidence Pulls'!$A$6:$A$125,0)),"")</f>
        <v/>
      </c>
      <c r="Q177" s="16" t="str">
        <f aca="false">IFERROR(INDEX('Evidence Pulls'!$G$6:$G$125,MATCH($J177,'Evidence Pulls'!$A$6:$A$125,0)),"")</f>
        <v/>
      </c>
      <c r="R177" s="16" t="str">
        <f aca="false">IFERROR(INDEX('Evidence Pulls'!$O$6:$O$125,MATCH($J177,'Evidence Pulls'!$A$6:$A$125,0)),"")</f>
        <v/>
      </c>
      <c r="S177" s="16" t="str">
        <f aca="false">IF(L177&lt;&gt;"",L177,IF(K177="","Not assessed",IF(N(O177)&gt;=3,"Demonstrated","Gap - remediate")))</f>
        <v>Not assessed</v>
      </c>
      <c r="T177" s="16" t="str">
        <f aca="false">IF(J177="","No evidence pull assigned",IF(COUNTIF('Evidence Pulls'!$A$6:$A$125,J177)=0,"Pull ID not on Evidence Pulls sheet",IF(K177="","Not graded",IF(AND(G177="MANDATORY",L177="Gap - recommend tailoring"),"INVALID: safety-mandatory, not tailorable",IF(OR(P177="",P177=0),"NO NAMED EXECUTOR",IF(AND(H177="Full",N(O177)&gt;=3,N(IFERROR(INDEX('Evidence Pulls'!$J$6:$J$125,MATCH($J177,'Evidence Pulls'!$A$6:$A$125,0)),""))=0),"Operating claimed with no sample",IF(AND(N(O177)&gt;=3,P177=1),"Operating rests on one individual",IF(AND(G177="MANDATORY",N(O177)&lt;3),"SAFETY GATE: below Operating","OK"))))))))</f>
        <v>No evidence pull assigned</v>
      </c>
    </row>
    <row r="178" customFormat="false" ht="22.35" hidden="false" customHeight="false" outlineLevel="0" collapsed="false">
      <c r="A178" s="13" t="s">
        <v>403</v>
      </c>
      <c r="B178" s="13" t="s">
        <v>267</v>
      </c>
      <c r="C178" s="13" t="s">
        <v>399</v>
      </c>
      <c r="D178" s="13" t="s">
        <v>400</v>
      </c>
      <c r="E178" s="13" t="s">
        <v>112</v>
      </c>
      <c r="F178" s="14"/>
      <c r="G178" s="13"/>
      <c r="H178" s="13" t="s">
        <v>103</v>
      </c>
      <c r="I178" s="13" t="s">
        <v>270</v>
      </c>
      <c r="J178" s="15"/>
      <c r="K178" s="15"/>
      <c r="L178" s="15"/>
      <c r="M178" s="15"/>
      <c r="N178" s="15"/>
      <c r="O178" s="16" t="str">
        <f aca="false">IFERROR(INDEX(Lists!$B$3:$B$7,MATCH(K178,Lists!$A$3:$A$7,0)),"")</f>
        <v/>
      </c>
      <c r="P178" s="16" t="str">
        <f aca="false">IFERROR(INDEX('Evidence Pulls'!$N$6:$N$125,MATCH($J178,'Evidence Pulls'!$A$6:$A$125,0)),"")</f>
        <v/>
      </c>
      <c r="Q178" s="16" t="str">
        <f aca="false">IFERROR(INDEX('Evidence Pulls'!$G$6:$G$125,MATCH($J178,'Evidence Pulls'!$A$6:$A$125,0)),"")</f>
        <v/>
      </c>
      <c r="R178" s="16" t="str">
        <f aca="false">IFERROR(INDEX('Evidence Pulls'!$O$6:$O$125,MATCH($J178,'Evidence Pulls'!$A$6:$A$125,0)),"")</f>
        <v/>
      </c>
      <c r="S178" s="16" t="str">
        <f aca="false">IF(L178&lt;&gt;"",L178,IF(K178="","Not assessed",IF(N(O178)&gt;=3,"Demonstrated","Gap - remediate")))</f>
        <v>Not assessed</v>
      </c>
      <c r="T178" s="16" t="str">
        <f aca="false">IF(J178="","No evidence pull assigned",IF(COUNTIF('Evidence Pulls'!$A$6:$A$125,J178)=0,"Pull ID not on Evidence Pulls sheet",IF(K178="","Not graded",IF(AND(G178="MANDATORY",L178="Gap - recommend tailoring"),"INVALID: safety-mandatory, not tailorable",IF(OR(P178="",P178=0),"NO NAMED EXECUTOR",IF(AND(H178="Full",N(O178)&gt;=3,N(IFERROR(INDEX('Evidence Pulls'!$J$6:$J$125,MATCH($J178,'Evidence Pulls'!$A$6:$A$125,0)),""))=0),"Operating claimed with no sample",IF(AND(N(O178)&gt;=3,P178=1),"Operating rests on one individual",IF(AND(G178="MANDATORY",N(O178)&lt;3),"SAFETY GATE: below Operating","OK"))))))))</f>
        <v>No evidence pull assigned</v>
      </c>
    </row>
    <row r="179" customFormat="false" ht="22.35" hidden="false" customHeight="false" outlineLevel="0" collapsed="false">
      <c r="A179" s="13" t="s">
        <v>404</v>
      </c>
      <c r="B179" s="13" t="s">
        <v>267</v>
      </c>
      <c r="C179" s="13" t="s">
        <v>405</v>
      </c>
      <c r="D179" s="13" t="s">
        <v>406</v>
      </c>
      <c r="E179" s="13" t="s">
        <v>102</v>
      </c>
      <c r="F179" s="14"/>
      <c r="G179" s="13"/>
      <c r="H179" s="13" t="s">
        <v>103</v>
      </c>
      <c r="I179" s="13" t="s">
        <v>270</v>
      </c>
      <c r="J179" s="15"/>
      <c r="K179" s="15"/>
      <c r="L179" s="15"/>
      <c r="M179" s="15"/>
      <c r="N179" s="15"/>
      <c r="O179" s="16" t="str">
        <f aca="false">IFERROR(INDEX(Lists!$B$3:$B$7,MATCH(K179,Lists!$A$3:$A$7,0)),"")</f>
        <v/>
      </c>
      <c r="P179" s="16" t="str">
        <f aca="false">IFERROR(INDEX('Evidence Pulls'!$N$6:$N$125,MATCH($J179,'Evidence Pulls'!$A$6:$A$125,0)),"")</f>
        <v/>
      </c>
      <c r="Q179" s="16" t="str">
        <f aca="false">IFERROR(INDEX('Evidence Pulls'!$G$6:$G$125,MATCH($J179,'Evidence Pulls'!$A$6:$A$125,0)),"")</f>
        <v/>
      </c>
      <c r="R179" s="16" t="str">
        <f aca="false">IFERROR(INDEX('Evidence Pulls'!$O$6:$O$125,MATCH($J179,'Evidence Pulls'!$A$6:$A$125,0)),"")</f>
        <v/>
      </c>
      <c r="S179" s="16" t="str">
        <f aca="false">IF(L179&lt;&gt;"",L179,IF(K179="","Not assessed",IF(N(O179)&gt;=3,"Demonstrated","Gap - remediate")))</f>
        <v>Not assessed</v>
      </c>
      <c r="T179" s="16" t="str">
        <f aca="false">IF(J179="","No evidence pull assigned",IF(COUNTIF('Evidence Pulls'!$A$6:$A$125,J179)=0,"Pull ID not on Evidence Pulls sheet",IF(K179="","Not graded",IF(AND(G179="MANDATORY",L179="Gap - recommend tailoring"),"INVALID: safety-mandatory, not tailorable",IF(OR(P179="",P179=0),"NO NAMED EXECUTOR",IF(AND(H179="Full",N(O179)&gt;=3,N(IFERROR(INDEX('Evidence Pulls'!$J$6:$J$125,MATCH($J179,'Evidence Pulls'!$A$6:$A$125,0)),""))=0),"Operating claimed with no sample",IF(AND(N(O179)&gt;=3,P179=1),"Operating rests on one individual",IF(AND(G179="MANDATORY",N(O179)&lt;3),"SAFETY GATE: below Operating","OK"))))))))</f>
        <v>No evidence pull assigned</v>
      </c>
    </row>
    <row r="180" customFormat="false" ht="22.35" hidden="false" customHeight="false" outlineLevel="0" collapsed="false">
      <c r="A180" s="17" t="s">
        <v>407</v>
      </c>
      <c r="B180" s="17" t="s">
        <v>267</v>
      </c>
      <c r="C180" s="17" t="s">
        <v>408</v>
      </c>
      <c r="D180" s="17" t="s">
        <v>409</v>
      </c>
      <c r="E180" s="17" t="s">
        <v>102</v>
      </c>
      <c r="F180" s="17"/>
      <c r="G180" s="18" t="s">
        <v>107</v>
      </c>
      <c r="H180" s="18" t="s">
        <v>108</v>
      </c>
      <c r="I180" s="17" t="s">
        <v>270</v>
      </c>
      <c r="J180" s="15"/>
      <c r="K180" s="15"/>
      <c r="L180" s="15"/>
      <c r="M180" s="15"/>
      <c r="N180" s="15"/>
      <c r="O180" s="16" t="str">
        <f aca="false">IFERROR(INDEX(Lists!$B$3:$B$7,MATCH(K180,Lists!$A$3:$A$7,0)),"")</f>
        <v/>
      </c>
      <c r="P180" s="16" t="str">
        <f aca="false">IFERROR(INDEX('Evidence Pulls'!$N$6:$N$125,MATCH($J180,'Evidence Pulls'!$A$6:$A$125,0)),"")</f>
        <v/>
      </c>
      <c r="Q180" s="16" t="str">
        <f aca="false">IFERROR(INDEX('Evidence Pulls'!$G$6:$G$125,MATCH($J180,'Evidence Pulls'!$A$6:$A$125,0)),"")</f>
        <v/>
      </c>
      <c r="R180" s="16" t="str">
        <f aca="false">IFERROR(INDEX('Evidence Pulls'!$O$6:$O$125,MATCH($J180,'Evidence Pulls'!$A$6:$A$125,0)),"")</f>
        <v/>
      </c>
      <c r="S180" s="16" t="str">
        <f aca="false">IF(L180&lt;&gt;"",L180,IF(K180="","Not assessed",IF(N(O180)&gt;=3,"Demonstrated","Gap - remediate")))</f>
        <v>Not assessed</v>
      </c>
      <c r="T180" s="16" t="str">
        <f aca="false">IF(J180="","No evidence pull assigned",IF(COUNTIF('Evidence Pulls'!$A$6:$A$125,J180)=0,"Pull ID not on Evidence Pulls sheet",IF(K180="","Not graded",IF(AND(G180="MANDATORY",L180="Gap - recommend tailoring"),"INVALID: safety-mandatory, not tailorable",IF(OR(P180="",P180=0),"NO NAMED EXECUTOR",IF(AND(H180="Full",N(O180)&gt;=3,N(IFERROR(INDEX('Evidence Pulls'!$J$6:$J$125,MATCH($J180,'Evidence Pulls'!$A$6:$A$125,0)),""))=0),"Operating claimed with no sample",IF(AND(N(O180)&gt;=3,P180=1),"Operating rests on one individual",IF(AND(G180="MANDATORY",N(O180)&lt;3),"SAFETY GATE: below Operating","OK"))))))))</f>
        <v>No evidence pull assigned</v>
      </c>
    </row>
    <row r="181" customFormat="false" ht="22.35" hidden="false" customHeight="false" outlineLevel="0" collapsed="false">
      <c r="A181" s="13" t="s">
        <v>410</v>
      </c>
      <c r="B181" s="13" t="s">
        <v>267</v>
      </c>
      <c r="C181" s="13" t="s">
        <v>408</v>
      </c>
      <c r="D181" s="13" t="s">
        <v>409</v>
      </c>
      <c r="E181" s="13" t="s">
        <v>106</v>
      </c>
      <c r="F181" s="14"/>
      <c r="G181" s="13"/>
      <c r="H181" s="13" t="s">
        <v>103</v>
      </c>
      <c r="I181" s="13" t="s">
        <v>270</v>
      </c>
      <c r="J181" s="15"/>
      <c r="K181" s="15"/>
      <c r="L181" s="15"/>
      <c r="M181" s="15"/>
      <c r="N181" s="15"/>
      <c r="O181" s="16" t="str">
        <f aca="false">IFERROR(INDEX(Lists!$B$3:$B$7,MATCH(K181,Lists!$A$3:$A$7,0)),"")</f>
        <v/>
      </c>
      <c r="P181" s="16" t="str">
        <f aca="false">IFERROR(INDEX('Evidence Pulls'!$N$6:$N$125,MATCH($J181,'Evidence Pulls'!$A$6:$A$125,0)),"")</f>
        <v/>
      </c>
      <c r="Q181" s="16" t="str">
        <f aca="false">IFERROR(INDEX('Evidence Pulls'!$G$6:$G$125,MATCH($J181,'Evidence Pulls'!$A$6:$A$125,0)),"")</f>
        <v/>
      </c>
      <c r="R181" s="16" t="str">
        <f aca="false">IFERROR(INDEX('Evidence Pulls'!$O$6:$O$125,MATCH($J181,'Evidence Pulls'!$A$6:$A$125,0)),"")</f>
        <v/>
      </c>
      <c r="S181" s="16" t="str">
        <f aca="false">IF(L181&lt;&gt;"",L181,IF(K181="","Not assessed",IF(N(O181)&gt;=3,"Demonstrated","Gap - remediate")))</f>
        <v>Not assessed</v>
      </c>
      <c r="T181" s="16" t="str">
        <f aca="false">IF(J181="","No evidence pull assigned",IF(COUNTIF('Evidence Pulls'!$A$6:$A$125,J181)=0,"Pull ID not on Evidence Pulls sheet",IF(K181="","Not graded",IF(AND(G181="MANDATORY",L181="Gap - recommend tailoring"),"INVALID: safety-mandatory, not tailorable",IF(OR(P181="",P181=0),"NO NAMED EXECUTOR",IF(AND(H181="Full",N(O181)&gt;=3,N(IFERROR(INDEX('Evidence Pulls'!$J$6:$J$125,MATCH($J181,'Evidence Pulls'!$A$6:$A$125,0)),""))=0),"Operating claimed with no sample",IF(AND(N(O181)&gt;=3,P181=1),"Operating rests on one individual",IF(AND(G181="MANDATORY",N(O181)&lt;3),"SAFETY GATE: below Operating","OK"))))))))</f>
        <v>No evidence pull assigned</v>
      </c>
    </row>
    <row r="182" customFormat="false" ht="22.35" hidden="false" customHeight="false" outlineLevel="0" collapsed="false">
      <c r="A182" s="13" t="s">
        <v>411</v>
      </c>
      <c r="B182" s="13" t="s">
        <v>267</v>
      </c>
      <c r="C182" s="13" t="s">
        <v>408</v>
      </c>
      <c r="D182" s="13" t="s">
        <v>409</v>
      </c>
      <c r="E182" s="13" t="s">
        <v>110</v>
      </c>
      <c r="F182" s="14"/>
      <c r="G182" s="13"/>
      <c r="H182" s="13" t="s">
        <v>103</v>
      </c>
      <c r="I182" s="13" t="s">
        <v>270</v>
      </c>
      <c r="J182" s="15"/>
      <c r="K182" s="15"/>
      <c r="L182" s="15"/>
      <c r="M182" s="15"/>
      <c r="N182" s="15"/>
      <c r="O182" s="16" t="str">
        <f aca="false">IFERROR(INDEX(Lists!$B$3:$B$7,MATCH(K182,Lists!$A$3:$A$7,0)),"")</f>
        <v/>
      </c>
      <c r="P182" s="16" t="str">
        <f aca="false">IFERROR(INDEX('Evidence Pulls'!$N$6:$N$125,MATCH($J182,'Evidence Pulls'!$A$6:$A$125,0)),"")</f>
        <v/>
      </c>
      <c r="Q182" s="16" t="str">
        <f aca="false">IFERROR(INDEX('Evidence Pulls'!$G$6:$G$125,MATCH($J182,'Evidence Pulls'!$A$6:$A$125,0)),"")</f>
        <v/>
      </c>
      <c r="R182" s="16" t="str">
        <f aca="false">IFERROR(INDEX('Evidence Pulls'!$O$6:$O$125,MATCH($J182,'Evidence Pulls'!$A$6:$A$125,0)),"")</f>
        <v/>
      </c>
      <c r="S182" s="16" t="str">
        <f aca="false">IF(L182&lt;&gt;"",L182,IF(K182="","Not assessed",IF(N(O182)&gt;=3,"Demonstrated","Gap - remediate")))</f>
        <v>Not assessed</v>
      </c>
      <c r="T182" s="16" t="str">
        <f aca="false">IF(J182="","No evidence pull assigned",IF(COUNTIF('Evidence Pulls'!$A$6:$A$125,J182)=0,"Pull ID not on Evidence Pulls sheet",IF(K182="","Not graded",IF(AND(G182="MANDATORY",L182="Gap - recommend tailoring"),"INVALID: safety-mandatory, not tailorable",IF(OR(P182="",P182=0),"NO NAMED EXECUTOR",IF(AND(H182="Full",N(O182)&gt;=3,N(IFERROR(INDEX('Evidence Pulls'!$J$6:$J$125,MATCH($J182,'Evidence Pulls'!$A$6:$A$125,0)),""))=0),"Operating claimed with no sample",IF(AND(N(O182)&gt;=3,P182=1),"Operating rests on one individual",IF(AND(G182="MANDATORY",N(O182)&lt;3),"SAFETY GATE: below Operating","OK"))))))))</f>
        <v>No evidence pull assigned</v>
      </c>
    </row>
    <row r="183" customFormat="false" ht="22.35" hidden="false" customHeight="false" outlineLevel="0" collapsed="false">
      <c r="A183" s="13" t="s">
        <v>412</v>
      </c>
      <c r="B183" s="13" t="s">
        <v>267</v>
      </c>
      <c r="C183" s="13" t="s">
        <v>413</v>
      </c>
      <c r="D183" s="13" t="s">
        <v>414</v>
      </c>
      <c r="E183" s="13" t="s">
        <v>102</v>
      </c>
      <c r="F183" s="14"/>
      <c r="G183" s="13"/>
      <c r="H183" s="13" t="s">
        <v>103</v>
      </c>
      <c r="I183" s="13" t="s">
        <v>270</v>
      </c>
      <c r="J183" s="15"/>
      <c r="K183" s="15"/>
      <c r="L183" s="15"/>
      <c r="M183" s="15"/>
      <c r="N183" s="15"/>
      <c r="O183" s="16" t="str">
        <f aca="false">IFERROR(INDEX(Lists!$B$3:$B$7,MATCH(K183,Lists!$A$3:$A$7,0)),"")</f>
        <v/>
      </c>
      <c r="P183" s="16" t="str">
        <f aca="false">IFERROR(INDEX('Evidence Pulls'!$N$6:$N$125,MATCH($J183,'Evidence Pulls'!$A$6:$A$125,0)),"")</f>
        <v/>
      </c>
      <c r="Q183" s="16" t="str">
        <f aca="false">IFERROR(INDEX('Evidence Pulls'!$G$6:$G$125,MATCH($J183,'Evidence Pulls'!$A$6:$A$125,0)),"")</f>
        <v/>
      </c>
      <c r="R183" s="16" t="str">
        <f aca="false">IFERROR(INDEX('Evidence Pulls'!$O$6:$O$125,MATCH($J183,'Evidence Pulls'!$A$6:$A$125,0)),"")</f>
        <v/>
      </c>
      <c r="S183" s="16" t="str">
        <f aca="false">IF(L183&lt;&gt;"",L183,IF(K183="","Not assessed",IF(N(O183)&gt;=3,"Demonstrated","Gap - remediate")))</f>
        <v>Not assessed</v>
      </c>
      <c r="T183" s="16" t="str">
        <f aca="false">IF(J183="","No evidence pull assigned",IF(COUNTIF('Evidence Pulls'!$A$6:$A$125,J183)=0,"Pull ID not on Evidence Pulls sheet",IF(K183="","Not graded",IF(AND(G183="MANDATORY",L183="Gap - recommend tailoring"),"INVALID: safety-mandatory, not tailorable",IF(OR(P183="",P183=0),"NO NAMED EXECUTOR",IF(AND(H183="Full",N(O183)&gt;=3,N(IFERROR(INDEX('Evidence Pulls'!$J$6:$J$125,MATCH($J183,'Evidence Pulls'!$A$6:$A$125,0)),""))=0),"Operating claimed with no sample",IF(AND(N(O183)&gt;=3,P183=1),"Operating rests on one individual",IF(AND(G183="MANDATORY",N(O183)&lt;3),"SAFETY GATE: below Operating","OK"))))))))</f>
        <v>No evidence pull assigned</v>
      </c>
    </row>
    <row r="184" customFormat="false" ht="22.35" hidden="false" customHeight="false" outlineLevel="0" collapsed="false">
      <c r="A184" s="17" t="s">
        <v>415</v>
      </c>
      <c r="B184" s="17" t="s">
        <v>267</v>
      </c>
      <c r="C184" s="17" t="s">
        <v>416</v>
      </c>
      <c r="D184" s="17" t="s">
        <v>417</v>
      </c>
      <c r="E184" s="17" t="s">
        <v>102</v>
      </c>
      <c r="F184" s="17"/>
      <c r="G184" s="18" t="s">
        <v>107</v>
      </c>
      <c r="H184" s="18" t="s">
        <v>108</v>
      </c>
      <c r="I184" s="17" t="s">
        <v>270</v>
      </c>
      <c r="J184" s="15"/>
      <c r="K184" s="15"/>
      <c r="L184" s="15"/>
      <c r="M184" s="15"/>
      <c r="N184" s="15"/>
      <c r="O184" s="16" t="str">
        <f aca="false">IFERROR(INDEX(Lists!$B$3:$B$7,MATCH(K184,Lists!$A$3:$A$7,0)),"")</f>
        <v/>
      </c>
      <c r="P184" s="16" t="str">
        <f aca="false">IFERROR(INDEX('Evidence Pulls'!$N$6:$N$125,MATCH($J184,'Evidence Pulls'!$A$6:$A$125,0)),"")</f>
        <v/>
      </c>
      <c r="Q184" s="16" t="str">
        <f aca="false">IFERROR(INDEX('Evidence Pulls'!$G$6:$G$125,MATCH($J184,'Evidence Pulls'!$A$6:$A$125,0)),"")</f>
        <v/>
      </c>
      <c r="R184" s="16" t="str">
        <f aca="false">IFERROR(INDEX('Evidence Pulls'!$O$6:$O$125,MATCH($J184,'Evidence Pulls'!$A$6:$A$125,0)),"")</f>
        <v/>
      </c>
      <c r="S184" s="16" t="str">
        <f aca="false">IF(L184&lt;&gt;"",L184,IF(K184="","Not assessed",IF(N(O184)&gt;=3,"Demonstrated","Gap - remediate")))</f>
        <v>Not assessed</v>
      </c>
      <c r="T184" s="16" t="str">
        <f aca="false">IF(J184="","No evidence pull assigned",IF(COUNTIF('Evidence Pulls'!$A$6:$A$125,J184)=0,"Pull ID not on Evidence Pulls sheet",IF(K184="","Not graded",IF(AND(G184="MANDATORY",L184="Gap - recommend tailoring"),"INVALID: safety-mandatory, not tailorable",IF(OR(P184="",P184=0),"NO NAMED EXECUTOR",IF(AND(H184="Full",N(O184)&gt;=3,N(IFERROR(INDEX('Evidence Pulls'!$J$6:$J$125,MATCH($J184,'Evidence Pulls'!$A$6:$A$125,0)),""))=0),"Operating claimed with no sample",IF(AND(N(O184)&gt;=3,P184=1),"Operating rests on one individual",IF(AND(G184="MANDATORY",N(O184)&lt;3),"SAFETY GATE: below Operating","OK"))))))))</f>
        <v>No evidence pull assigned</v>
      </c>
    </row>
    <row r="185" customFormat="false" ht="22.35" hidden="false" customHeight="false" outlineLevel="0" collapsed="false">
      <c r="A185" s="17" t="s">
        <v>418</v>
      </c>
      <c r="B185" s="17" t="s">
        <v>267</v>
      </c>
      <c r="C185" s="17" t="s">
        <v>416</v>
      </c>
      <c r="D185" s="17" t="s">
        <v>417</v>
      </c>
      <c r="E185" s="17" t="s">
        <v>106</v>
      </c>
      <c r="F185" s="17"/>
      <c r="G185" s="18" t="s">
        <v>107</v>
      </c>
      <c r="H185" s="18" t="s">
        <v>108</v>
      </c>
      <c r="I185" s="17" t="s">
        <v>270</v>
      </c>
      <c r="J185" s="15"/>
      <c r="K185" s="15"/>
      <c r="L185" s="15"/>
      <c r="M185" s="15"/>
      <c r="N185" s="15"/>
      <c r="O185" s="16" t="str">
        <f aca="false">IFERROR(INDEX(Lists!$B$3:$B$7,MATCH(K185,Lists!$A$3:$A$7,0)),"")</f>
        <v/>
      </c>
      <c r="P185" s="16" t="str">
        <f aca="false">IFERROR(INDEX('Evidence Pulls'!$N$6:$N$125,MATCH($J185,'Evidence Pulls'!$A$6:$A$125,0)),"")</f>
        <v/>
      </c>
      <c r="Q185" s="16" t="str">
        <f aca="false">IFERROR(INDEX('Evidence Pulls'!$G$6:$G$125,MATCH($J185,'Evidence Pulls'!$A$6:$A$125,0)),"")</f>
        <v/>
      </c>
      <c r="R185" s="16" t="str">
        <f aca="false">IFERROR(INDEX('Evidence Pulls'!$O$6:$O$125,MATCH($J185,'Evidence Pulls'!$A$6:$A$125,0)),"")</f>
        <v/>
      </c>
      <c r="S185" s="16" t="str">
        <f aca="false">IF(L185&lt;&gt;"",L185,IF(K185="","Not assessed",IF(N(O185)&gt;=3,"Demonstrated","Gap - remediate")))</f>
        <v>Not assessed</v>
      </c>
      <c r="T185" s="16" t="str">
        <f aca="false">IF(J185="","No evidence pull assigned",IF(COUNTIF('Evidence Pulls'!$A$6:$A$125,J185)=0,"Pull ID not on Evidence Pulls sheet",IF(K185="","Not graded",IF(AND(G185="MANDATORY",L185="Gap - recommend tailoring"),"INVALID: safety-mandatory, not tailorable",IF(OR(P185="",P185=0),"NO NAMED EXECUTOR",IF(AND(H185="Full",N(O185)&gt;=3,N(IFERROR(INDEX('Evidence Pulls'!$J$6:$J$125,MATCH($J185,'Evidence Pulls'!$A$6:$A$125,0)),""))=0),"Operating claimed with no sample",IF(AND(N(O185)&gt;=3,P185=1),"Operating rests on one individual",IF(AND(G185="MANDATORY",N(O185)&lt;3),"SAFETY GATE: below Operating","OK"))))))))</f>
        <v>No evidence pull assigned</v>
      </c>
    </row>
    <row r="186" customFormat="false" ht="22.35" hidden="false" customHeight="false" outlineLevel="0" collapsed="false">
      <c r="A186" s="13" t="s">
        <v>419</v>
      </c>
      <c r="B186" s="13" t="s">
        <v>267</v>
      </c>
      <c r="C186" s="13" t="s">
        <v>416</v>
      </c>
      <c r="D186" s="13" t="s">
        <v>417</v>
      </c>
      <c r="E186" s="13" t="s">
        <v>180</v>
      </c>
      <c r="F186" s="14"/>
      <c r="G186" s="13"/>
      <c r="H186" s="13" t="s">
        <v>103</v>
      </c>
      <c r="I186" s="13" t="s">
        <v>270</v>
      </c>
      <c r="J186" s="15"/>
      <c r="K186" s="15"/>
      <c r="L186" s="15"/>
      <c r="M186" s="15"/>
      <c r="N186" s="15"/>
      <c r="O186" s="16" t="str">
        <f aca="false">IFERROR(INDEX(Lists!$B$3:$B$7,MATCH(K186,Lists!$A$3:$A$7,0)),"")</f>
        <v/>
      </c>
      <c r="P186" s="16" t="str">
        <f aca="false">IFERROR(INDEX('Evidence Pulls'!$N$6:$N$125,MATCH($J186,'Evidence Pulls'!$A$6:$A$125,0)),"")</f>
        <v/>
      </c>
      <c r="Q186" s="16" t="str">
        <f aca="false">IFERROR(INDEX('Evidence Pulls'!$G$6:$G$125,MATCH($J186,'Evidence Pulls'!$A$6:$A$125,0)),"")</f>
        <v/>
      </c>
      <c r="R186" s="16" t="str">
        <f aca="false">IFERROR(INDEX('Evidence Pulls'!$O$6:$O$125,MATCH($J186,'Evidence Pulls'!$A$6:$A$125,0)),"")</f>
        <v/>
      </c>
      <c r="S186" s="16" t="str">
        <f aca="false">IF(L186&lt;&gt;"",L186,IF(K186="","Not assessed",IF(N(O186)&gt;=3,"Demonstrated","Gap - remediate")))</f>
        <v>Not assessed</v>
      </c>
      <c r="T186" s="16" t="str">
        <f aca="false">IF(J186="","No evidence pull assigned",IF(COUNTIF('Evidence Pulls'!$A$6:$A$125,J186)=0,"Pull ID not on Evidence Pulls sheet",IF(K186="","Not graded",IF(AND(G186="MANDATORY",L186="Gap - recommend tailoring"),"INVALID: safety-mandatory, not tailorable",IF(OR(P186="",P186=0),"NO NAMED EXECUTOR",IF(AND(H186="Full",N(O186)&gt;=3,N(IFERROR(INDEX('Evidence Pulls'!$J$6:$J$125,MATCH($J186,'Evidence Pulls'!$A$6:$A$125,0)),""))=0),"Operating claimed with no sample",IF(AND(N(O186)&gt;=3,P186=1),"Operating rests on one individual",IF(AND(G186="MANDATORY",N(O186)&lt;3),"SAFETY GATE: below Operating","OK"))))))))</f>
        <v>No evidence pull assigned</v>
      </c>
    </row>
    <row r="187" customFormat="false" ht="22.35" hidden="false" customHeight="false" outlineLevel="0" collapsed="false">
      <c r="A187" s="13" t="s">
        <v>420</v>
      </c>
      <c r="B187" s="13" t="s">
        <v>267</v>
      </c>
      <c r="C187" s="13" t="s">
        <v>416</v>
      </c>
      <c r="D187" s="13" t="s">
        <v>417</v>
      </c>
      <c r="E187" s="13" t="s">
        <v>182</v>
      </c>
      <c r="F187" s="14"/>
      <c r="G187" s="13"/>
      <c r="H187" s="13" t="s">
        <v>103</v>
      </c>
      <c r="I187" s="13" t="s">
        <v>270</v>
      </c>
      <c r="J187" s="15"/>
      <c r="K187" s="15"/>
      <c r="L187" s="15"/>
      <c r="M187" s="15"/>
      <c r="N187" s="15"/>
      <c r="O187" s="16" t="str">
        <f aca="false">IFERROR(INDEX(Lists!$B$3:$B$7,MATCH(K187,Lists!$A$3:$A$7,0)),"")</f>
        <v/>
      </c>
      <c r="P187" s="16" t="str">
        <f aca="false">IFERROR(INDEX('Evidence Pulls'!$N$6:$N$125,MATCH($J187,'Evidence Pulls'!$A$6:$A$125,0)),"")</f>
        <v/>
      </c>
      <c r="Q187" s="16" t="str">
        <f aca="false">IFERROR(INDEX('Evidence Pulls'!$G$6:$G$125,MATCH($J187,'Evidence Pulls'!$A$6:$A$125,0)),"")</f>
        <v/>
      </c>
      <c r="R187" s="16" t="str">
        <f aca="false">IFERROR(INDEX('Evidence Pulls'!$O$6:$O$125,MATCH($J187,'Evidence Pulls'!$A$6:$A$125,0)),"")</f>
        <v/>
      </c>
      <c r="S187" s="16" t="str">
        <f aca="false">IF(L187&lt;&gt;"",L187,IF(K187="","Not assessed",IF(N(O187)&gt;=3,"Demonstrated","Gap - remediate")))</f>
        <v>Not assessed</v>
      </c>
      <c r="T187" s="16" t="str">
        <f aca="false">IF(J187="","No evidence pull assigned",IF(COUNTIF('Evidence Pulls'!$A$6:$A$125,J187)=0,"Pull ID not on Evidence Pulls sheet",IF(K187="","Not graded",IF(AND(G187="MANDATORY",L187="Gap - recommend tailoring"),"INVALID: safety-mandatory, not tailorable",IF(OR(P187="",P187=0),"NO NAMED EXECUTOR",IF(AND(H187="Full",N(O187)&gt;=3,N(IFERROR(INDEX('Evidence Pulls'!$J$6:$J$125,MATCH($J187,'Evidence Pulls'!$A$6:$A$125,0)),""))=0),"Operating claimed with no sample",IF(AND(N(O187)&gt;=3,P187=1),"Operating rests on one individual",IF(AND(G187="MANDATORY",N(O187)&lt;3),"SAFETY GATE: below Operating","OK"))))))))</f>
        <v>No evidence pull assigned</v>
      </c>
    </row>
    <row r="188" customFormat="false" ht="22.35" hidden="false" customHeight="false" outlineLevel="0" collapsed="false">
      <c r="A188" s="13" t="s">
        <v>421</v>
      </c>
      <c r="B188" s="13" t="s">
        <v>267</v>
      </c>
      <c r="C188" s="13" t="s">
        <v>416</v>
      </c>
      <c r="D188" s="13" t="s">
        <v>417</v>
      </c>
      <c r="E188" s="13" t="s">
        <v>422</v>
      </c>
      <c r="F188" s="14"/>
      <c r="G188" s="13"/>
      <c r="H188" s="13" t="s">
        <v>103</v>
      </c>
      <c r="I188" s="13" t="s">
        <v>270</v>
      </c>
      <c r="J188" s="15"/>
      <c r="K188" s="15"/>
      <c r="L188" s="15"/>
      <c r="M188" s="15"/>
      <c r="N188" s="15"/>
      <c r="O188" s="16" t="str">
        <f aca="false">IFERROR(INDEX(Lists!$B$3:$B$7,MATCH(K188,Lists!$A$3:$A$7,0)),"")</f>
        <v/>
      </c>
      <c r="P188" s="16" t="str">
        <f aca="false">IFERROR(INDEX('Evidence Pulls'!$N$6:$N$125,MATCH($J188,'Evidence Pulls'!$A$6:$A$125,0)),"")</f>
        <v/>
      </c>
      <c r="Q188" s="16" t="str">
        <f aca="false">IFERROR(INDEX('Evidence Pulls'!$G$6:$G$125,MATCH($J188,'Evidence Pulls'!$A$6:$A$125,0)),"")</f>
        <v/>
      </c>
      <c r="R188" s="16" t="str">
        <f aca="false">IFERROR(INDEX('Evidence Pulls'!$O$6:$O$125,MATCH($J188,'Evidence Pulls'!$A$6:$A$125,0)),"")</f>
        <v/>
      </c>
      <c r="S188" s="16" t="str">
        <f aca="false">IF(L188&lt;&gt;"",L188,IF(K188="","Not assessed",IF(N(O188)&gt;=3,"Demonstrated","Gap - remediate")))</f>
        <v>Not assessed</v>
      </c>
      <c r="T188" s="16" t="str">
        <f aca="false">IF(J188="","No evidence pull assigned",IF(COUNTIF('Evidence Pulls'!$A$6:$A$125,J188)=0,"Pull ID not on Evidence Pulls sheet",IF(K188="","Not graded",IF(AND(G188="MANDATORY",L188="Gap - recommend tailoring"),"INVALID: safety-mandatory, not tailorable",IF(OR(P188="",P188=0),"NO NAMED EXECUTOR",IF(AND(H188="Full",N(O188)&gt;=3,N(IFERROR(INDEX('Evidence Pulls'!$J$6:$J$125,MATCH($J188,'Evidence Pulls'!$A$6:$A$125,0)),""))=0),"Operating claimed with no sample",IF(AND(N(O188)&gt;=3,P188=1),"Operating rests on one individual",IF(AND(G188="MANDATORY",N(O188)&lt;3),"SAFETY GATE: below Operating","OK"))))))))</f>
        <v>No evidence pull assigned</v>
      </c>
    </row>
    <row r="189" customFormat="false" ht="22.35" hidden="false" customHeight="false" outlineLevel="0" collapsed="false">
      <c r="A189" s="13" t="s">
        <v>423</v>
      </c>
      <c r="B189" s="13" t="s">
        <v>267</v>
      </c>
      <c r="C189" s="13" t="s">
        <v>416</v>
      </c>
      <c r="D189" s="13" t="s">
        <v>417</v>
      </c>
      <c r="E189" s="13" t="s">
        <v>424</v>
      </c>
      <c r="F189" s="14"/>
      <c r="G189" s="13"/>
      <c r="H189" s="13" t="s">
        <v>103</v>
      </c>
      <c r="I189" s="13" t="s">
        <v>270</v>
      </c>
      <c r="J189" s="15"/>
      <c r="K189" s="15"/>
      <c r="L189" s="15"/>
      <c r="M189" s="15"/>
      <c r="N189" s="15"/>
      <c r="O189" s="16" t="str">
        <f aca="false">IFERROR(INDEX(Lists!$B$3:$B$7,MATCH(K189,Lists!$A$3:$A$7,0)),"")</f>
        <v/>
      </c>
      <c r="P189" s="16" t="str">
        <f aca="false">IFERROR(INDEX('Evidence Pulls'!$N$6:$N$125,MATCH($J189,'Evidence Pulls'!$A$6:$A$125,0)),"")</f>
        <v/>
      </c>
      <c r="Q189" s="16" t="str">
        <f aca="false">IFERROR(INDEX('Evidence Pulls'!$G$6:$G$125,MATCH($J189,'Evidence Pulls'!$A$6:$A$125,0)),"")</f>
        <v/>
      </c>
      <c r="R189" s="16" t="str">
        <f aca="false">IFERROR(INDEX('Evidence Pulls'!$O$6:$O$125,MATCH($J189,'Evidence Pulls'!$A$6:$A$125,0)),"")</f>
        <v/>
      </c>
      <c r="S189" s="16" t="str">
        <f aca="false">IF(L189&lt;&gt;"",L189,IF(K189="","Not assessed",IF(N(O189)&gt;=3,"Demonstrated","Gap - remediate")))</f>
        <v>Not assessed</v>
      </c>
      <c r="T189" s="16" t="str">
        <f aca="false">IF(J189="","No evidence pull assigned",IF(COUNTIF('Evidence Pulls'!$A$6:$A$125,J189)=0,"Pull ID not on Evidence Pulls sheet",IF(K189="","Not graded",IF(AND(G189="MANDATORY",L189="Gap - recommend tailoring"),"INVALID: safety-mandatory, not tailorable",IF(OR(P189="",P189=0),"NO NAMED EXECUTOR",IF(AND(H189="Full",N(O189)&gt;=3,N(IFERROR(INDEX('Evidence Pulls'!$J$6:$J$125,MATCH($J189,'Evidence Pulls'!$A$6:$A$125,0)),""))=0),"Operating claimed with no sample",IF(AND(N(O189)&gt;=3,P189=1),"Operating rests on one individual",IF(AND(G189="MANDATORY",N(O189)&lt;3),"SAFETY GATE: below Operating","OK"))))))))</f>
        <v>No evidence pull assigned</v>
      </c>
    </row>
    <row r="190" customFormat="false" ht="22.35" hidden="false" customHeight="false" outlineLevel="0" collapsed="false">
      <c r="A190" s="13" t="s">
        <v>425</v>
      </c>
      <c r="B190" s="13" t="s">
        <v>267</v>
      </c>
      <c r="C190" s="13" t="s">
        <v>416</v>
      </c>
      <c r="D190" s="13" t="s">
        <v>417</v>
      </c>
      <c r="E190" s="13" t="s">
        <v>426</v>
      </c>
      <c r="F190" s="14"/>
      <c r="G190" s="13"/>
      <c r="H190" s="13" t="s">
        <v>103</v>
      </c>
      <c r="I190" s="13" t="s">
        <v>270</v>
      </c>
      <c r="J190" s="15"/>
      <c r="K190" s="15"/>
      <c r="L190" s="15"/>
      <c r="M190" s="15"/>
      <c r="N190" s="15"/>
      <c r="O190" s="16" t="str">
        <f aca="false">IFERROR(INDEX(Lists!$B$3:$B$7,MATCH(K190,Lists!$A$3:$A$7,0)),"")</f>
        <v/>
      </c>
      <c r="P190" s="16" t="str">
        <f aca="false">IFERROR(INDEX('Evidence Pulls'!$N$6:$N$125,MATCH($J190,'Evidence Pulls'!$A$6:$A$125,0)),"")</f>
        <v/>
      </c>
      <c r="Q190" s="16" t="str">
        <f aca="false">IFERROR(INDEX('Evidence Pulls'!$G$6:$G$125,MATCH($J190,'Evidence Pulls'!$A$6:$A$125,0)),"")</f>
        <v/>
      </c>
      <c r="R190" s="16" t="str">
        <f aca="false">IFERROR(INDEX('Evidence Pulls'!$O$6:$O$125,MATCH($J190,'Evidence Pulls'!$A$6:$A$125,0)),"")</f>
        <v/>
      </c>
      <c r="S190" s="16" t="str">
        <f aca="false">IF(L190&lt;&gt;"",L190,IF(K190="","Not assessed",IF(N(O190)&gt;=3,"Demonstrated","Gap - remediate")))</f>
        <v>Not assessed</v>
      </c>
      <c r="T190" s="16" t="str">
        <f aca="false">IF(J190="","No evidence pull assigned",IF(COUNTIF('Evidence Pulls'!$A$6:$A$125,J190)=0,"Pull ID not on Evidence Pulls sheet",IF(K190="","Not graded",IF(AND(G190="MANDATORY",L190="Gap - recommend tailoring"),"INVALID: safety-mandatory, not tailorable",IF(OR(P190="",P190=0),"NO NAMED EXECUTOR",IF(AND(H190="Full",N(O190)&gt;=3,N(IFERROR(INDEX('Evidence Pulls'!$J$6:$J$125,MATCH($J190,'Evidence Pulls'!$A$6:$A$125,0)),""))=0),"Operating claimed with no sample",IF(AND(N(O190)&gt;=3,P190=1),"Operating rests on one individual",IF(AND(G190="MANDATORY",N(O190)&lt;3),"SAFETY GATE: below Operating","OK"))))))))</f>
        <v>No evidence pull assigned</v>
      </c>
    </row>
    <row r="191" customFormat="false" ht="22.35" hidden="false" customHeight="false" outlineLevel="0" collapsed="false">
      <c r="A191" s="13" t="s">
        <v>427</v>
      </c>
      <c r="B191" s="13" t="s">
        <v>267</v>
      </c>
      <c r="C191" s="13" t="s">
        <v>416</v>
      </c>
      <c r="D191" s="13" t="s">
        <v>417</v>
      </c>
      <c r="E191" s="13" t="s">
        <v>428</v>
      </c>
      <c r="F191" s="14"/>
      <c r="G191" s="13"/>
      <c r="H191" s="13" t="s">
        <v>103</v>
      </c>
      <c r="I191" s="13" t="s">
        <v>270</v>
      </c>
      <c r="J191" s="15"/>
      <c r="K191" s="15"/>
      <c r="L191" s="15"/>
      <c r="M191" s="15"/>
      <c r="N191" s="15"/>
      <c r="O191" s="16" t="str">
        <f aca="false">IFERROR(INDEX(Lists!$B$3:$B$7,MATCH(K191,Lists!$A$3:$A$7,0)),"")</f>
        <v/>
      </c>
      <c r="P191" s="16" t="str">
        <f aca="false">IFERROR(INDEX('Evidence Pulls'!$N$6:$N$125,MATCH($J191,'Evidence Pulls'!$A$6:$A$125,0)),"")</f>
        <v/>
      </c>
      <c r="Q191" s="16" t="str">
        <f aca="false">IFERROR(INDEX('Evidence Pulls'!$G$6:$G$125,MATCH($J191,'Evidence Pulls'!$A$6:$A$125,0)),"")</f>
        <v/>
      </c>
      <c r="R191" s="16" t="str">
        <f aca="false">IFERROR(INDEX('Evidence Pulls'!$O$6:$O$125,MATCH($J191,'Evidence Pulls'!$A$6:$A$125,0)),"")</f>
        <v/>
      </c>
      <c r="S191" s="16" t="str">
        <f aca="false">IF(L191&lt;&gt;"",L191,IF(K191="","Not assessed",IF(N(O191)&gt;=3,"Demonstrated","Gap - remediate")))</f>
        <v>Not assessed</v>
      </c>
      <c r="T191" s="16" t="str">
        <f aca="false">IF(J191="","No evidence pull assigned",IF(COUNTIF('Evidence Pulls'!$A$6:$A$125,J191)=0,"Pull ID not on Evidence Pulls sheet",IF(K191="","Not graded",IF(AND(G191="MANDATORY",L191="Gap - recommend tailoring"),"INVALID: safety-mandatory, not tailorable",IF(OR(P191="",P191=0),"NO NAMED EXECUTOR",IF(AND(H191="Full",N(O191)&gt;=3,N(IFERROR(INDEX('Evidence Pulls'!$J$6:$J$125,MATCH($J191,'Evidence Pulls'!$A$6:$A$125,0)),""))=0),"Operating claimed with no sample",IF(AND(N(O191)&gt;=3,P191=1),"Operating rests on one individual",IF(AND(G191="MANDATORY",N(O191)&lt;3),"SAFETY GATE: below Operating","OK"))))))))</f>
        <v>No evidence pull assigned</v>
      </c>
    </row>
    <row r="192" customFormat="false" ht="22.35" hidden="false" customHeight="false" outlineLevel="0" collapsed="false">
      <c r="A192" s="13" t="s">
        <v>429</v>
      </c>
      <c r="B192" s="13" t="s">
        <v>267</v>
      </c>
      <c r="C192" s="13" t="s">
        <v>416</v>
      </c>
      <c r="D192" s="13" t="s">
        <v>417</v>
      </c>
      <c r="E192" s="13" t="s">
        <v>204</v>
      </c>
      <c r="F192" s="14"/>
      <c r="G192" s="13"/>
      <c r="H192" s="13" t="s">
        <v>103</v>
      </c>
      <c r="I192" s="13" t="s">
        <v>270</v>
      </c>
      <c r="J192" s="15"/>
      <c r="K192" s="15"/>
      <c r="L192" s="15"/>
      <c r="M192" s="15"/>
      <c r="N192" s="15"/>
      <c r="O192" s="16" t="str">
        <f aca="false">IFERROR(INDEX(Lists!$B$3:$B$7,MATCH(K192,Lists!$A$3:$A$7,0)),"")</f>
        <v/>
      </c>
      <c r="P192" s="16" t="str">
        <f aca="false">IFERROR(INDEX('Evidence Pulls'!$N$6:$N$125,MATCH($J192,'Evidence Pulls'!$A$6:$A$125,0)),"")</f>
        <v/>
      </c>
      <c r="Q192" s="16" t="str">
        <f aca="false">IFERROR(INDEX('Evidence Pulls'!$G$6:$G$125,MATCH($J192,'Evidence Pulls'!$A$6:$A$125,0)),"")</f>
        <v/>
      </c>
      <c r="R192" s="16" t="str">
        <f aca="false">IFERROR(INDEX('Evidence Pulls'!$O$6:$O$125,MATCH($J192,'Evidence Pulls'!$A$6:$A$125,0)),"")</f>
        <v/>
      </c>
      <c r="S192" s="16" t="str">
        <f aca="false">IF(L192&lt;&gt;"",L192,IF(K192="","Not assessed",IF(N(O192)&gt;=3,"Demonstrated","Gap - remediate")))</f>
        <v>Not assessed</v>
      </c>
      <c r="T192" s="16" t="str">
        <f aca="false">IF(J192="","No evidence pull assigned",IF(COUNTIF('Evidence Pulls'!$A$6:$A$125,J192)=0,"Pull ID not on Evidence Pulls sheet",IF(K192="","Not graded",IF(AND(G192="MANDATORY",L192="Gap - recommend tailoring"),"INVALID: safety-mandatory, not tailorable",IF(OR(P192="",P192=0),"NO NAMED EXECUTOR",IF(AND(H192="Full",N(O192)&gt;=3,N(IFERROR(INDEX('Evidence Pulls'!$J$6:$J$125,MATCH($J192,'Evidence Pulls'!$A$6:$A$125,0)),""))=0),"Operating claimed with no sample",IF(AND(N(O192)&gt;=3,P192=1),"Operating rests on one individual",IF(AND(G192="MANDATORY",N(O192)&lt;3),"SAFETY GATE: below Operating","OK"))))))))</f>
        <v>No evidence pull assigned</v>
      </c>
    </row>
    <row r="193" customFormat="false" ht="22.35" hidden="false" customHeight="false" outlineLevel="0" collapsed="false">
      <c r="A193" s="13" t="s">
        <v>430</v>
      </c>
      <c r="B193" s="13" t="s">
        <v>267</v>
      </c>
      <c r="C193" s="13" t="s">
        <v>431</v>
      </c>
      <c r="D193" s="13" t="s">
        <v>432</v>
      </c>
      <c r="E193" s="13" t="s">
        <v>102</v>
      </c>
      <c r="F193" s="14"/>
      <c r="G193" s="13"/>
      <c r="H193" s="13" t="s">
        <v>103</v>
      </c>
      <c r="I193" s="13" t="s">
        <v>270</v>
      </c>
      <c r="J193" s="15"/>
      <c r="K193" s="15"/>
      <c r="L193" s="15"/>
      <c r="M193" s="15"/>
      <c r="N193" s="15"/>
      <c r="O193" s="16" t="str">
        <f aca="false">IFERROR(INDEX(Lists!$B$3:$B$7,MATCH(K193,Lists!$A$3:$A$7,0)),"")</f>
        <v/>
      </c>
      <c r="P193" s="16" t="str">
        <f aca="false">IFERROR(INDEX('Evidence Pulls'!$N$6:$N$125,MATCH($J193,'Evidence Pulls'!$A$6:$A$125,0)),"")</f>
        <v/>
      </c>
      <c r="Q193" s="16" t="str">
        <f aca="false">IFERROR(INDEX('Evidence Pulls'!$G$6:$G$125,MATCH($J193,'Evidence Pulls'!$A$6:$A$125,0)),"")</f>
        <v/>
      </c>
      <c r="R193" s="16" t="str">
        <f aca="false">IFERROR(INDEX('Evidence Pulls'!$O$6:$O$125,MATCH($J193,'Evidence Pulls'!$A$6:$A$125,0)),"")</f>
        <v/>
      </c>
      <c r="S193" s="16" t="str">
        <f aca="false">IF(L193&lt;&gt;"",L193,IF(K193="","Not assessed",IF(N(O193)&gt;=3,"Demonstrated","Gap - remediate")))</f>
        <v>Not assessed</v>
      </c>
      <c r="T193" s="16" t="str">
        <f aca="false">IF(J193="","No evidence pull assigned",IF(COUNTIF('Evidence Pulls'!$A$6:$A$125,J193)=0,"Pull ID not on Evidence Pulls sheet",IF(K193="","Not graded",IF(AND(G193="MANDATORY",L193="Gap - recommend tailoring"),"INVALID: safety-mandatory, not tailorable",IF(OR(P193="",P193=0),"NO NAMED EXECUTOR",IF(AND(H193="Full",N(O193)&gt;=3,N(IFERROR(INDEX('Evidence Pulls'!$J$6:$J$125,MATCH($J193,'Evidence Pulls'!$A$6:$A$125,0)),""))=0),"Operating claimed with no sample",IF(AND(N(O193)&gt;=3,P193=1),"Operating rests on one individual",IF(AND(G193="MANDATORY",N(O193)&lt;3),"SAFETY GATE: below Operating","OK"))))))))</f>
        <v>No evidence pull assigned</v>
      </c>
    </row>
    <row r="194" customFormat="false" ht="22.35" hidden="false" customHeight="false" outlineLevel="0" collapsed="false">
      <c r="A194" s="13" t="s">
        <v>433</v>
      </c>
      <c r="B194" s="13" t="s">
        <v>267</v>
      </c>
      <c r="C194" s="13" t="s">
        <v>431</v>
      </c>
      <c r="D194" s="13" t="s">
        <v>432</v>
      </c>
      <c r="E194" s="13" t="s">
        <v>106</v>
      </c>
      <c r="F194" s="14"/>
      <c r="G194" s="13"/>
      <c r="H194" s="13" t="s">
        <v>103</v>
      </c>
      <c r="I194" s="13" t="s">
        <v>270</v>
      </c>
      <c r="J194" s="15"/>
      <c r="K194" s="15"/>
      <c r="L194" s="15"/>
      <c r="M194" s="15"/>
      <c r="N194" s="15"/>
      <c r="O194" s="16" t="str">
        <f aca="false">IFERROR(INDEX(Lists!$B$3:$B$7,MATCH(K194,Lists!$A$3:$A$7,0)),"")</f>
        <v/>
      </c>
      <c r="P194" s="16" t="str">
        <f aca="false">IFERROR(INDEX('Evidence Pulls'!$N$6:$N$125,MATCH($J194,'Evidence Pulls'!$A$6:$A$125,0)),"")</f>
        <v/>
      </c>
      <c r="Q194" s="16" t="str">
        <f aca="false">IFERROR(INDEX('Evidence Pulls'!$G$6:$G$125,MATCH($J194,'Evidence Pulls'!$A$6:$A$125,0)),"")</f>
        <v/>
      </c>
      <c r="R194" s="16" t="str">
        <f aca="false">IFERROR(INDEX('Evidence Pulls'!$O$6:$O$125,MATCH($J194,'Evidence Pulls'!$A$6:$A$125,0)),"")</f>
        <v/>
      </c>
      <c r="S194" s="16" t="str">
        <f aca="false">IF(L194&lt;&gt;"",L194,IF(K194="","Not assessed",IF(N(O194)&gt;=3,"Demonstrated","Gap - remediate")))</f>
        <v>Not assessed</v>
      </c>
      <c r="T194" s="16" t="str">
        <f aca="false">IF(J194="","No evidence pull assigned",IF(COUNTIF('Evidence Pulls'!$A$6:$A$125,J194)=0,"Pull ID not on Evidence Pulls sheet",IF(K194="","Not graded",IF(AND(G194="MANDATORY",L194="Gap - recommend tailoring"),"INVALID: safety-mandatory, not tailorable",IF(OR(P194="",P194=0),"NO NAMED EXECUTOR",IF(AND(H194="Full",N(O194)&gt;=3,N(IFERROR(INDEX('Evidence Pulls'!$J$6:$J$125,MATCH($J194,'Evidence Pulls'!$A$6:$A$125,0)),""))=0),"Operating claimed with no sample",IF(AND(N(O194)&gt;=3,P194=1),"Operating rests on one individual",IF(AND(G194="MANDATORY",N(O194)&lt;3),"SAFETY GATE: below Operating","OK"))))))))</f>
        <v>No evidence pull assigned</v>
      </c>
    </row>
    <row r="195" customFormat="false" ht="22.35" hidden="false" customHeight="false" outlineLevel="0" collapsed="false">
      <c r="A195" s="13" t="s">
        <v>434</v>
      </c>
      <c r="B195" s="13" t="s">
        <v>267</v>
      </c>
      <c r="C195" s="13" t="s">
        <v>435</v>
      </c>
      <c r="D195" s="13" t="s">
        <v>436</v>
      </c>
      <c r="E195" s="13" t="s">
        <v>117</v>
      </c>
      <c r="F195" s="14"/>
      <c r="G195" s="13"/>
      <c r="H195" s="13" t="s">
        <v>103</v>
      </c>
      <c r="I195" s="13" t="s">
        <v>270</v>
      </c>
      <c r="J195" s="15"/>
      <c r="K195" s="15"/>
      <c r="L195" s="15"/>
      <c r="M195" s="15"/>
      <c r="N195" s="15"/>
      <c r="O195" s="16" t="str">
        <f aca="false">IFERROR(INDEX(Lists!$B$3:$B$7,MATCH(K195,Lists!$A$3:$A$7,0)),"")</f>
        <v/>
      </c>
      <c r="P195" s="16" t="str">
        <f aca="false">IFERROR(INDEX('Evidence Pulls'!$N$6:$N$125,MATCH($J195,'Evidence Pulls'!$A$6:$A$125,0)),"")</f>
        <v/>
      </c>
      <c r="Q195" s="16" t="str">
        <f aca="false">IFERROR(INDEX('Evidence Pulls'!$G$6:$G$125,MATCH($J195,'Evidence Pulls'!$A$6:$A$125,0)),"")</f>
        <v/>
      </c>
      <c r="R195" s="16" t="str">
        <f aca="false">IFERROR(INDEX('Evidence Pulls'!$O$6:$O$125,MATCH($J195,'Evidence Pulls'!$A$6:$A$125,0)),"")</f>
        <v/>
      </c>
      <c r="S195" s="16" t="str">
        <f aca="false">IF(L195&lt;&gt;"",L195,IF(K195="","Not assessed",IF(N(O195)&gt;=3,"Demonstrated","Gap - remediate")))</f>
        <v>Not assessed</v>
      </c>
      <c r="T195" s="16" t="str">
        <f aca="false">IF(J195="","No evidence pull assigned",IF(COUNTIF('Evidence Pulls'!$A$6:$A$125,J195)=0,"Pull ID not on Evidence Pulls sheet",IF(K195="","Not graded",IF(AND(G195="MANDATORY",L195="Gap - recommend tailoring"),"INVALID: safety-mandatory, not tailorable",IF(OR(P195="",P195=0),"NO NAMED EXECUTOR",IF(AND(H195="Full",N(O195)&gt;=3,N(IFERROR(INDEX('Evidence Pulls'!$J$6:$J$125,MATCH($J195,'Evidence Pulls'!$A$6:$A$125,0)),""))=0),"Operating claimed with no sample",IF(AND(N(O195)&gt;=3,P195=1),"Operating rests on one individual",IF(AND(G195="MANDATORY",N(O195)&lt;3),"SAFETY GATE: below Operating","OK"))))))))</f>
        <v>No evidence pull assigned</v>
      </c>
    </row>
    <row r="196" customFormat="false" ht="22.35" hidden="false" customHeight="false" outlineLevel="0" collapsed="false">
      <c r="A196" s="13" t="s">
        <v>437</v>
      </c>
      <c r="B196" s="13" t="s">
        <v>267</v>
      </c>
      <c r="C196" s="13" t="s">
        <v>435</v>
      </c>
      <c r="D196" s="13" t="s">
        <v>436</v>
      </c>
      <c r="E196" s="13" t="s">
        <v>119</v>
      </c>
      <c r="F196" s="14"/>
      <c r="G196" s="13"/>
      <c r="H196" s="13" t="s">
        <v>103</v>
      </c>
      <c r="I196" s="13" t="s">
        <v>270</v>
      </c>
      <c r="J196" s="15"/>
      <c r="K196" s="15"/>
      <c r="L196" s="15"/>
      <c r="M196" s="15"/>
      <c r="N196" s="15"/>
      <c r="O196" s="16" t="str">
        <f aca="false">IFERROR(INDEX(Lists!$B$3:$B$7,MATCH(K196,Lists!$A$3:$A$7,0)),"")</f>
        <v/>
      </c>
      <c r="P196" s="16" t="str">
        <f aca="false">IFERROR(INDEX('Evidence Pulls'!$N$6:$N$125,MATCH($J196,'Evidence Pulls'!$A$6:$A$125,0)),"")</f>
        <v/>
      </c>
      <c r="Q196" s="16" t="str">
        <f aca="false">IFERROR(INDEX('Evidence Pulls'!$G$6:$G$125,MATCH($J196,'Evidence Pulls'!$A$6:$A$125,0)),"")</f>
        <v/>
      </c>
      <c r="R196" s="16" t="str">
        <f aca="false">IFERROR(INDEX('Evidence Pulls'!$O$6:$O$125,MATCH($J196,'Evidence Pulls'!$A$6:$A$125,0)),"")</f>
        <v/>
      </c>
      <c r="S196" s="16" t="str">
        <f aca="false">IF(L196&lt;&gt;"",L196,IF(K196="","Not assessed",IF(N(O196)&gt;=3,"Demonstrated","Gap - remediate")))</f>
        <v>Not assessed</v>
      </c>
      <c r="T196" s="16" t="str">
        <f aca="false">IF(J196="","No evidence pull assigned",IF(COUNTIF('Evidence Pulls'!$A$6:$A$125,J196)=0,"Pull ID not on Evidence Pulls sheet",IF(K196="","Not graded",IF(AND(G196="MANDATORY",L196="Gap - recommend tailoring"),"INVALID: safety-mandatory, not tailorable",IF(OR(P196="",P196=0),"NO NAMED EXECUTOR",IF(AND(H196="Full",N(O196)&gt;=3,N(IFERROR(INDEX('Evidence Pulls'!$J$6:$J$125,MATCH($J196,'Evidence Pulls'!$A$6:$A$125,0)),""))=0),"Operating claimed with no sample",IF(AND(N(O196)&gt;=3,P196=1),"Operating rests on one individual",IF(AND(G196="MANDATORY",N(O196)&lt;3),"SAFETY GATE: below Operating","OK"))))))))</f>
        <v>No evidence pull assigned</v>
      </c>
    </row>
    <row r="197" customFormat="false" ht="22.35" hidden="false" customHeight="false" outlineLevel="0" collapsed="false">
      <c r="A197" s="13" t="s">
        <v>438</v>
      </c>
      <c r="B197" s="13" t="s">
        <v>267</v>
      </c>
      <c r="C197" s="13" t="s">
        <v>435</v>
      </c>
      <c r="D197" s="13" t="s">
        <v>436</v>
      </c>
      <c r="E197" s="13" t="s">
        <v>121</v>
      </c>
      <c r="F197" s="14"/>
      <c r="G197" s="13"/>
      <c r="H197" s="13" t="s">
        <v>103</v>
      </c>
      <c r="I197" s="13" t="s">
        <v>270</v>
      </c>
      <c r="J197" s="15"/>
      <c r="K197" s="15"/>
      <c r="L197" s="15"/>
      <c r="M197" s="15"/>
      <c r="N197" s="15"/>
      <c r="O197" s="16" t="str">
        <f aca="false">IFERROR(INDEX(Lists!$B$3:$B$7,MATCH(K197,Lists!$A$3:$A$7,0)),"")</f>
        <v/>
      </c>
      <c r="P197" s="16" t="str">
        <f aca="false">IFERROR(INDEX('Evidence Pulls'!$N$6:$N$125,MATCH($J197,'Evidence Pulls'!$A$6:$A$125,0)),"")</f>
        <v/>
      </c>
      <c r="Q197" s="16" t="str">
        <f aca="false">IFERROR(INDEX('Evidence Pulls'!$G$6:$G$125,MATCH($J197,'Evidence Pulls'!$A$6:$A$125,0)),"")</f>
        <v/>
      </c>
      <c r="R197" s="16" t="str">
        <f aca="false">IFERROR(INDEX('Evidence Pulls'!$O$6:$O$125,MATCH($J197,'Evidence Pulls'!$A$6:$A$125,0)),"")</f>
        <v/>
      </c>
      <c r="S197" s="16" t="str">
        <f aca="false">IF(L197&lt;&gt;"",L197,IF(K197="","Not assessed",IF(N(O197)&gt;=3,"Demonstrated","Gap - remediate")))</f>
        <v>Not assessed</v>
      </c>
      <c r="T197" s="16" t="str">
        <f aca="false">IF(J197="","No evidence pull assigned",IF(COUNTIF('Evidence Pulls'!$A$6:$A$125,J197)=0,"Pull ID not on Evidence Pulls sheet",IF(K197="","Not graded",IF(AND(G197="MANDATORY",L197="Gap - recommend tailoring"),"INVALID: safety-mandatory, not tailorable",IF(OR(P197="",P197=0),"NO NAMED EXECUTOR",IF(AND(H197="Full",N(O197)&gt;=3,N(IFERROR(INDEX('Evidence Pulls'!$J$6:$J$125,MATCH($J197,'Evidence Pulls'!$A$6:$A$125,0)),""))=0),"Operating claimed with no sample",IF(AND(N(O197)&gt;=3,P197=1),"Operating rests on one individual",IF(AND(G197="MANDATORY",N(O197)&lt;3),"SAFETY GATE: below Operating","OK"))))))))</f>
        <v>No evidence pull assigned</v>
      </c>
    </row>
    <row r="198" customFormat="false" ht="22.35" hidden="false" customHeight="false" outlineLevel="0" collapsed="false">
      <c r="A198" s="13" t="s">
        <v>439</v>
      </c>
      <c r="B198" s="13" t="s">
        <v>267</v>
      </c>
      <c r="C198" s="13" t="s">
        <v>435</v>
      </c>
      <c r="D198" s="13" t="s">
        <v>436</v>
      </c>
      <c r="E198" s="13" t="s">
        <v>106</v>
      </c>
      <c r="F198" s="14"/>
      <c r="G198" s="13"/>
      <c r="H198" s="13" t="s">
        <v>103</v>
      </c>
      <c r="I198" s="13" t="s">
        <v>270</v>
      </c>
      <c r="J198" s="15"/>
      <c r="K198" s="15"/>
      <c r="L198" s="15"/>
      <c r="M198" s="15"/>
      <c r="N198" s="15"/>
      <c r="O198" s="16" t="str">
        <f aca="false">IFERROR(INDEX(Lists!$B$3:$B$7,MATCH(K198,Lists!$A$3:$A$7,0)),"")</f>
        <v/>
      </c>
      <c r="P198" s="16" t="str">
        <f aca="false">IFERROR(INDEX('Evidence Pulls'!$N$6:$N$125,MATCH($J198,'Evidence Pulls'!$A$6:$A$125,0)),"")</f>
        <v/>
      </c>
      <c r="Q198" s="16" t="str">
        <f aca="false">IFERROR(INDEX('Evidence Pulls'!$G$6:$G$125,MATCH($J198,'Evidence Pulls'!$A$6:$A$125,0)),"")</f>
        <v/>
      </c>
      <c r="R198" s="16" t="str">
        <f aca="false">IFERROR(INDEX('Evidence Pulls'!$O$6:$O$125,MATCH($J198,'Evidence Pulls'!$A$6:$A$125,0)),"")</f>
        <v/>
      </c>
      <c r="S198" s="16" t="str">
        <f aca="false">IF(L198&lt;&gt;"",L198,IF(K198="","Not assessed",IF(N(O198)&gt;=3,"Demonstrated","Gap - remediate")))</f>
        <v>Not assessed</v>
      </c>
      <c r="T198" s="16" t="str">
        <f aca="false">IF(J198="","No evidence pull assigned",IF(COUNTIF('Evidence Pulls'!$A$6:$A$125,J198)=0,"Pull ID not on Evidence Pulls sheet",IF(K198="","Not graded",IF(AND(G198="MANDATORY",L198="Gap - recommend tailoring"),"INVALID: safety-mandatory, not tailorable",IF(OR(P198="",P198=0),"NO NAMED EXECUTOR",IF(AND(H198="Full",N(O198)&gt;=3,N(IFERROR(INDEX('Evidence Pulls'!$J$6:$J$125,MATCH($J198,'Evidence Pulls'!$A$6:$A$125,0)),""))=0),"Operating claimed with no sample",IF(AND(N(O198)&gt;=3,P198=1),"Operating rests on one individual",IF(AND(G198="MANDATORY",N(O198)&lt;3),"SAFETY GATE: below Operating","OK"))))))))</f>
        <v>No evidence pull assigned</v>
      </c>
    </row>
    <row r="199" customFormat="false" ht="22.35" hidden="false" customHeight="false" outlineLevel="0" collapsed="false">
      <c r="A199" s="13" t="s">
        <v>440</v>
      </c>
      <c r="B199" s="13" t="s">
        <v>267</v>
      </c>
      <c r="C199" s="13" t="s">
        <v>435</v>
      </c>
      <c r="D199" s="13" t="s">
        <v>436</v>
      </c>
      <c r="E199" s="13" t="s">
        <v>110</v>
      </c>
      <c r="F199" s="14"/>
      <c r="G199" s="13"/>
      <c r="H199" s="13" t="s">
        <v>103</v>
      </c>
      <c r="I199" s="13" t="s">
        <v>270</v>
      </c>
      <c r="J199" s="15"/>
      <c r="K199" s="15"/>
      <c r="L199" s="15"/>
      <c r="M199" s="15"/>
      <c r="N199" s="15"/>
      <c r="O199" s="16" t="str">
        <f aca="false">IFERROR(INDEX(Lists!$B$3:$B$7,MATCH(K199,Lists!$A$3:$A$7,0)),"")</f>
        <v/>
      </c>
      <c r="P199" s="16" t="str">
        <f aca="false">IFERROR(INDEX('Evidence Pulls'!$N$6:$N$125,MATCH($J199,'Evidence Pulls'!$A$6:$A$125,0)),"")</f>
        <v/>
      </c>
      <c r="Q199" s="16" t="str">
        <f aca="false">IFERROR(INDEX('Evidence Pulls'!$G$6:$G$125,MATCH($J199,'Evidence Pulls'!$A$6:$A$125,0)),"")</f>
        <v/>
      </c>
      <c r="R199" s="16" t="str">
        <f aca="false">IFERROR(INDEX('Evidence Pulls'!$O$6:$O$125,MATCH($J199,'Evidence Pulls'!$A$6:$A$125,0)),"")</f>
        <v/>
      </c>
      <c r="S199" s="16" t="str">
        <f aca="false">IF(L199&lt;&gt;"",L199,IF(K199="","Not assessed",IF(N(O199)&gt;=3,"Demonstrated","Gap - remediate")))</f>
        <v>Not assessed</v>
      </c>
      <c r="T199" s="16" t="str">
        <f aca="false">IF(J199="","No evidence pull assigned",IF(COUNTIF('Evidence Pulls'!$A$6:$A$125,J199)=0,"Pull ID not on Evidence Pulls sheet",IF(K199="","Not graded",IF(AND(G199="MANDATORY",L199="Gap - recommend tailoring"),"INVALID: safety-mandatory, not tailorable",IF(OR(P199="",P199=0),"NO NAMED EXECUTOR",IF(AND(H199="Full",N(O199)&gt;=3,N(IFERROR(INDEX('Evidence Pulls'!$J$6:$J$125,MATCH($J199,'Evidence Pulls'!$A$6:$A$125,0)),""))=0),"Operating claimed with no sample",IF(AND(N(O199)&gt;=3,P199=1),"Operating rests on one individual",IF(AND(G199="MANDATORY",N(O199)&lt;3),"SAFETY GATE: below Operating","OK"))))))))</f>
        <v>No evidence pull assigned</v>
      </c>
    </row>
    <row r="200" customFormat="false" ht="22.35" hidden="false" customHeight="false" outlineLevel="0" collapsed="false">
      <c r="A200" s="13" t="s">
        <v>441</v>
      </c>
      <c r="B200" s="13" t="s">
        <v>267</v>
      </c>
      <c r="C200" s="13" t="s">
        <v>442</v>
      </c>
      <c r="D200" s="13" t="s">
        <v>443</v>
      </c>
      <c r="E200" s="13" t="s">
        <v>102</v>
      </c>
      <c r="F200" s="14"/>
      <c r="G200" s="13"/>
      <c r="H200" s="13" t="s">
        <v>103</v>
      </c>
      <c r="I200" s="13" t="s">
        <v>270</v>
      </c>
      <c r="J200" s="15"/>
      <c r="K200" s="15"/>
      <c r="L200" s="15"/>
      <c r="M200" s="15"/>
      <c r="N200" s="15"/>
      <c r="O200" s="16" t="str">
        <f aca="false">IFERROR(INDEX(Lists!$B$3:$B$7,MATCH(K200,Lists!$A$3:$A$7,0)),"")</f>
        <v/>
      </c>
      <c r="P200" s="16" t="str">
        <f aca="false">IFERROR(INDEX('Evidence Pulls'!$N$6:$N$125,MATCH($J200,'Evidence Pulls'!$A$6:$A$125,0)),"")</f>
        <v/>
      </c>
      <c r="Q200" s="16" t="str">
        <f aca="false">IFERROR(INDEX('Evidence Pulls'!$G$6:$G$125,MATCH($J200,'Evidence Pulls'!$A$6:$A$125,0)),"")</f>
        <v/>
      </c>
      <c r="R200" s="16" t="str">
        <f aca="false">IFERROR(INDEX('Evidence Pulls'!$O$6:$O$125,MATCH($J200,'Evidence Pulls'!$A$6:$A$125,0)),"")</f>
        <v/>
      </c>
      <c r="S200" s="16" t="str">
        <f aca="false">IF(L200&lt;&gt;"",L200,IF(K200="","Not assessed",IF(N(O200)&gt;=3,"Demonstrated","Gap - remediate")))</f>
        <v>Not assessed</v>
      </c>
      <c r="T200" s="16" t="str">
        <f aca="false">IF(J200="","No evidence pull assigned",IF(COUNTIF('Evidence Pulls'!$A$6:$A$125,J200)=0,"Pull ID not on Evidence Pulls sheet",IF(K200="","Not graded",IF(AND(G200="MANDATORY",L200="Gap - recommend tailoring"),"INVALID: safety-mandatory, not tailorable",IF(OR(P200="",P200=0),"NO NAMED EXECUTOR",IF(AND(H200="Full",N(O200)&gt;=3,N(IFERROR(INDEX('Evidence Pulls'!$J$6:$J$125,MATCH($J200,'Evidence Pulls'!$A$6:$A$125,0)),""))=0),"Operating claimed with no sample",IF(AND(N(O200)&gt;=3,P200=1),"Operating rests on one individual",IF(AND(G200="MANDATORY",N(O200)&lt;3),"SAFETY GATE: below Operating","OK"))))))))</f>
        <v>No evidence pull assigned</v>
      </c>
    </row>
    <row r="201" customFormat="false" ht="22.35" hidden="false" customHeight="false" outlineLevel="0" collapsed="false">
      <c r="A201" s="13" t="s">
        <v>444</v>
      </c>
      <c r="B201" s="13" t="s">
        <v>267</v>
      </c>
      <c r="C201" s="13" t="s">
        <v>442</v>
      </c>
      <c r="D201" s="13" t="s">
        <v>443</v>
      </c>
      <c r="E201" s="13" t="s">
        <v>106</v>
      </c>
      <c r="F201" s="14"/>
      <c r="G201" s="13"/>
      <c r="H201" s="13" t="s">
        <v>103</v>
      </c>
      <c r="I201" s="13" t="s">
        <v>270</v>
      </c>
      <c r="J201" s="15"/>
      <c r="K201" s="15"/>
      <c r="L201" s="15"/>
      <c r="M201" s="15"/>
      <c r="N201" s="15"/>
      <c r="O201" s="16" t="str">
        <f aca="false">IFERROR(INDEX(Lists!$B$3:$B$7,MATCH(K201,Lists!$A$3:$A$7,0)),"")</f>
        <v/>
      </c>
      <c r="P201" s="16" t="str">
        <f aca="false">IFERROR(INDEX('Evidence Pulls'!$N$6:$N$125,MATCH($J201,'Evidence Pulls'!$A$6:$A$125,0)),"")</f>
        <v/>
      </c>
      <c r="Q201" s="16" t="str">
        <f aca="false">IFERROR(INDEX('Evidence Pulls'!$G$6:$G$125,MATCH($J201,'Evidence Pulls'!$A$6:$A$125,0)),"")</f>
        <v/>
      </c>
      <c r="R201" s="16" t="str">
        <f aca="false">IFERROR(INDEX('Evidence Pulls'!$O$6:$O$125,MATCH($J201,'Evidence Pulls'!$A$6:$A$125,0)),"")</f>
        <v/>
      </c>
      <c r="S201" s="16" t="str">
        <f aca="false">IF(L201&lt;&gt;"",L201,IF(K201="","Not assessed",IF(N(O201)&gt;=3,"Demonstrated","Gap - remediate")))</f>
        <v>Not assessed</v>
      </c>
      <c r="T201" s="16" t="str">
        <f aca="false">IF(J201="","No evidence pull assigned",IF(COUNTIF('Evidence Pulls'!$A$6:$A$125,J201)=0,"Pull ID not on Evidence Pulls sheet",IF(K201="","Not graded",IF(AND(G201="MANDATORY",L201="Gap - recommend tailoring"),"INVALID: safety-mandatory, not tailorable",IF(OR(P201="",P201=0),"NO NAMED EXECUTOR",IF(AND(H201="Full",N(O201)&gt;=3,N(IFERROR(INDEX('Evidence Pulls'!$J$6:$J$125,MATCH($J201,'Evidence Pulls'!$A$6:$A$125,0)),""))=0),"Operating claimed with no sample",IF(AND(N(O201)&gt;=3,P201=1),"Operating rests on one individual",IF(AND(G201="MANDATORY",N(O201)&lt;3),"SAFETY GATE: below Operating","OK"))))))))</f>
        <v>No evidence pull assigned</v>
      </c>
    </row>
    <row r="202" customFormat="false" ht="22.35" hidden="false" customHeight="false" outlineLevel="0" collapsed="false">
      <c r="A202" s="13" t="s">
        <v>445</v>
      </c>
      <c r="B202" s="13" t="s">
        <v>267</v>
      </c>
      <c r="C202" s="13" t="s">
        <v>446</v>
      </c>
      <c r="D202" s="13" t="s">
        <v>447</v>
      </c>
      <c r="E202" s="13" t="s">
        <v>102</v>
      </c>
      <c r="F202" s="14"/>
      <c r="G202" s="13"/>
      <c r="H202" s="13" t="s">
        <v>103</v>
      </c>
      <c r="I202" s="13" t="s">
        <v>270</v>
      </c>
      <c r="J202" s="15"/>
      <c r="K202" s="15"/>
      <c r="L202" s="15"/>
      <c r="M202" s="15"/>
      <c r="N202" s="15"/>
      <c r="O202" s="16" t="str">
        <f aca="false">IFERROR(INDEX(Lists!$B$3:$B$7,MATCH(K202,Lists!$A$3:$A$7,0)),"")</f>
        <v/>
      </c>
      <c r="P202" s="16" t="str">
        <f aca="false">IFERROR(INDEX('Evidence Pulls'!$N$6:$N$125,MATCH($J202,'Evidence Pulls'!$A$6:$A$125,0)),"")</f>
        <v/>
      </c>
      <c r="Q202" s="16" t="str">
        <f aca="false">IFERROR(INDEX('Evidence Pulls'!$G$6:$G$125,MATCH($J202,'Evidence Pulls'!$A$6:$A$125,0)),"")</f>
        <v/>
      </c>
      <c r="R202" s="16" t="str">
        <f aca="false">IFERROR(INDEX('Evidence Pulls'!$O$6:$O$125,MATCH($J202,'Evidence Pulls'!$A$6:$A$125,0)),"")</f>
        <v/>
      </c>
      <c r="S202" s="16" t="str">
        <f aca="false">IF(L202&lt;&gt;"",L202,IF(K202="","Not assessed",IF(N(O202)&gt;=3,"Demonstrated","Gap - remediate")))</f>
        <v>Not assessed</v>
      </c>
      <c r="T202" s="16" t="str">
        <f aca="false">IF(J202="","No evidence pull assigned",IF(COUNTIF('Evidence Pulls'!$A$6:$A$125,J202)=0,"Pull ID not on Evidence Pulls sheet",IF(K202="","Not graded",IF(AND(G202="MANDATORY",L202="Gap - recommend tailoring"),"INVALID: safety-mandatory, not tailorable",IF(OR(P202="",P202=0),"NO NAMED EXECUTOR",IF(AND(H202="Full",N(O202)&gt;=3,N(IFERROR(INDEX('Evidence Pulls'!$J$6:$J$125,MATCH($J202,'Evidence Pulls'!$A$6:$A$125,0)),""))=0),"Operating claimed with no sample",IF(AND(N(O202)&gt;=3,P202=1),"Operating rests on one individual",IF(AND(G202="MANDATORY",N(O202)&lt;3),"SAFETY GATE: below Operating","OK"))))))))</f>
        <v>No evidence pull assigned</v>
      </c>
    </row>
    <row r="203" customFormat="false" ht="22.35" hidden="false" customHeight="false" outlineLevel="0" collapsed="false">
      <c r="A203" s="13" t="s">
        <v>448</v>
      </c>
      <c r="B203" s="13" t="s">
        <v>267</v>
      </c>
      <c r="C203" s="13" t="s">
        <v>449</v>
      </c>
      <c r="D203" s="13" t="s">
        <v>450</v>
      </c>
      <c r="E203" s="13" t="s">
        <v>102</v>
      </c>
      <c r="F203" s="14"/>
      <c r="G203" s="13"/>
      <c r="H203" s="13" t="s">
        <v>103</v>
      </c>
      <c r="I203" s="13" t="s">
        <v>270</v>
      </c>
      <c r="J203" s="15"/>
      <c r="K203" s="15"/>
      <c r="L203" s="15"/>
      <c r="M203" s="15"/>
      <c r="N203" s="15"/>
      <c r="O203" s="16" t="str">
        <f aca="false">IFERROR(INDEX(Lists!$B$3:$B$7,MATCH(K203,Lists!$A$3:$A$7,0)),"")</f>
        <v/>
      </c>
      <c r="P203" s="16" t="str">
        <f aca="false">IFERROR(INDEX('Evidence Pulls'!$N$6:$N$125,MATCH($J203,'Evidence Pulls'!$A$6:$A$125,0)),"")</f>
        <v/>
      </c>
      <c r="Q203" s="16" t="str">
        <f aca="false">IFERROR(INDEX('Evidence Pulls'!$G$6:$G$125,MATCH($J203,'Evidence Pulls'!$A$6:$A$125,0)),"")</f>
        <v/>
      </c>
      <c r="R203" s="16" t="str">
        <f aca="false">IFERROR(INDEX('Evidence Pulls'!$O$6:$O$125,MATCH($J203,'Evidence Pulls'!$A$6:$A$125,0)),"")</f>
        <v/>
      </c>
      <c r="S203" s="16" t="str">
        <f aca="false">IF(L203&lt;&gt;"",L203,IF(K203="","Not assessed",IF(N(O203)&gt;=3,"Demonstrated","Gap - remediate")))</f>
        <v>Not assessed</v>
      </c>
      <c r="T203" s="16" t="str">
        <f aca="false">IF(J203="","No evidence pull assigned",IF(COUNTIF('Evidence Pulls'!$A$6:$A$125,J203)=0,"Pull ID not on Evidence Pulls sheet",IF(K203="","Not graded",IF(AND(G203="MANDATORY",L203="Gap - recommend tailoring"),"INVALID: safety-mandatory, not tailorable",IF(OR(P203="",P203=0),"NO NAMED EXECUTOR",IF(AND(H203="Full",N(O203)&gt;=3,N(IFERROR(INDEX('Evidence Pulls'!$J$6:$J$125,MATCH($J203,'Evidence Pulls'!$A$6:$A$125,0)),""))=0),"Operating claimed with no sample",IF(AND(N(O203)&gt;=3,P203=1),"Operating rests on one individual",IF(AND(G203="MANDATORY",N(O203)&lt;3),"SAFETY GATE: below Operating","OK"))))))))</f>
        <v>No evidence pull assigned</v>
      </c>
    </row>
    <row r="204" customFormat="false" ht="22.35" hidden="false" customHeight="false" outlineLevel="0" collapsed="false">
      <c r="A204" s="13" t="s">
        <v>451</v>
      </c>
      <c r="B204" s="13" t="s">
        <v>267</v>
      </c>
      <c r="C204" s="13" t="s">
        <v>449</v>
      </c>
      <c r="D204" s="13" t="s">
        <v>450</v>
      </c>
      <c r="E204" s="13" t="s">
        <v>106</v>
      </c>
      <c r="F204" s="14"/>
      <c r="G204" s="13"/>
      <c r="H204" s="13" t="s">
        <v>103</v>
      </c>
      <c r="I204" s="13" t="s">
        <v>270</v>
      </c>
      <c r="J204" s="15"/>
      <c r="K204" s="15"/>
      <c r="L204" s="15"/>
      <c r="M204" s="15"/>
      <c r="N204" s="15"/>
      <c r="O204" s="16" t="str">
        <f aca="false">IFERROR(INDEX(Lists!$B$3:$B$7,MATCH(K204,Lists!$A$3:$A$7,0)),"")</f>
        <v/>
      </c>
      <c r="P204" s="16" t="str">
        <f aca="false">IFERROR(INDEX('Evidence Pulls'!$N$6:$N$125,MATCH($J204,'Evidence Pulls'!$A$6:$A$125,0)),"")</f>
        <v/>
      </c>
      <c r="Q204" s="16" t="str">
        <f aca="false">IFERROR(INDEX('Evidence Pulls'!$G$6:$G$125,MATCH($J204,'Evidence Pulls'!$A$6:$A$125,0)),"")</f>
        <v/>
      </c>
      <c r="R204" s="16" t="str">
        <f aca="false">IFERROR(INDEX('Evidence Pulls'!$O$6:$O$125,MATCH($J204,'Evidence Pulls'!$A$6:$A$125,0)),"")</f>
        <v/>
      </c>
      <c r="S204" s="16" t="str">
        <f aca="false">IF(L204&lt;&gt;"",L204,IF(K204="","Not assessed",IF(N(O204)&gt;=3,"Demonstrated","Gap - remediate")))</f>
        <v>Not assessed</v>
      </c>
      <c r="T204" s="16" t="str">
        <f aca="false">IF(J204="","No evidence pull assigned",IF(COUNTIF('Evidence Pulls'!$A$6:$A$125,J204)=0,"Pull ID not on Evidence Pulls sheet",IF(K204="","Not graded",IF(AND(G204="MANDATORY",L204="Gap - recommend tailoring"),"INVALID: safety-mandatory, not tailorable",IF(OR(P204="",P204=0),"NO NAMED EXECUTOR",IF(AND(H204="Full",N(O204)&gt;=3,N(IFERROR(INDEX('Evidence Pulls'!$J$6:$J$125,MATCH($J204,'Evidence Pulls'!$A$6:$A$125,0)),""))=0),"Operating claimed with no sample",IF(AND(N(O204)&gt;=3,P204=1),"Operating rests on one individual",IF(AND(G204="MANDATORY",N(O204)&lt;3),"SAFETY GATE: below Operating","OK"))))))))</f>
        <v>No evidence pull assigned</v>
      </c>
    </row>
    <row r="205" customFormat="false" ht="22.35" hidden="false" customHeight="false" outlineLevel="0" collapsed="false">
      <c r="A205" s="17" t="s">
        <v>452</v>
      </c>
      <c r="B205" s="17" t="s">
        <v>267</v>
      </c>
      <c r="C205" s="17" t="s">
        <v>453</v>
      </c>
      <c r="D205" s="17" t="s">
        <v>454</v>
      </c>
      <c r="E205" s="17" t="s">
        <v>102</v>
      </c>
      <c r="F205" s="17"/>
      <c r="G205" s="18" t="s">
        <v>107</v>
      </c>
      <c r="H205" s="18" t="s">
        <v>108</v>
      </c>
      <c r="I205" s="17" t="s">
        <v>270</v>
      </c>
      <c r="J205" s="15"/>
      <c r="K205" s="15"/>
      <c r="L205" s="15"/>
      <c r="M205" s="15"/>
      <c r="N205" s="15"/>
      <c r="O205" s="16" t="str">
        <f aca="false">IFERROR(INDEX(Lists!$B$3:$B$7,MATCH(K205,Lists!$A$3:$A$7,0)),"")</f>
        <v/>
      </c>
      <c r="P205" s="16" t="str">
        <f aca="false">IFERROR(INDEX('Evidence Pulls'!$N$6:$N$125,MATCH($J205,'Evidence Pulls'!$A$6:$A$125,0)),"")</f>
        <v/>
      </c>
      <c r="Q205" s="16" t="str">
        <f aca="false">IFERROR(INDEX('Evidence Pulls'!$G$6:$G$125,MATCH($J205,'Evidence Pulls'!$A$6:$A$125,0)),"")</f>
        <v/>
      </c>
      <c r="R205" s="16" t="str">
        <f aca="false">IFERROR(INDEX('Evidence Pulls'!$O$6:$O$125,MATCH($J205,'Evidence Pulls'!$A$6:$A$125,0)),"")</f>
        <v/>
      </c>
      <c r="S205" s="16" t="str">
        <f aca="false">IF(L205&lt;&gt;"",L205,IF(K205="","Not assessed",IF(N(O205)&gt;=3,"Demonstrated","Gap - remediate")))</f>
        <v>Not assessed</v>
      </c>
      <c r="T205" s="16" t="str">
        <f aca="false">IF(J205="","No evidence pull assigned",IF(COUNTIF('Evidence Pulls'!$A$6:$A$125,J205)=0,"Pull ID not on Evidence Pulls sheet",IF(K205="","Not graded",IF(AND(G205="MANDATORY",L205="Gap - recommend tailoring"),"INVALID: safety-mandatory, not tailorable",IF(OR(P205="",P205=0),"NO NAMED EXECUTOR",IF(AND(H205="Full",N(O205)&gt;=3,N(IFERROR(INDEX('Evidence Pulls'!$J$6:$J$125,MATCH($J205,'Evidence Pulls'!$A$6:$A$125,0)),""))=0),"Operating claimed with no sample",IF(AND(N(O205)&gt;=3,P205=1),"Operating rests on one individual",IF(AND(G205="MANDATORY",N(O205)&lt;3),"SAFETY GATE: below Operating","OK"))))))))</f>
        <v>No evidence pull assigned</v>
      </c>
    </row>
    <row r="206" customFormat="false" ht="22.35" hidden="false" customHeight="false" outlineLevel="0" collapsed="false">
      <c r="A206" s="17" t="s">
        <v>455</v>
      </c>
      <c r="B206" s="17" t="s">
        <v>267</v>
      </c>
      <c r="C206" s="17" t="s">
        <v>453</v>
      </c>
      <c r="D206" s="17" t="s">
        <v>454</v>
      </c>
      <c r="E206" s="17" t="s">
        <v>106</v>
      </c>
      <c r="F206" s="17"/>
      <c r="G206" s="18" t="s">
        <v>107</v>
      </c>
      <c r="H206" s="18" t="s">
        <v>108</v>
      </c>
      <c r="I206" s="17" t="s">
        <v>270</v>
      </c>
      <c r="J206" s="15"/>
      <c r="K206" s="15"/>
      <c r="L206" s="15"/>
      <c r="M206" s="15"/>
      <c r="N206" s="15"/>
      <c r="O206" s="16" t="str">
        <f aca="false">IFERROR(INDEX(Lists!$B$3:$B$7,MATCH(K206,Lists!$A$3:$A$7,0)),"")</f>
        <v/>
      </c>
      <c r="P206" s="16" t="str">
        <f aca="false">IFERROR(INDEX('Evidence Pulls'!$N$6:$N$125,MATCH($J206,'Evidence Pulls'!$A$6:$A$125,0)),"")</f>
        <v/>
      </c>
      <c r="Q206" s="16" t="str">
        <f aca="false">IFERROR(INDEX('Evidence Pulls'!$G$6:$G$125,MATCH($J206,'Evidence Pulls'!$A$6:$A$125,0)),"")</f>
        <v/>
      </c>
      <c r="R206" s="16" t="str">
        <f aca="false">IFERROR(INDEX('Evidence Pulls'!$O$6:$O$125,MATCH($J206,'Evidence Pulls'!$A$6:$A$125,0)),"")</f>
        <v/>
      </c>
      <c r="S206" s="16" t="str">
        <f aca="false">IF(L206&lt;&gt;"",L206,IF(K206="","Not assessed",IF(N(O206)&gt;=3,"Demonstrated","Gap - remediate")))</f>
        <v>Not assessed</v>
      </c>
      <c r="T206" s="16" t="str">
        <f aca="false">IF(J206="","No evidence pull assigned",IF(COUNTIF('Evidence Pulls'!$A$6:$A$125,J206)=0,"Pull ID not on Evidence Pulls sheet",IF(K206="","Not graded",IF(AND(G206="MANDATORY",L206="Gap - recommend tailoring"),"INVALID: safety-mandatory, not tailorable",IF(OR(P206="",P206=0),"NO NAMED EXECUTOR",IF(AND(H206="Full",N(O206)&gt;=3,N(IFERROR(INDEX('Evidence Pulls'!$J$6:$J$125,MATCH($J206,'Evidence Pulls'!$A$6:$A$125,0)),""))=0),"Operating claimed with no sample",IF(AND(N(O206)&gt;=3,P206=1),"Operating rests on one individual",IF(AND(G206="MANDATORY",N(O206)&lt;3),"SAFETY GATE: below Operating","OK"))))))))</f>
        <v>No evidence pull assigned</v>
      </c>
    </row>
    <row r="207" customFormat="false" ht="15" hidden="false" customHeight="false" outlineLevel="0" collapsed="false">
      <c r="A207" s="17" t="s">
        <v>456</v>
      </c>
      <c r="B207" s="17" t="s">
        <v>457</v>
      </c>
      <c r="C207" s="17" t="s">
        <v>458</v>
      </c>
      <c r="D207" s="17" t="s">
        <v>459</v>
      </c>
      <c r="E207" s="17" t="s">
        <v>102</v>
      </c>
      <c r="F207" s="17"/>
      <c r="G207" s="18" t="s">
        <v>107</v>
      </c>
      <c r="H207" s="18" t="s">
        <v>108</v>
      </c>
      <c r="I207" s="17" t="s">
        <v>460</v>
      </c>
      <c r="J207" s="15"/>
      <c r="K207" s="15"/>
      <c r="L207" s="15"/>
      <c r="M207" s="15"/>
      <c r="N207" s="15"/>
      <c r="O207" s="16" t="str">
        <f aca="false">IFERROR(INDEX(Lists!$B$3:$B$7,MATCH(K207,Lists!$A$3:$A$7,0)),"")</f>
        <v/>
      </c>
      <c r="P207" s="16" t="str">
        <f aca="false">IFERROR(INDEX('Evidence Pulls'!$N$6:$N$125,MATCH($J207,'Evidence Pulls'!$A$6:$A$125,0)),"")</f>
        <v/>
      </c>
      <c r="Q207" s="16" t="str">
        <f aca="false">IFERROR(INDEX('Evidence Pulls'!$G$6:$G$125,MATCH($J207,'Evidence Pulls'!$A$6:$A$125,0)),"")</f>
        <v/>
      </c>
      <c r="R207" s="16" t="str">
        <f aca="false">IFERROR(INDEX('Evidence Pulls'!$O$6:$O$125,MATCH($J207,'Evidence Pulls'!$A$6:$A$125,0)),"")</f>
        <v/>
      </c>
      <c r="S207" s="16" t="str">
        <f aca="false">IF(L207&lt;&gt;"",L207,IF(K207="","Not assessed",IF(N(O207)&gt;=3,"Demonstrated","Gap - remediate")))</f>
        <v>Not assessed</v>
      </c>
      <c r="T207" s="16" t="str">
        <f aca="false">IF(J207="","No evidence pull assigned",IF(COUNTIF('Evidence Pulls'!$A$6:$A$125,J207)=0,"Pull ID not on Evidence Pulls sheet",IF(K207="","Not graded",IF(AND(G207="MANDATORY",L207="Gap - recommend tailoring"),"INVALID: safety-mandatory, not tailorable",IF(OR(P207="",P207=0),"NO NAMED EXECUTOR",IF(AND(H207="Full",N(O207)&gt;=3,N(IFERROR(INDEX('Evidence Pulls'!$J$6:$J$125,MATCH($J207,'Evidence Pulls'!$A$6:$A$125,0)),""))=0),"Operating claimed with no sample",IF(AND(N(O207)&gt;=3,P207=1),"Operating rests on one individual",IF(AND(G207="MANDATORY",N(O207)&lt;3),"SAFETY GATE: below Operating","OK"))))))))</f>
        <v>No evidence pull assigned</v>
      </c>
    </row>
    <row r="208" customFormat="false" ht="15" hidden="false" customHeight="false" outlineLevel="0" collapsed="false">
      <c r="A208" s="13" t="s">
        <v>461</v>
      </c>
      <c r="B208" s="13" t="s">
        <v>457</v>
      </c>
      <c r="C208" s="13" t="s">
        <v>458</v>
      </c>
      <c r="D208" s="13" t="s">
        <v>459</v>
      </c>
      <c r="E208" s="13" t="s">
        <v>106</v>
      </c>
      <c r="F208" s="14"/>
      <c r="G208" s="13"/>
      <c r="H208" s="13" t="s">
        <v>103</v>
      </c>
      <c r="I208" s="13" t="s">
        <v>460</v>
      </c>
      <c r="J208" s="15"/>
      <c r="K208" s="15"/>
      <c r="L208" s="15"/>
      <c r="M208" s="15"/>
      <c r="N208" s="15"/>
      <c r="O208" s="16" t="str">
        <f aca="false">IFERROR(INDEX(Lists!$B$3:$B$7,MATCH(K208,Lists!$A$3:$A$7,0)),"")</f>
        <v/>
      </c>
      <c r="P208" s="16" t="str">
        <f aca="false">IFERROR(INDEX('Evidence Pulls'!$N$6:$N$125,MATCH($J208,'Evidence Pulls'!$A$6:$A$125,0)),"")</f>
        <v/>
      </c>
      <c r="Q208" s="16" t="str">
        <f aca="false">IFERROR(INDEX('Evidence Pulls'!$G$6:$G$125,MATCH($J208,'Evidence Pulls'!$A$6:$A$125,0)),"")</f>
        <v/>
      </c>
      <c r="R208" s="16" t="str">
        <f aca="false">IFERROR(INDEX('Evidence Pulls'!$O$6:$O$125,MATCH($J208,'Evidence Pulls'!$A$6:$A$125,0)),"")</f>
        <v/>
      </c>
      <c r="S208" s="16" t="str">
        <f aca="false">IF(L208&lt;&gt;"",L208,IF(K208="","Not assessed",IF(N(O208)&gt;=3,"Demonstrated","Gap - remediate")))</f>
        <v>Not assessed</v>
      </c>
      <c r="T208" s="16" t="str">
        <f aca="false">IF(J208="","No evidence pull assigned",IF(COUNTIF('Evidence Pulls'!$A$6:$A$125,J208)=0,"Pull ID not on Evidence Pulls sheet",IF(K208="","Not graded",IF(AND(G208="MANDATORY",L208="Gap - recommend tailoring"),"INVALID: safety-mandatory, not tailorable",IF(OR(P208="",P208=0),"NO NAMED EXECUTOR",IF(AND(H208="Full",N(O208)&gt;=3,N(IFERROR(INDEX('Evidence Pulls'!$J$6:$J$125,MATCH($J208,'Evidence Pulls'!$A$6:$A$125,0)),""))=0),"Operating claimed with no sample",IF(AND(N(O208)&gt;=3,P208=1),"Operating rests on one individual",IF(AND(G208="MANDATORY",N(O208)&lt;3),"SAFETY GATE: below Operating","OK"))))))))</f>
        <v>No evidence pull assigned</v>
      </c>
    </row>
    <row r="209" customFormat="false" ht="15" hidden="false" customHeight="false" outlineLevel="0" collapsed="false">
      <c r="A209" s="13" t="s">
        <v>462</v>
      </c>
      <c r="B209" s="13" t="s">
        <v>457</v>
      </c>
      <c r="C209" s="13" t="s">
        <v>463</v>
      </c>
      <c r="D209" s="13" t="s">
        <v>464</v>
      </c>
      <c r="E209" s="13" t="s">
        <v>102</v>
      </c>
      <c r="F209" s="14"/>
      <c r="G209" s="13"/>
      <c r="H209" s="13" t="s">
        <v>103</v>
      </c>
      <c r="I209" s="13" t="s">
        <v>460</v>
      </c>
      <c r="J209" s="15"/>
      <c r="K209" s="15"/>
      <c r="L209" s="15"/>
      <c r="M209" s="15"/>
      <c r="N209" s="15"/>
      <c r="O209" s="16" t="str">
        <f aca="false">IFERROR(INDEX(Lists!$B$3:$B$7,MATCH(K209,Lists!$A$3:$A$7,0)),"")</f>
        <v/>
      </c>
      <c r="P209" s="16" t="str">
        <f aca="false">IFERROR(INDEX('Evidence Pulls'!$N$6:$N$125,MATCH($J209,'Evidence Pulls'!$A$6:$A$125,0)),"")</f>
        <v/>
      </c>
      <c r="Q209" s="16" t="str">
        <f aca="false">IFERROR(INDEX('Evidence Pulls'!$G$6:$G$125,MATCH($J209,'Evidence Pulls'!$A$6:$A$125,0)),"")</f>
        <v/>
      </c>
      <c r="R209" s="16" t="str">
        <f aca="false">IFERROR(INDEX('Evidence Pulls'!$O$6:$O$125,MATCH($J209,'Evidence Pulls'!$A$6:$A$125,0)),"")</f>
        <v/>
      </c>
      <c r="S209" s="16" t="str">
        <f aca="false">IF(L209&lt;&gt;"",L209,IF(K209="","Not assessed",IF(N(O209)&gt;=3,"Demonstrated","Gap - remediate")))</f>
        <v>Not assessed</v>
      </c>
      <c r="T209" s="16" t="str">
        <f aca="false">IF(J209="","No evidence pull assigned",IF(COUNTIF('Evidence Pulls'!$A$6:$A$125,J209)=0,"Pull ID not on Evidence Pulls sheet",IF(K209="","Not graded",IF(AND(G209="MANDATORY",L209="Gap - recommend tailoring"),"INVALID: safety-mandatory, not tailorable",IF(OR(P209="",P209=0),"NO NAMED EXECUTOR",IF(AND(H209="Full",N(O209)&gt;=3,N(IFERROR(INDEX('Evidence Pulls'!$J$6:$J$125,MATCH($J209,'Evidence Pulls'!$A$6:$A$125,0)),""))=0),"Operating claimed with no sample",IF(AND(N(O209)&gt;=3,P209=1),"Operating rests on one individual",IF(AND(G209="MANDATORY",N(O209)&lt;3),"SAFETY GATE: below Operating","OK"))))))))</f>
        <v>No evidence pull assigned</v>
      </c>
    </row>
    <row r="210" customFormat="false" ht="15" hidden="false" customHeight="false" outlineLevel="0" collapsed="false">
      <c r="A210" s="17" t="s">
        <v>465</v>
      </c>
      <c r="B210" s="17" t="s">
        <v>457</v>
      </c>
      <c r="C210" s="17" t="s">
        <v>463</v>
      </c>
      <c r="D210" s="17" t="s">
        <v>464</v>
      </c>
      <c r="E210" s="17" t="s">
        <v>106</v>
      </c>
      <c r="F210" s="17"/>
      <c r="G210" s="18" t="s">
        <v>107</v>
      </c>
      <c r="H210" s="18" t="s">
        <v>108</v>
      </c>
      <c r="I210" s="17" t="s">
        <v>460</v>
      </c>
      <c r="J210" s="15"/>
      <c r="K210" s="15"/>
      <c r="L210" s="15"/>
      <c r="M210" s="15"/>
      <c r="N210" s="15"/>
      <c r="O210" s="16" t="str">
        <f aca="false">IFERROR(INDEX(Lists!$B$3:$B$7,MATCH(K210,Lists!$A$3:$A$7,0)),"")</f>
        <v/>
      </c>
      <c r="P210" s="16" t="str">
        <f aca="false">IFERROR(INDEX('Evidence Pulls'!$N$6:$N$125,MATCH($J210,'Evidence Pulls'!$A$6:$A$125,0)),"")</f>
        <v/>
      </c>
      <c r="Q210" s="16" t="str">
        <f aca="false">IFERROR(INDEX('Evidence Pulls'!$G$6:$G$125,MATCH($J210,'Evidence Pulls'!$A$6:$A$125,0)),"")</f>
        <v/>
      </c>
      <c r="R210" s="16" t="str">
        <f aca="false">IFERROR(INDEX('Evidence Pulls'!$O$6:$O$125,MATCH($J210,'Evidence Pulls'!$A$6:$A$125,0)),"")</f>
        <v/>
      </c>
      <c r="S210" s="16" t="str">
        <f aca="false">IF(L210&lt;&gt;"",L210,IF(K210="","Not assessed",IF(N(O210)&gt;=3,"Demonstrated","Gap - remediate")))</f>
        <v>Not assessed</v>
      </c>
      <c r="T210" s="16" t="str">
        <f aca="false">IF(J210="","No evidence pull assigned",IF(COUNTIF('Evidence Pulls'!$A$6:$A$125,J210)=0,"Pull ID not on Evidence Pulls sheet",IF(K210="","Not graded",IF(AND(G210="MANDATORY",L210="Gap - recommend tailoring"),"INVALID: safety-mandatory, not tailorable",IF(OR(P210="",P210=0),"NO NAMED EXECUTOR",IF(AND(H210="Full",N(O210)&gt;=3,N(IFERROR(INDEX('Evidence Pulls'!$J$6:$J$125,MATCH($J210,'Evidence Pulls'!$A$6:$A$125,0)),""))=0),"Operating claimed with no sample",IF(AND(N(O210)&gt;=3,P210=1),"Operating rests on one individual",IF(AND(G210="MANDATORY",N(O210)&lt;3),"SAFETY GATE: below Operating","OK"))))))))</f>
        <v>No evidence pull assigned</v>
      </c>
    </row>
    <row r="211" customFormat="false" ht="15" hidden="false" customHeight="false" outlineLevel="0" collapsed="false">
      <c r="A211" s="17" t="s">
        <v>466</v>
      </c>
      <c r="B211" s="17" t="s">
        <v>457</v>
      </c>
      <c r="C211" s="17" t="s">
        <v>463</v>
      </c>
      <c r="D211" s="17" t="s">
        <v>464</v>
      </c>
      <c r="E211" s="17" t="s">
        <v>180</v>
      </c>
      <c r="F211" s="17"/>
      <c r="G211" s="18" t="s">
        <v>107</v>
      </c>
      <c r="H211" s="18" t="s">
        <v>108</v>
      </c>
      <c r="I211" s="17" t="s">
        <v>460</v>
      </c>
      <c r="J211" s="15"/>
      <c r="K211" s="15"/>
      <c r="L211" s="15"/>
      <c r="M211" s="15"/>
      <c r="N211" s="15"/>
      <c r="O211" s="16" t="str">
        <f aca="false">IFERROR(INDEX(Lists!$B$3:$B$7,MATCH(K211,Lists!$A$3:$A$7,0)),"")</f>
        <v/>
      </c>
      <c r="P211" s="16" t="str">
        <f aca="false">IFERROR(INDEX('Evidence Pulls'!$N$6:$N$125,MATCH($J211,'Evidence Pulls'!$A$6:$A$125,0)),"")</f>
        <v/>
      </c>
      <c r="Q211" s="16" t="str">
        <f aca="false">IFERROR(INDEX('Evidence Pulls'!$G$6:$G$125,MATCH($J211,'Evidence Pulls'!$A$6:$A$125,0)),"")</f>
        <v/>
      </c>
      <c r="R211" s="16" t="str">
        <f aca="false">IFERROR(INDEX('Evidence Pulls'!$O$6:$O$125,MATCH($J211,'Evidence Pulls'!$A$6:$A$125,0)),"")</f>
        <v/>
      </c>
      <c r="S211" s="16" t="str">
        <f aca="false">IF(L211&lt;&gt;"",L211,IF(K211="","Not assessed",IF(N(O211)&gt;=3,"Demonstrated","Gap - remediate")))</f>
        <v>Not assessed</v>
      </c>
      <c r="T211" s="16" t="str">
        <f aca="false">IF(J211="","No evidence pull assigned",IF(COUNTIF('Evidence Pulls'!$A$6:$A$125,J211)=0,"Pull ID not on Evidence Pulls sheet",IF(K211="","Not graded",IF(AND(G211="MANDATORY",L211="Gap - recommend tailoring"),"INVALID: safety-mandatory, not tailorable",IF(OR(P211="",P211=0),"NO NAMED EXECUTOR",IF(AND(H211="Full",N(O211)&gt;=3,N(IFERROR(INDEX('Evidence Pulls'!$J$6:$J$125,MATCH($J211,'Evidence Pulls'!$A$6:$A$125,0)),""))=0),"Operating claimed with no sample",IF(AND(N(O211)&gt;=3,P211=1),"Operating rests on one individual",IF(AND(G211="MANDATORY",N(O211)&lt;3),"SAFETY GATE: below Operating","OK"))))))))</f>
        <v>No evidence pull assigned</v>
      </c>
    </row>
    <row r="212" customFormat="false" ht="15" hidden="false" customHeight="false" outlineLevel="0" collapsed="false">
      <c r="A212" s="17" t="s">
        <v>467</v>
      </c>
      <c r="B212" s="17" t="s">
        <v>457</v>
      </c>
      <c r="C212" s="17" t="s">
        <v>463</v>
      </c>
      <c r="D212" s="17" t="s">
        <v>464</v>
      </c>
      <c r="E212" s="17" t="s">
        <v>182</v>
      </c>
      <c r="F212" s="17"/>
      <c r="G212" s="18" t="s">
        <v>107</v>
      </c>
      <c r="H212" s="18" t="s">
        <v>108</v>
      </c>
      <c r="I212" s="17" t="s">
        <v>460</v>
      </c>
      <c r="J212" s="15"/>
      <c r="K212" s="15"/>
      <c r="L212" s="15"/>
      <c r="M212" s="15"/>
      <c r="N212" s="15"/>
      <c r="O212" s="16" t="str">
        <f aca="false">IFERROR(INDEX(Lists!$B$3:$B$7,MATCH(K212,Lists!$A$3:$A$7,0)),"")</f>
        <v/>
      </c>
      <c r="P212" s="16" t="str">
        <f aca="false">IFERROR(INDEX('Evidence Pulls'!$N$6:$N$125,MATCH($J212,'Evidence Pulls'!$A$6:$A$125,0)),"")</f>
        <v/>
      </c>
      <c r="Q212" s="16" t="str">
        <f aca="false">IFERROR(INDEX('Evidence Pulls'!$G$6:$G$125,MATCH($J212,'Evidence Pulls'!$A$6:$A$125,0)),"")</f>
        <v/>
      </c>
      <c r="R212" s="16" t="str">
        <f aca="false">IFERROR(INDEX('Evidence Pulls'!$O$6:$O$125,MATCH($J212,'Evidence Pulls'!$A$6:$A$125,0)),"")</f>
        <v/>
      </c>
      <c r="S212" s="16" t="str">
        <f aca="false">IF(L212&lt;&gt;"",L212,IF(K212="","Not assessed",IF(N(O212)&gt;=3,"Demonstrated","Gap - remediate")))</f>
        <v>Not assessed</v>
      </c>
      <c r="T212" s="16" t="str">
        <f aca="false">IF(J212="","No evidence pull assigned",IF(COUNTIF('Evidence Pulls'!$A$6:$A$125,J212)=0,"Pull ID not on Evidence Pulls sheet",IF(K212="","Not graded",IF(AND(G212="MANDATORY",L212="Gap - recommend tailoring"),"INVALID: safety-mandatory, not tailorable",IF(OR(P212="",P212=0),"NO NAMED EXECUTOR",IF(AND(H212="Full",N(O212)&gt;=3,N(IFERROR(INDEX('Evidence Pulls'!$J$6:$J$125,MATCH($J212,'Evidence Pulls'!$A$6:$A$125,0)),""))=0),"Operating claimed with no sample",IF(AND(N(O212)&gt;=3,P212=1),"Operating rests on one individual",IF(AND(G212="MANDATORY",N(O212)&lt;3),"SAFETY GATE: below Operating","OK"))))))))</f>
        <v>No evidence pull assigned</v>
      </c>
    </row>
    <row r="213" customFormat="false" ht="15" hidden="false" customHeight="false" outlineLevel="0" collapsed="false">
      <c r="A213" s="17" t="s">
        <v>468</v>
      </c>
      <c r="B213" s="17" t="s">
        <v>457</v>
      </c>
      <c r="C213" s="17" t="s">
        <v>463</v>
      </c>
      <c r="D213" s="17" t="s">
        <v>464</v>
      </c>
      <c r="E213" s="17" t="s">
        <v>184</v>
      </c>
      <c r="F213" s="17"/>
      <c r="G213" s="18" t="s">
        <v>107</v>
      </c>
      <c r="H213" s="18" t="s">
        <v>108</v>
      </c>
      <c r="I213" s="17" t="s">
        <v>460</v>
      </c>
      <c r="J213" s="15"/>
      <c r="K213" s="15"/>
      <c r="L213" s="15"/>
      <c r="M213" s="15"/>
      <c r="N213" s="15"/>
      <c r="O213" s="16" t="str">
        <f aca="false">IFERROR(INDEX(Lists!$B$3:$B$7,MATCH(K213,Lists!$A$3:$A$7,0)),"")</f>
        <v/>
      </c>
      <c r="P213" s="16" t="str">
        <f aca="false">IFERROR(INDEX('Evidence Pulls'!$N$6:$N$125,MATCH($J213,'Evidence Pulls'!$A$6:$A$125,0)),"")</f>
        <v/>
      </c>
      <c r="Q213" s="16" t="str">
        <f aca="false">IFERROR(INDEX('Evidence Pulls'!$G$6:$G$125,MATCH($J213,'Evidence Pulls'!$A$6:$A$125,0)),"")</f>
        <v/>
      </c>
      <c r="R213" s="16" t="str">
        <f aca="false">IFERROR(INDEX('Evidence Pulls'!$O$6:$O$125,MATCH($J213,'Evidence Pulls'!$A$6:$A$125,0)),"")</f>
        <v/>
      </c>
      <c r="S213" s="16" t="str">
        <f aca="false">IF(L213&lt;&gt;"",L213,IF(K213="","Not assessed",IF(N(O213)&gt;=3,"Demonstrated","Gap - remediate")))</f>
        <v>Not assessed</v>
      </c>
      <c r="T213" s="16" t="str">
        <f aca="false">IF(J213="","No evidence pull assigned",IF(COUNTIF('Evidence Pulls'!$A$6:$A$125,J213)=0,"Pull ID not on Evidence Pulls sheet",IF(K213="","Not graded",IF(AND(G213="MANDATORY",L213="Gap - recommend tailoring"),"INVALID: safety-mandatory, not tailorable",IF(OR(P213="",P213=0),"NO NAMED EXECUTOR",IF(AND(H213="Full",N(O213)&gt;=3,N(IFERROR(INDEX('Evidence Pulls'!$J$6:$J$125,MATCH($J213,'Evidence Pulls'!$A$6:$A$125,0)),""))=0),"Operating claimed with no sample",IF(AND(N(O213)&gt;=3,P213=1),"Operating rests on one individual",IF(AND(G213="MANDATORY",N(O213)&lt;3),"SAFETY GATE: below Operating","OK"))))))))</f>
        <v>No evidence pull assigned</v>
      </c>
    </row>
    <row r="214" customFormat="false" ht="15" hidden="false" customHeight="false" outlineLevel="0" collapsed="false">
      <c r="A214" s="13" t="s">
        <v>469</v>
      </c>
      <c r="B214" s="13" t="s">
        <v>457</v>
      </c>
      <c r="C214" s="13" t="s">
        <v>463</v>
      </c>
      <c r="D214" s="13" t="s">
        <v>464</v>
      </c>
      <c r="E214" s="13" t="s">
        <v>186</v>
      </c>
      <c r="F214" s="14"/>
      <c r="G214" s="13"/>
      <c r="H214" s="13" t="s">
        <v>103</v>
      </c>
      <c r="I214" s="13" t="s">
        <v>460</v>
      </c>
      <c r="J214" s="15"/>
      <c r="K214" s="15"/>
      <c r="L214" s="15"/>
      <c r="M214" s="15"/>
      <c r="N214" s="15"/>
      <c r="O214" s="16" t="str">
        <f aca="false">IFERROR(INDEX(Lists!$B$3:$B$7,MATCH(K214,Lists!$A$3:$A$7,0)),"")</f>
        <v/>
      </c>
      <c r="P214" s="16" t="str">
        <f aca="false">IFERROR(INDEX('Evidence Pulls'!$N$6:$N$125,MATCH($J214,'Evidence Pulls'!$A$6:$A$125,0)),"")</f>
        <v/>
      </c>
      <c r="Q214" s="16" t="str">
        <f aca="false">IFERROR(INDEX('Evidence Pulls'!$G$6:$G$125,MATCH($J214,'Evidence Pulls'!$A$6:$A$125,0)),"")</f>
        <v/>
      </c>
      <c r="R214" s="16" t="str">
        <f aca="false">IFERROR(INDEX('Evidence Pulls'!$O$6:$O$125,MATCH($J214,'Evidence Pulls'!$A$6:$A$125,0)),"")</f>
        <v/>
      </c>
      <c r="S214" s="16" t="str">
        <f aca="false">IF(L214&lt;&gt;"",L214,IF(K214="","Not assessed",IF(N(O214)&gt;=3,"Demonstrated","Gap - remediate")))</f>
        <v>Not assessed</v>
      </c>
      <c r="T214" s="16" t="str">
        <f aca="false">IF(J214="","No evidence pull assigned",IF(COUNTIF('Evidence Pulls'!$A$6:$A$125,J214)=0,"Pull ID not on Evidence Pulls sheet",IF(K214="","Not graded",IF(AND(G214="MANDATORY",L214="Gap - recommend tailoring"),"INVALID: safety-mandatory, not tailorable",IF(OR(P214="",P214=0),"NO NAMED EXECUTOR",IF(AND(H214="Full",N(O214)&gt;=3,N(IFERROR(INDEX('Evidence Pulls'!$J$6:$J$125,MATCH($J214,'Evidence Pulls'!$A$6:$A$125,0)),""))=0),"Operating claimed with no sample",IF(AND(N(O214)&gt;=3,P214=1),"Operating rests on one individual",IF(AND(G214="MANDATORY",N(O214)&lt;3),"SAFETY GATE: below Operating","OK"))))))))</f>
        <v>No evidence pull assigned</v>
      </c>
    </row>
    <row r="215" customFormat="false" ht="15" hidden="false" customHeight="false" outlineLevel="0" collapsed="false">
      <c r="A215" s="13" t="s">
        <v>470</v>
      </c>
      <c r="B215" s="13" t="s">
        <v>457</v>
      </c>
      <c r="C215" s="13" t="s">
        <v>463</v>
      </c>
      <c r="D215" s="13" t="s">
        <v>464</v>
      </c>
      <c r="E215" s="13" t="s">
        <v>471</v>
      </c>
      <c r="F215" s="14"/>
      <c r="G215" s="13"/>
      <c r="H215" s="13" t="s">
        <v>103</v>
      </c>
      <c r="I215" s="13" t="s">
        <v>460</v>
      </c>
      <c r="J215" s="15"/>
      <c r="K215" s="15"/>
      <c r="L215" s="15"/>
      <c r="M215" s="15"/>
      <c r="N215" s="15"/>
      <c r="O215" s="16" t="str">
        <f aca="false">IFERROR(INDEX(Lists!$B$3:$B$7,MATCH(K215,Lists!$A$3:$A$7,0)),"")</f>
        <v/>
      </c>
      <c r="P215" s="16" t="str">
        <f aca="false">IFERROR(INDEX('Evidence Pulls'!$N$6:$N$125,MATCH($J215,'Evidence Pulls'!$A$6:$A$125,0)),"")</f>
        <v/>
      </c>
      <c r="Q215" s="16" t="str">
        <f aca="false">IFERROR(INDEX('Evidence Pulls'!$G$6:$G$125,MATCH($J215,'Evidence Pulls'!$A$6:$A$125,0)),"")</f>
        <v/>
      </c>
      <c r="R215" s="16" t="str">
        <f aca="false">IFERROR(INDEX('Evidence Pulls'!$O$6:$O$125,MATCH($J215,'Evidence Pulls'!$A$6:$A$125,0)),"")</f>
        <v/>
      </c>
      <c r="S215" s="16" t="str">
        <f aca="false">IF(L215&lt;&gt;"",L215,IF(K215="","Not assessed",IF(N(O215)&gt;=3,"Demonstrated","Gap - remediate")))</f>
        <v>Not assessed</v>
      </c>
      <c r="T215" s="16" t="str">
        <f aca="false">IF(J215="","No evidence pull assigned",IF(COUNTIF('Evidence Pulls'!$A$6:$A$125,J215)=0,"Pull ID not on Evidence Pulls sheet",IF(K215="","Not graded",IF(AND(G215="MANDATORY",L215="Gap - recommend tailoring"),"INVALID: safety-mandatory, not tailorable",IF(OR(P215="",P215=0),"NO NAMED EXECUTOR",IF(AND(H215="Full",N(O215)&gt;=3,N(IFERROR(INDEX('Evidence Pulls'!$J$6:$J$125,MATCH($J215,'Evidence Pulls'!$A$6:$A$125,0)),""))=0),"Operating claimed with no sample",IF(AND(N(O215)&gt;=3,P215=1),"Operating rests on one individual",IF(AND(G215="MANDATORY",N(O215)&lt;3),"SAFETY GATE: below Operating","OK"))))))))</f>
        <v>No evidence pull assigned</v>
      </c>
    </row>
    <row r="216" customFormat="false" ht="15" hidden="false" customHeight="false" outlineLevel="0" collapsed="false">
      <c r="A216" s="13" t="s">
        <v>472</v>
      </c>
      <c r="B216" s="13" t="s">
        <v>457</v>
      </c>
      <c r="C216" s="13" t="s">
        <v>463</v>
      </c>
      <c r="D216" s="13" t="s">
        <v>464</v>
      </c>
      <c r="E216" s="13" t="s">
        <v>473</v>
      </c>
      <c r="F216" s="14"/>
      <c r="G216" s="13"/>
      <c r="H216" s="13" t="s">
        <v>103</v>
      </c>
      <c r="I216" s="13" t="s">
        <v>460</v>
      </c>
      <c r="J216" s="15"/>
      <c r="K216" s="15"/>
      <c r="L216" s="15"/>
      <c r="M216" s="15"/>
      <c r="N216" s="15"/>
      <c r="O216" s="16" t="str">
        <f aca="false">IFERROR(INDEX(Lists!$B$3:$B$7,MATCH(K216,Lists!$A$3:$A$7,0)),"")</f>
        <v/>
      </c>
      <c r="P216" s="16" t="str">
        <f aca="false">IFERROR(INDEX('Evidence Pulls'!$N$6:$N$125,MATCH($J216,'Evidence Pulls'!$A$6:$A$125,0)),"")</f>
        <v/>
      </c>
      <c r="Q216" s="16" t="str">
        <f aca="false">IFERROR(INDEX('Evidence Pulls'!$G$6:$G$125,MATCH($J216,'Evidence Pulls'!$A$6:$A$125,0)),"")</f>
        <v/>
      </c>
      <c r="R216" s="16" t="str">
        <f aca="false">IFERROR(INDEX('Evidence Pulls'!$O$6:$O$125,MATCH($J216,'Evidence Pulls'!$A$6:$A$125,0)),"")</f>
        <v/>
      </c>
      <c r="S216" s="16" t="str">
        <f aca="false">IF(L216&lt;&gt;"",L216,IF(K216="","Not assessed",IF(N(O216)&gt;=3,"Demonstrated","Gap - remediate")))</f>
        <v>Not assessed</v>
      </c>
      <c r="T216" s="16" t="str">
        <f aca="false">IF(J216="","No evidence pull assigned",IF(COUNTIF('Evidence Pulls'!$A$6:$A$125,J216)=0,"Pull ID not on Evidence Pulls sheet",IF(K216="","Not graded",IF(AND(G216="MANDATORY",L216="Gap - recommend tailoring"),"INVALID: safety-mandatory, not tailorable",IF(OR(P216="",P216=0),"NO NAMED EXECUTOR",IF(AND(H216="Full",N(O216)&gt;=3,N(IFERROR(INDEX('Evidence Pulls'!$J$6:$J$125,MATCH($J216,'Evidence Pulls'!$A$6:$A$125,0)),""))=0),"Operating claimed with no sample",IF(AND(N(O216)&gt;=3,P216=1),"Operating rests on one individual",IF(AND(G216="MANDATORY",N(O216)&lt;3),"SAFETY GATE: below Operating","OK"))))))))</f>
        <v>No evidence pull assigned</v>
      </c>
    </row>
    <row r="217" customFormat="false" ht="15" hidden="false" customHeight="false" outlineLevel="0" collapsed="false">
      <c r="A217" s="13" t="s">
        <v>474</v>
      </c>
      <c r="B217" s="13" t="s">
        <v>457</v>
      </c>
      <c r="C217" s="13" t="s">
        <v>463</v>
      </c>
      <c r="D217" s="13" t="s">
        <v>464</v>
      </c>
      <c r="E217" s="13" t="s">
        <v>475</v>
      </c>
      <c r="F217" s="14"/>
      <c r="G217" s="13"/>
      <c r="H217" s="13" t="s">
        <v>103</v>
      </c>
      <c r="I217" s="13" t="s">
        <v>460</v>
      </c>
      <c r="J217" s="15"/>
      <c r="K217" s="15"/>
      <c r="L217" s="15"/>
      <c r="M217" s="15"/>
      <c r="N217" s="15"/>
      <c r="O217" s="16" t="str">
        <f aca="false">IFERROR(INDEX(Lists!$B$3:$B$7,MATCH(K217,Lists!$A$3:$A$7,0)),"")</f>
        <v/>
      </c>
      <c r="P217" s="16" t="str">
        <f aca="false">IFERROR(INDEX('Evidence Pulls'!$N$6:$N$125,MATCH($J217,'Evidence Pulls'!$A$6:$A$125,0)),"")</f>
        <v/>
      </c>
      <c r="Q217" s="16" t="str">
        <f aca="false">IFERROR(INDEX('Evidence Pulls'!$G$6:$G$125,MATCH($J217,'Evidence Pulls'!$A$6:$A$125,0)),"")</f>
        <v/>
      </c>
      <c r="R217" s="16" t="str">
        <f aca="false">IFERROR(INDEX('Evidence Pulls'!$O$6:$O$125,MATCH($J217,'Evidence Pulls'!$A$6:$A$125,0)),"")</f>
        <v/>
      </c>
      <c r="S217" s="16" t="str">
        <f aca="false">IF(L217&lt;&gt;"",L217,IF(K217="","Not assessed",IF(N(O217)&gt;=3,"Demonstrated","Gap - remediate")))</f>
        <v>Not assessed</v>
      </c>
      <c r="T217" s="16" t="str">
        <f aca="false">IF(J217="","No evidence pull assigned",IF(COUNTIF('Evidence Pulls'!$A$6:$A$125,J217)=0,"Pull ID not on Evidence Pulls sheet",IF(K217="","Not graded",IF(AND(G217="MANDATORY",L217="Gap - recommend tailoring"),"INVALID: safety-mandatory, not tailorable",IF(OR(P217="",P217=0),"NO NAMED EXECUTOR",IF(AND(H217="Full",N(O217)&gt;=3,N(IFERROR(INDEX('Evidence Pulls'!$J$6:$J$125,MATCH($J217,'Evidence Pulls'!$A$6:$A$125,0)),""))=0),"Operating claimed with no sample",IF(AND(N(O217)&gt;=3,P217=1),"Operating rests on one individual",IF(AND(G217="MANDATORY",N(O217)&lt;3),"SAFETY GATE: below Operating","OK"))))))))</f>
        <v>No evidence pull assigned</v>
      </c>
    </row>
    <row r="218" customFormat="false" ht="15" hidden="false" customHeight="false" outlineLevel="0" collapsed="false">
      <c r="A218" s="13" t="s">
        <v>476</v>
      </c>
      <c r="B218" s="13" t="s">
        <v>457</v>
      </c>
      <c r="C218" s="13" t="s">
        <v>463</v>
      </c>
      <c r="D218" s="13" t="s">
        <v>464</v>
      </c>
      <c r="E218" s="13" t="s">
        <v>477</v>
      </c>
      <c r="F218" s="14"/>
      <c r="G218" s="13"/>
      <c r="H218" s="13" t="s">
        <v>103</v>
      </c>
      <c r="I218" s="13" t="s">
        <v>460</v>
      </c>
      <c r="J218" s="15"/>
      <c r="K218" s="15"/>
      <c r="L218" s="15"/>
      <c r="M218" s="15"/>
      <c r="N218" s="15"/>
      <c r="O218" s="16" t="str">
        <f aca="false">IFERROR(INDEX(Lists!$B$3:$B$7,MATCH(K218,Lists!$A$3:$A$7,0)),"")</f>
        <v/>
      </c>
      <c r="P218" s="16" t="str">
        <f aca="false">IFERROR(INDEX('Evidence Pulls'!$N$6:$N$125,MATCH($J218,'Evidence Pulls'!$A$6:$A$125,0)),"")</f>
        <v/>
      </c>
      <c r="Q218" s="16" t="str">
        <f aca="false">IFERROR(INDEX('Evidence Pulls'!$G$6:$G$125,MATCH($J218,'Evidence Pulls'!$A$6:$A$125,0)),"")</f>
        <v/>
      </c>
      <c r="R218" s="16" t="str">
        <f aca="false">IFERROR(INDEX('Evidence Pulls'!$O$6:$O$125,MATCH($J218,'Evidence Pulls'!$A$6:$A$125,0)),"")</f>
        <v/>
      </c>
      <c r="S218" s="16" t="str">
        <f aca="false">IF(L218&lt;&gt;"",L218,IF(K218="","Not assessed",IF(N(O218)&gt;=3,"Demonstrated","Gap - remediate")))</f>
        <v>Not assessed</v>
      </c>
      <c r="T218" s="16" t="str">
        <f aca="false">IF(J218="","No evidence pull assigned",IF(COUNTIF('Evidence Pulls'!$A$6:$A$125,J218)=0,"Pull ID not on Evidence Pulls sheet",IF(K218="","Not graded",IF(AND(G218="MANDATORY",L218="Gap - recommend tailoring"),"INVALID: safety-mandatory, not tailorable",IF(OR(P218="",P218=0),"NO NAMED EXECUTOR",IF(AND(H218="Full",N(O218)&gt;=3,N(IFERROR(INDEX('Evidence Pulls'!$J$6:$J$125,MATCH($J218,'Evidence Pulls'!$A$6:$A$125,0)),""))=0),"Operating claimed with no sample",IF(AND(N(O218)&gt;=3,P218=1),"Operating rests on one individual",IF(AND(G218="MANDATORY",N(O218)&lt;3),"SAFETY GATE: below Operating","OK"))))))))</f>
        <v>No evidence pull assigned</v>
      </c>
    </row>
    <row r="219" customFormat="false" ht="15" hidden="false" customHeight="false" outlineLevel="0" collapsed="false">
      <c r="A219" s="13" t="s">
        <v>478</v>
      </c>
      <c r="B219" s="13" t="s">
        <v>457</v>
      </c>
      <c r="C219" s="13" t="s">
        <v>463</v>
      </c>
      <c r="D219" s="13" t="s">
        <v>464</v>
      </c>
      <c r="E219" s="13" t="s">
        <v>479</v>
      </c>
      <c r="F219" s="14"/>
      <c r="G219" s="13"/>
      <c r="H219" s="13" t="s">
        <v>103</v>
      </c>
      <c r="I219" s="13" t="s">
        <v>460</v>
      </c>
      <c r="J219" s="15"/>
      <c r="K219" s="15"/>
      <c r="L219" s="15"/>
      <c r="M219" s="15"/>
      <c r="N219" s="15"/>
      <c r="O219" s="16" t="str">
        <f aca="false">IFERROR(INDEX(Lists!$B$3:$B$7,MATCH(K219,Lists!$A$3:$A$7,0)),"")</f>
        <v/>
      </c>
      <c r="P219" s="16" t="str">
        <f aca="false">IFERROR(INDEX('Evidence Pulls'!$N$6:$N$125,MATCH($J219,'Evidence Pulls'!$A$6:$A$125,0)),"")</f>
        <v/>
      </c>
      <c r="Q219" s="16" t="str">
        <f aca="false">IFERROR(INDEX('Evidence Pulls'!$G$6:$G$125,MATCH($J219,'Evidence Pulls'!$A$6:$A$125,0)),"")</f>
        <v/>
      </c>
      <c r="R219" s="16" t="str">
        <f aca="false">IFERROR(INDEX('Evidence Pulls'!$O$6:$O$125,MATCH($J219,'Evidence Pulls'!$A$6:$A$125,0)),"")</f>
        <v/>
      </c>
      <c r="S219" s="16" t="str">
        <f aca="false">IF(L219&lt;&gt;"",L219,IF(K219="","Not assessed",IF(N(O219)&gt;=3,"Demonstrated","Gap - remediate")))</f>
        <v>Not assessed</v>
      </c>
      <c r="T219" s="16" t="str">
        <f aca="false">IF(J219="","No evidence pull assigned",IF(COUNTIF('Evidence Pulls'!$A$6:$A$125,J219)=0,"Pull ID not on Evidence Pulls sheet",IF(K219="","Not graded",IF(AND(G219="MANDATORY",L219="Gap - recommend tailoring"),"INVALID: safety-mandatory, not tailorable",IF(OR(P219="",P219=0),"NO NAMED EXECUTOR",IF(AND(H219="Full",N(O219)&gt;=3,N(IFERROR(INDEX('Evidence Pulls'!$J$6:$J$125,MATCH($J219,'Evidence Pulls'!$A$6:$A$125,0)),""))=0),"Operating claimed with no sample",IF(AND(N(O219)&gt;=3,P219=1),"Operating rests on one individual",IF(AND(G219="MANDATORY",N(O219)&lt;3),"SAFETY GATE: below Operating","OK"))))))))</f>
        <v>No evidence pull assigned</v>
      </c>
    </row>
    <row r="220" customFormat="false" ht="15" hidden="false" customHeight="false" outlineLevel="0" collapsed="false">
      <c r="A220" s="17" t="s">
        <v>480</v>
      </c>
      <c r="B220" s="17" t="s">
        <v>457</v>
      </c>
      <c r="C220" s="17" t="s">
        <v>463</v>
      </c>
      <c r="D220" s="17" t="s">
        <v>464</v>
      </c>
      <c r="E220" s="17" t="s">
        <v>481</v>
      </c>
      <c r="F220" s="17"/>
      <c r="G220" s="18" t="s">
        <v>107</v>
      </c>
      <c r="H220" s="18" t="s">
        <v>108</v>
      </c>
      <c r="I220" s="17" t="s">
        <v>460</v>
      </c>
      <c r="J220" s="15"/>
      <c r="K220" s="15"/>
      <c r="L220" s="15"/>
      <c r="M220" s="15"/>
      <c r="N220" s="15"/>
      <c r="O220" s="16" t="str">
        <f aca="false">IFERROR(INDEX(Lists!$B$3:$B$7,MATCH(K220,Lists!$A$3:$A$7,0)),"")</f>
        <v/>
      </c>
      <c r="P220" s="16" t="str">
        <f aca="false">IFERROR(INDEX('Evidence Pulls'!$N$6:$N$125,MATCH($J220,'Evidence Pulls'!$A$6:$A$125,0)),"")</f>
        <v/>
      </c>
      <c r="Q220" s="16" t="str">
        <f aca="false">IFERROR(INDEX('Evidence Pulls'!$G$6:$G$125,MATCH($J220,'Evidence Pulls'!$A$6:$A$125,0)),"")</f>
        <v/>
      </c>
      <c r="R220" s="16" t="str">
        <f aca="false">IFERROR(INDEX('Evidence Pulls'!$O$6:$O$125,MATCH($J220,'Evidence Pulls'!$A$6:$A$125,0)),"")</f>
        <v/>
      </c>
      <c r="S220" s="16" t="str">
        <f aca="false">IF(L220&lt;&gt;"",L220,IF(K220="","Not assessed",IF(N(O220)&gt;=3,"Demonstrated","Gap - remediate")))</f>
        <v>Not assessed</v>
      </c>
      <c r="T220" s="16" t="str">
        <f aca="false">IF(J220="","No evidence pull assigned",IF(COUNTIF('Evidence Pulls'!$A$6:$A$125,J220)=0,"Pull ID not on Evidence Pulls sheet",IF(K220="","Not graded",IF(AND(G220="MANDATORY",L220="Gap - recommend tailoring"),"INVALID: safety-mandatory, not tailorable",IF(OR(P220="",P220=0),"NO NAMED EXECUTOR",IF(AND(H220="Full",N(O220)&gt;=3,N(IFERROR(INDEX('Evidence Pulls'!$J$6:$J$125,MATCH($J220,'Evidence Pulls'!$A$6:$A$125,0)),""))=0),"Operating claimed with no sample",IF(AND(N(O220)&gt;=3,P220=1),"Operating rests on one individual",IF(AND(G220="MANDATORY",N(O220)&lt;3),"SAFETY GATE: below Operating","OK"))))))))</f>
        <v>No evidence pull assigned</v>
      </c>
    </row>
    <row r="221" customFormat="false" ht="15" hidden="false" customHeight="false" outlineLevel="0" collapsed="false">
      <c r="A221" s="13" t="s">
        <v>482</v>
      </c>
      <c r="B221" s="13" t="s">
        <v>457</v>
      </c>
      <c r="C221" s="13" t="s">
        <v>463</v>
      </c>
      <c r="D221" s="13" t="s">
        <v>464</v>
      </c>
      <c r="E221" s="13" t="s">
        <v>422</v>
      </c>
      <c r="F221" s="14"/>
      <c r="G221" s="13"/>
      <c r="H221" s="13" t="s">
        <v>103</v>
      </c>
      <c r="I221" s="13" t="s">
        <v>460</v>
      </c>
      <c r="J221" s="15"/>
      <c r="K221" s="15"/>
      <c r="L221" s="15"/>
      <c r="M221" s="15"/>
      <c r="N221" s="15"/>
      <c r="O221" s="16" t="str">
        <f aca="false">IFERROR(INDEX(Lists!$B$3:$B$7,MATCH(K221,Lists!$A$3:$A$7,0)),"")</f>
        <v/>
      </c>
      <c r="P221" s="16" t="str">
        <f aca="false">IFERROR(INDEX('Evidence Pulls'!$N$6:$N$125,MATCH($J221,'Evidence Pulls'!$A$6:$A$125,0)),"")</f>
        <v/>
      </c>
      <c r="Q221" s="16" t="str">
        <f aca="false">IFERROR(INDEX('Evidence Pulls'!$G$6:$G$125,MATCH($J221,'Evidence Pulls'!$A$6:$A$125,0)),"")</f>
        <v/>
      </c>
      <c r="R221" s="16" t="str">
        <f aca="false">IFERROR(INDEX('Evidence Pulls'!$O$6:$O$125,MATCH($J221,'Evidence Pulls'!$A$6:$A$125,0)),"")</f>
        <v/>
      </c>
      <c r="S221" s="16" t="str">
        <f aca="false">IF(L221&lt;&gt;"",L221,IF(K221="","Not assessed",IF(N(O221)&gt;=3,"Demonstrated","Gap - remediate")))</f>
        <v>Not assessed</v>
      </c>
      <c r="T221" s="16" t="str">
        <f aca="false">IF(J221="","No evidence pull assigned",IF(COUNTIF('Evidence Pulls'!$A$6:$A$125,J221)=0,"Pull ID not on Evidence Pulls sheet",IF(K221="","Not graded",IF(AND(G221="MANDATORY",L221="Gap - recommend tailoring"),"INVALID: safety-mandatory, not tailorable",IF(OR(P221="",P221=0),"NO NAMED EXECUTOR",IF(AND(H221="Full",N(O221)&gt;=3,N(IFERROR(INDEX('Evidence Pulls'!$J$6:$J$125,MATCH($J221,'Evidence Pulls'!$A$6:$A$125,0)),""))=0),"Operating claimed with no sample",IF(AND(N(O221)&gt;=3,P221=1),"Operating rests on one individual",IF(AND(G221="MANDATORY",N(O221)&lt;3),"SAFETY GATE: below Operating","OK"))))))))</f>
        <v>No evidence pull assigned</v>
      </c>
    </row>
    <row r="222" customFormat="false" ht="15" hidden="false" customHeight="false" outlineLevel="0" collapsed="false">
      <c r="A222" s="13" t="s">
        <v>483</v>
      </c>
      <c r="B222" s="13" t="s">
        <v>457</v>
      </c>
      <c r="C222" s="13" t="s">
        <v>463</v>
      </c>
      <c r="D222" s="13" t="s">
        <v>464</v>
      </c>
      <c r="E222" s="13" t="s">
        <v>424</v>
      </c>
      <c r="F222" s="14"/>
      <c r="G222" s="13"/>
      <c r="H222" s="13" t="s">
        <v>103</v>
      </c>
      <c r="I222" s="13" t="s">
        <v>460</v>
      </c>
      <c r="J222" s="15"/>
      <c r="K222" s="15"/>
      <c r="L222" s="15"/>
      <c r="M222" s="15"/>
      <c r="N222" s="15"/>
      <c r="O222" s="16" t="str">
        <f aca="false">IFERROR(INDEX(Lists!$B$3:$B$7,MATCH(K222,Lists!$A$3:$A$7,0)),"")</f>
        <v/>
      </c>
      <c r="P222" s="16" t="str">
        <f aca="false">IFERROR(INDEX('Evidence Pulls'!$N$6:$N$125,MATCH($J222,'Evidence Pulls'!$A$6:$A$125,0)),"")</f>
        <v/>
      </c>
      <c r="Q222" s="16" t="str">
        <f aca="false">IFERROR(INDEX('Evidence Pulls'!$G$6:$G$125,MATCH($J222,'Evidence Pulls'!$A$6:$A$125,0)),"")</f>
        <v/>
      </c>
      <c r="R222" s="16" t="str">
        <f aca="false">IFERROR(INDEX('Evidence Pulls'!$O$6:$O$125,MATCH($J222,'Evidence Pulls'!$A$6:$A$125,0)),"")</f>
        <v/>
      </c>
      <c r="S222" s="16" t="str">
        <f aca="false">IF(L222&lt;&gt;"",L222,IF(K222="","Not assessed",IF(N(O222)&gt;=3,"Demonstrated","Gap - remediate")))</f>
        <v>Not assessed</v>
      </c>
      <c r="T222" s="16" t="str">
        <f aca="false">IF(J222="","No evidence pull assigned",IF(COUNTIF('Evidence Pulls'!$A$6:$A$125,J222)=0,"Pull ID not on Evidence Pulls sheet",IF(K222="","Not graded",IF(AND(G222="MANDATORY",L222="Gap - recommend tailoring"),"INVALID: safety-mandatory, not tailorable",IF(OR(P222="",P222=0),"NO NAMED EXECUTOR",IF(AND(H222="Full",N(O222)&gt;=3,N(IFERROR(INDEX('Evidence Pulls'!$J$6:$J$125,MATCH($J222,'Evidence Pulls'!$A$6:$A$125,0)),""))=0),"Operating claimed with no sample",IF(AND(N(O222)&gt;=3,P222=1),"Operating rests on one individual",IF(AND(G222="MANDATORY",N(O222)&lt;3),"SAFETY GATE: below Operating","OK"))))))))</f>
        <v>No evidence pull assigned</v>
      </c>
    </row>
    <row r="223" customFormat="false" ht="15" hidden="false" customHeight="false" outlineLevel="0" collapsed="false">
      <c r="A223" s="17" t="s">
        <v>484</v>
      </c>
      <c r="B223" s="17" t="s">
        <v>457</v>
      </c>
      <c r="C223" s="17" t="s">
        <v>463</v>
      </c>
      <c r="D223" s="17" t="s">
        <v>464</v>
      </c>
      <c r="E223" s="17" t="s">
        <v>426</v>
      </c>
      <c r="F223" s="17"/>
      <c r="G223" s="18" t="s">
        <v>107</v>
      </c>
      <c r="H223" s="18" t="s">
        <v>108</v>
      </c>
      <c r="I223" s="17" t="s">
        <v>460</v>
      </c>
      <c r="J223" s="15"/>
      <c r="K223" s="15"/>
      <c r="L223" s="15"/>
      <c r="M223" s="15"/>
      <c r="N223" s="15"/>
      <c r="O223" s="16" t="str">
        <f aca="false">IFERROR(INDEX(Lists!$B$3:$B$7,MATCH(K223,Lists!$A$3:$A$7,0)),"")</f>
        <v/>
      </c>
      <c r="P223" s="16" t="str">
        <f aca="false">IFERROR(INDEX('Evidence Pulls'!$N$6:$N$125,MATCH($J223,'Evidence Pulls'!$A$6:$A$125,0)),"")</f>
        <v/>
      </c>
      <c r="Q223" s="16" t="str">
        <f aca="false">IFERROR(INDEX('Evidence Pulls'!$G$6:$G$125,MATCH($J223,'Evidence Pulls'!$A$6:$A$125,0)),"")</f>
        <v/>
      </c>
      <c r="R223" s="16" t="str">
        <f aca="false">IFERROR(INDEX('Evidence Pulls'!$O$6:$O$125,MATCH($J223,'Evidence Pulls'!$A$6:$A$125,0)),"")</f>
        <v/>
      </c>
      <c r="S223" s="16" t="str">
        <f aca="false">IF(L223&lt;&gt;"",L223,IF(K223="","Not assessed",IF(N(O223)&gt;=3,"Demonstrated","Gap - remediate")))</f>
        <v>Not assessed</v>
      </c>
      <c r="T223" s="16" t="str">
        <f aca="false">IF(J223="","No evidence pull assigned",IF(COUNTIF('Evidence Pulls'!$A$6:$A$125,J223)=0,"Pull ID not on Evidence Pulls sheet",IF(K223="","Not graded",IF(AND(G223="MANDATORY",L223="Gap - recommend tailoring"),"INVALID: safety-mandatory, not tailorable",IF(OR(P223="",P223=0),"NO NAMED EXECUTOR",IF(AND(H223="Full",N(O223)&gt;=3,N(IFERROR(INDEX('Evidence Pulls'!$J$6:$J$125,MATCH($J223,'Evidence Pulls'!$A$6:$A$125,0)),""))=0),"Operating claimed with no sample",IF(AND(N(O223)&gt;=3,P223=1),"Operating rests on one individual",IF(AND(G223="MANDATORY",N(O223)&lt;3),"SAFETY GATE: below Operating","OK"))))))))</f>
        <v>No evidence pull assigned</v>
      </c>
    </row>
    <row r="224" customFormat="false" ht="15" hidden="false" customHeight="false" outlineLevel="0" collapsed="false">
      <c r="A224" s="13" t="s">
        <v>485</v>
      </c>
      <c r="B224" s="13" t="s">
        <v>457</v>
      </c>
      <c r="C224" s="13" t="s">
        <v>463</v>
      </c>
      <c r="D224" s="13" t="s">
        <v>464</v>
      </c>
      <c r="E224" s="13" t="s">
        <v>204</v>
      </c>
      <c r="F224" s="14"/>
      <c r="G224" s="13"/>
      <c r="H224" s="13" t="s">
        <v>103</v>
      </c>
      <c r="I224" s="13" t="s">
        <v>460</v>
      </c>
      <c r="J224" s="15"/>
      <c r="K224" s="15"/>
      <c r="L224" s="15"/>
      <c r="M224" s="15"/>
      <c r="N224" s="15"/>
      <c r="O224" s="16" t="str">
        <f aca="false">IFERROR(INDEX(Lists!$B$3:$B$7,MATCH(K224,Lists!$A$3:$A$7,0)),"")</f>
        <v/>
      </c>
      <c r="P224" s="16" t="str">
        <f aca="false">IFERROR(INDEX('Evidence Pulls'!$N$6:$N$125,MATCH($J224,'Evidence Pulls'!$A$6:$A$125,0)),"")</f>
        <v/>
      </c>
      <c r="Q224" s="16" t="str">
        <f aca="false">IFERROR(INDEX('Evidence Pulls'!$G$6:$G$125,MATCH($J224,'Evidence Pulls'!$A$6:$A$125,0)),"")</f>
        <v/>
      </c>
      <c r="R224" s="16" t="str">
        <f aca="false">IFERROR(INDEX('Evidence Pulls'!$O$6:$O$125,MATCH($J224,'Evidence Pulls'!$A$6:$A$125,0)),"")</f>
        <v/>
      </c>
      <c r="S224" s="16" t="str">
        <f aca="false">IF(L224&lt;&gt;"",L224,IF(K224="","Not assessed",IF(N(O224)&gt;=3,"Demonstrated","Gap - remediate")))</f>
        <v>Not assessed</v>
      </c>
      <c r="T224" s="16" t="str">
        <f aca="false">IF(J224="","No evidence pull assigned",IF(COUNTIF('Evidence Pulls'!$A$6:$A$125,J224)=0,"Pull ID not on Evidence Pulls sheet",IF(K224="","Not graded",IF(AND(G224="MANDATORY",L224="Gap - recommend tailoring"),"INVALID: safety-mandatory, not tailorable",IF(OR(P224="",P224=0),"NO NAMED EXECUTOR",IF(AND(H224="Full",N(O224)&gt;=3,N(IFERROR(INDEX('Evidence Pulls'!$J$6:$J$125,MATCH($J224,'Evidence Pulls'!$A$6:$A$125,0)),""))=0),"Operating claimed with no sample",IF(AND(N(O224)&gt;=3,P224=1),"Operating rests on one individual",IF(AND(G224="MANDATORY",N(O224)&lt;3),"SAFETY GATE: below Operating","OK"))))))))</f>
        <v>No evidence pull assigned</v>
      </c>
    </row>
    <row r="225" customFormat="false" ht="15" hidden="false" customHeight="false" outlineLevel="0" collapsed="false">
      <c r="A225" s="17" t="s">
        <v>486</v>
      </c>
      <c r="B225" s="17" t="s">
        <v>457</v>
      </c>
      <c r="C225" s="17" t="s">
        <v>463</v>
      </c>
      <c r="D225" s="17" t="s">
        <v>464</v>
      </c>
      <c r="E225" s="17" t="s">
        <v>487</v>
      </c>
      <c r="F225" s="17"/>
      <c r="G225" s="18" t="s">
        <v>107</v>
      </c>
      <c r="H225" s="18" t="s">
        <v>108</v>
      </c>
      <c r="I225" s="17" t="s">
        <v>460</v>
      </c>
      <c r="J225" s="15"/>
      <c r="K225" s="15"/>
      <c r="L225" s="15"/>
      <c r="M225" s="15"/>
      <c r="N225" s="15"/>
      <c r="O225" s="16" t="str">
        <f aca="false">IFERROR(INDEX(Lists!$B$3:$B$7,MATCH(K225,Lists!$A$3:$A$7,0)),"")</f>
        <v/>
      </c>
      <c r="P225" s="16" t="str">
        <f aca="false">IFERROR(INDEX('Evidence Pulls'!$N$6:$N$125,MATCH($J225,'Evidence Pulls'!$A$6:$A$125,0)),"")</f>
        <v/>
      </c>
      <c r="Q225" s="16" t="str">
        <f aca="false">IFERROR(INDEX('Evidence Pulls'!$G$6:$G$125,MATCH($J225,'Evidence Pulls'!$A$6:$A$125,0)),"")</f>
        <v/>
      </c>
      <c r="R225" s="16" t="str">
        <f aca="false">IFERROR(INDEX('Evidence Pulls'!$O$6:$O$125,MATCH($J225,'Evidence Pulls'!$A$6:$A$125,0)),"")</f>
        <v/>
      </c>
      <c r="S225" s="16" t="str">
        <f aca="false">IF(L225&lt;&gt;"",L225,IF(K225="","Not assessed",IF(N(O225)&gt;=3,"Demonstrated","Gap - remediate")))</f>
        <v>Not assessed</v>
      </c>
      <c r="T225" s="16" t="str">
        <f aca="false">IF(J225="","No evidence pull assigned",IF(COUNTIF('Evidence Pulls'!$A$6:$A$125,J225)=0,"Pull ID not on Evidence Pulls sheet",IF(K225="","Not graded",IF(AND(G225="MANDATORY",L225="Gap - recommend tailoring"),"INVALID: safety-mandatory, not tailorable",IF(OR(P225="",P225=0),"NO NAMED EXECUTOR",IF(AND(H225="Full",N(O225)&gt;=3,N(IFERROR(INDEX('Evidence Pulls'!$J$6:$J$125,MATCH($J225,'Evidence Pulls'!$A$6:$A$125,0)),""))=0),"Operating claimed with no sample",IF(AND(N(O225)&gt;=3,P225=1),"Operating rests on one individual",IF(AND(G225="MANDATORY",N(O225)&lt;3),"SAFETY GATE: below Operating","OK"))))))))</f>
        <v>No evidence pull assigned</v>
      </c>
    </row>
    <row r="226" customFormat="false" ht="15" hidden="false" customHeight="false" outlineLevel="0" collapsed="false">
      <c r="A226" s="13" t="s">
        <v>488</v>
      </c>
      <c r="B226" s="13" t="s">
        <v>457</v>
      </c>
      <c r="C226" s="13" t="s">
        <v>489</v>
      </c>
      <c r="D226" s="13" t="s">
        <v>490</v>
      </c>
      <c r="E226" s="13" t="s">
        <v>102</v>
      </c>
      <c r="F226" s="14"/>
      <c r="G226" s="13"/>
      <c r="H226" s="13" t="s">
        <v>103</v>
      </c>
      <c r="I226" s="13" t="s">
        <v>460</v>
      </c>
      <c r="J226" s="15"/>
      <c r="K226" s="15"/>
      <c r="L226" s="15"/>
      <c r="M226" s="15"/>
      <c r="N226" s="15"/>
      <c r="O226" s="16" t="str">
        <f aca="false">IFERROR(INDEX(Lists!$B$3:$B$7,MATCH(K226,Lists!$A$3:$A$7,0)),"")</f>
        <v/>
      </c>
      <c r="P226" s="16" t="str">
        <f aca="false">IFERROR(INDEX('Evidence Pulls'!$N$6:$N$125,MATCH($J226,'Evidence Pulls'!$A$6:$A$125,0)),"")</f>
        <v/>
      </c>
      <c r="Q226" s="16" t="str">
        <f aca="false">IFERROR(INDEX('Evidence Pulls'!$G$6:$G$125,MATCH($J226,'Evidence Pulls'!$A$6:$A$125,0)),"")</f>
        <v/>
      </c>
      <c r="R226" s="16" t="str">
        <f aca="false">IFERROR(INDEX('Evidence Pulls'!$O$6:$O$125,MATCH($J226,'Evidence Pulls'!$A$6:$A$125,0)),"")</f>
        <v/>
      </c>
      <c r="S226" s="16" t="str">
        <f aca="false">IF(L226&lt;&gt;"",L226,IF(K226="","Not assessed",IF(N(O226)&gt;=3,"Demonstrated","Gap - remediate")))</f>
        <v>Not assessed</v>
      </c>
      <c r="T226" s="16" t="str">
        <f aca="false">IF(J226="","No evidence pull assigned",IF(COUNTIF('Evidence Pulls'!$A$6:$A$125,J226)=0,"Pull ID not on Evidence Pulls sheet",IF(K226="","Not graded",IF(AND(G226="MANDATORY",L226="Gap - recommend tailoring"),"INVALID: safety-mandatory, not tailorable",IF(OR(P226="",P226=0),"NO NAMED EXECUTOR",IF(AND(H226="Full",N(O226)&gt;=3,N(IFERROR(INDEX('Evidence Pulls'!$J$6:$J$125,MATCH($J226,'Evidence Pulls'!$A$6:$A$125,0)),""))=0),"Operating claimed with no sample",IF(AND(N(O226)&gt;=3,P226=1),"Operating rests on one individual",IF(AND(G226="MANDATORY",N(O226)&lt;3),"SAFETY GATE: below Operating","OK"))))))))</f>
        <v>No evidence pull assigned</v>
      </c>
    </row>
    <row r="227" customFormat="false" ht="22.35" hidden="false" customHeight="false" outlineLevel="0" collapsed="false">
      <c r="A227" s="13" t="s">
        <v>491</v>
      </c>
      <c r="B227" s="13" t="s">
        <v>492</v>
      </c>
      <c r="C227" s="13" t="s">
        <v>493</v>
      </c>
      <c r="D227" s="13" t="s">
        <v>494</v>
      </c>
      <c r="E227" s="13" t="s">
        <v>117</v>
      </c>
      <c r="F227" s="14"/>
      <c r="G227" s="13"/>
      <c r="H227" s="13" t="s">
        <v>103</v>
      </c>
      <c r="I227" s="13" t="s">
        <v>460</v>
      </c>
      <c r="J227" s="15"/>
      <c r="K227" s="15"/>
      <c r="L227" s="15"/>
      <c r="M227" s="15"/>
      <c r="N227" s="15"/>
      <c r="O227" s="16" t="str">
        <f aca="false">IFERROR(INDEX(Lists!$B$3:$B$7,MATCH(K227,Lists!$A$3:$A$7,0)),"")</f>
        <v/>
      </c>
      <c r="P227" s="16" t="str">
        <f aca="false">IFERROR(INDEX('Evidence Pulls'!$N$6:$N$125,MATCH($J227,'Evidence Pulls'!$A$6:$A$125,0)),"")</f>
        <v/>
      </c>
      <c r="Q227" s="16" t="str">
        <f aca="false">IFERROR(INDEX('Evidence Pulls'!$G$6:$G$125,MATCH($J227,'Evidence Pulls'!$A$6:$A$125,0)),"")</f>
        <v/>
      </c>
      <c r="R227" s="16" t="str">
        <f aca="false">IFERROR(INDEX('Evidence Pulls'!$O$6:$O$125,MATCH($J227,'Evidence Pulls'!$A$6:$A$125,0)),"")</f>
        <v/>
      </c>
      <c r="S227" s="16" t="str">
        <f aca="false">IF(L227&lt;&gt;"",L227,IF(K227="","Not assessed",IF(N(O227)&gt;=3,"Demonstrated","Gap - remediate")))</f>
        <v>Not assessed</v>
      </c>
      <c r="T227" s="16" t="str">
        <f aca="false">IF(J227="","No evidence pull assigned",IF(COUNTIF('Evidence Pulls'!$A$6:$A$125,J227)=0,"Pull ID not on Evidence Pulls sheet",IF(K227="","Not graded",IF(AND(G227="MANDATORY",L227="Gap - recommend tailoring"),"INVALID: safety-mandatory, not tailorable",IF(OR(P227="",P227=0),"NO NAMED EXECUTOR",IF(AND(H227="Full",N(O227)&gt;=3,N(IFERROR(INDEX('Evidence Pulls'!$J$6:$J$125,MATCH($J227,'Evidence Pulls'!$A$6:$A$125,0)),""))=0),"Operating claimed with no sample",IF(AND(N(O227)&gt;=3,P227=1),"Operating rests on one individual",IF(AND(G227="MANDATORY",N(O227)&lt;3),"SAFETY GATE: below Operating","OK"))))))))</f>
        <v>No evidence pull assigned</v>
      </c>
    </row>
    <row r="228" customFormat="false" ht="22.35" hidden="false" customHeight="false" outlineLevel="0" collapsed="false">
      <c r="A228" s="13" t="s">
        <v>495</v>
      </c>
      <c r="B228" s="13" t="s">
        <v>492</v>
      </c>
      <c r="C228" s="13" t="s">
        <v>493</v>
      </c>
      <c r="D228" s="13" t="s">
        <v>494</v>
      </c>
      <c r="E228" s="13" t="s">
        <v>119</v>
      </c>
      <c r="F228" s="14"/>
      <c r="G228" s="13"/>
      <c r="H228" s="13" t="s">
        <v>103</v>
      </c>
      <c r="I228" s="13" t="s">
        <v>460</v>
      </c>
      <c r="J228" s="15"/>
      <c r="K228" s="15"/>
      <c r="L228" s="15"/>
      <c r="M228" s="15"/>
      <c r="N228" s="15"/>
      <c r="O228" s="16" t="str">
        <f aca="false">IFERROR(INDEX(Lists!$B$3:$B$7,MATCH(K228,Lists!$A$3:$A$7,0)),"")</f>
        <v/>
      </c>
      <c r="P228" s="16" t="str">
        <f aca="false">IFERROR(INDEX('Evidence Pulls'!$N$6:$N$125,MATCH($J228,'Evidence Pulls'!$A$6:$A$125,0)),"")</f>
        <v/>
      </c>
      <c r="Q228" s="16" t="str">
        <f aca="false">IFERROR(INDEX('Evidence Pulls'!$G$6:$G$125,MATCH($J228,'Evidence Pulls'!$A$6:$A$125,0)),"")</f>
        <v/>
      </c>
      <c r="R228" s="16" t="str">
        <f aca="false">IFERROR(INDEX('Evidence Pulls'!$O$6:$O$125,MATCH($J228,'Evidence Pulls'!$A$6:$A$125,0)),"")</f>
        <v/>
      </c>
      <c r="S228" s="16" t="str">
        <f aca="false">IF(L228&lt;&gt;"",L228,IF(K228="","Not assessed",IF(N(O228)&gt;=3,"Demonstrated","Gap - remediate")))</f>
        <v>Not assessed</v>
      </c>
      <c r="T228" s="16" t="str">
        <f aca="false">IF(J228="","No evidence pull assigned",IF(COUNTIF('Evidence Pulls'!$A$6:$A$125,J228)=0,"Pull ID not on Evidence Pulls sheet",IF(K228="","Not graded",IF(AND(G228="MANDATORY",L228="Gap - recommend tailoring"),"INVALID: safety-mandatory, not tailorable",IF(OR(P228="",P228=0),"NO NAMED EXECUTOR",IF(AND(H228="Full",N(O228)&gt;=3,N(IFERROR(INDEX('Evidence Pulls'!$J$6:$J$125,MATCH($J228,'Evidence Pulls'!$A$6:$A$125,0)),""))=0),"Operating claimed with no sample",IF(AND(N(O228)&gt;=3,P228=1),"Operating rests on one individual",IF(AND(G228="MANDATORY",N(O228)&lt;3),"SAFETY GATE: below Operating","OK"))))))))</f>
        <v>No evidence pull assigned</v>
      </c>
    </row>
    <row r="229" customFormat="false" ht="22.35" hidden="false" customHeight="false" outlineLevel="0" collapsed="false">
      <c r="A229" s="13" t="s">
        <v>496</v>
      </c>
      <c r="B229" s="13" t="s">
        <v>492</v>
      </c>
      <c r="C229" s="13" t="s">
        <v>493</v>
      </c>
      <c r="D229" s="13" t="s">
        <v>494</v>
      </c>
      <c r="E229" s="13" t="s">
        <v>121</v>
      </c>
      <c r="F229" s="14"/>
      <c r="G229" s="13"/>
      <c r="H229" s="13" t="s">
        <v>103</v>
      </c>
      <c r="I229" s="13" t="s">
        <v>460</v>
      </c>
      <c r="J229" s="15"/>
      <c r="K229" s="15"/>
      <c r="L229" s="15"/>
      <c r="M229" s="15"/>
      <c r="N229" s="15"/>
      <c r="O229" s="16" t="str">
        <f aca="false">IFERROR(INDEX(Lists!$B$3:$B$7,MATCH(K229,Lists!$A$3:$A$7,0)),"")</f>
        <v/>
      </c>
      <c r="P229" s="16" t="str">
        <f aca="false">IFERROR(INDEX('Evidence Pulls'!$N$6:$N$125,MATCH($J229,'Evidence Pulls'!$A$6:$A$125,0)),"")</f>
        <v/>
      </c>
      <c r="Q229" s="16" t="str">
        <f aca="false">IFERROR(INDEX('Evidence Pulls'!$G$6:$G$125,MATCH($J229,'Evidence Pulls'!$A$6:$A$125,0)),"")</f>
        <v/>
      </c>
      <c r="R229" s="16" t="str">
        <f aca="false">IFERROR(INDEX('Evidence Pulls'!$O$6:$O$125,MATCH($J229,'Evidence Pulls'!$A$6:$A$125,0)),"")</f>
        <v/>
      </c>
      <c r="S229" s="16" t="str">
        <f aca="false">IF(L229&lt;&gt;"",L229,IF(K229="","Not assessed",IF(N(O229)&gt;=3,"Demonstrated","Gap - remediate")))</f>
        <v>Not assessed</v>
      </c>
      <c r="T229" s="16" t="str">
        <f aca="false">IF(J229="","No evidence pull assigned",IF(COUNTIF('Evidence Pulls'!$A$6:$A$125,J229)=0,"Pull ID not on Evidence Pulls sheet",IF(K229="","Not graded",IF(AND(G229="MANDATORY",L229="Gap - recommend tailoring"),"INVALID: safety-mandatory, not tailorable",IF(OR(P229="",P229=0),"NO NAMED EXECUTOR",IF(AND(H229="Full",N(O229)&gt;=3,N(IFERROR(INDEX('Evidence Pulls'!$J$6:$J$125,MATCH($J229,'Evidence Pulls'!$A$6:$A$125,0)),""))=0),"Operating claimed with no sample",IF(AND(N(O229)&gt;=3,P229=1),"Operating rests on one individual",IF(AND(G229="MANDATORY",N(O229)&lt;3),"SAFETY GATE: below Operating","OK"))))))))</f>
        <v>No evidence pull assigned</v>
      </c>
    </row>
    <row r="230" customFormat="false" ht="22.35" hidden="false" customHeight="false" outlineLevel="0" collapsed="false">
      <c r="A230" s="13" t="s">
        <v>497</v>
      </c>
      <c r="B230" s="13" t="s">
        <v>492</v>
      </c>
      <c r="C230" s="13" t="s">
        <v>493</v>
      </c>
      <c r="D230" s="13" t="s">
        <v>494</v>
      </c>
      <c r="E230" s="13" t="s">
        <v>123</v>
      </c>
      <c r="F230" s="14"/>
      <c r="G230" s="13"/>
      <c r="H230" s="13" t="s">
        <v>103</v>
      </c>
      <c r="I230" s="13" t="s">
        <v>460</v>
      </c>
      <c r="J230" s="15"/>
      <c r="K230" s="15"/>
      <c r="L230" s="15"/>
      <c r="M230" s="15"/>
      <c r="N230" s="15"/>
      <c r="O230" s="16" t="str">
        <f aca="false">IFERROR(INDEX(Lists!$B$3:$B$7,MATCH(K230,Lists!$A$3:$A$7,0)),"")</f>
        <v/>
      </c>
      <c r="P230" s="16" t="str">
        <f aca="false">IFERROR(INDEX('Evidence Pulls'!$N$6:$N$125,MATCH($J230,'Evidence Pulls'!$A$6:$A$125,0)),"")</f>
        <v/>
      </c>
      <c r="Q230" s="16" t="str">
        <f aca="false">IFERROR(INDEX('Evidence Pulls'!$G$6:$G$125,MATCH($J230,'Evidence Pulls'!$A$6:$A$125,0)),"")</f>
        <v/>
      </c>
      <c r="R230" s="16" t="str">
        <f aca="false">IFERROR(INDEX('Evidence Pulls'!$O$6:$O$125,MATCH($J230,'Evidence Pulls'!$A$6:$A$125,0)),"")</f>
        <v/>
      </c>
      <c r="S230" s="16" t="str">
        <f aca="false">IF(L230&lt;&gt;"",L230,IF(K230="","Not assessed",IF(N(O230)&gt;=3,"Demonstrated","Gap - remediate")))</f>
        <v>Not assessed</v>
      </c>
      <c r="T230" s="16" t="str">
        <f aca="false">IF(J230="","No evidence pull assigned",IF(COUNTIF('Evidence Pulls'!$A$6:$A$125,J230)=0,"Pull ID not on Evidence Pulls sheet",IF(K230="","Not graded",IF(AND(G230="MANDATORY",L230="Gap - recommend tailoring"),"INVALID: safety-mandatory, not tailorable",IF(OR(P230="",P230=0),"NO NAMED EXECUTOR",IF(AND(H230="Full",N(O230)&gt;=3,N(IFERROR(INDEX('Evidence Pulls'!$J$6:$J$125,MATCH($J230,'Evidence Pulls'!$A$6:$A$125,0)),""))=0),"Operating claimed with no sample",IF(AND(N(O230)&gt;=3,P230=1),"Operating rests on one individual",IF(AND(G230="MANDATORY",N(O230)&lt;3),"SAFETY GATE: below Operating","OK"))))))))</f>
        <v>No evidence pull assigned</v>
      </c>
    </row>
    <row r="231" customFormat="false" ht="22.35" hidden="false" customHeight="false" outlineLevel="0" collapsed="false">
      <c r="A231" s="13" t="s">
        <v>498</v>
      </c>
      <c r="B231" s="13" t="s">
        <v>492</v>
      </c>
      <c r="C231" s="13" t="s">
        <v>493</v>
      </c>
      <c r="D231" s="13" t="s">
        <v>494</v>
      </c>
      <c r="E231" s="13" t="s">
        <v>125</v>
      </c>
      <c r="F231" s="14"/>
      <c r="G231" s="13"/>
      <c r="H231" s="13" t="s">
        <v>103</v>
      </c>
      <c r="I231" s="13" t="s">
        <v>460</v>
      </c>
      <c r="J231" s="15"/>
      <c r="K231" s="15"/>
      <c r="L231" s="15"/>
      <c r="M231" s="15"/>
      <c r="N231" s="15"/>
      <c r="O231" s="16" t="str">
        <f aca="false">IFERROR(INDEX(Lists!$B$3:$B$7,MATCH(K231,Lists!$A$3:$A$7,0)),"")</f>
        <v/>
      </c>
      <c r="P231" s="16" t="str">
        <f aca="false">IFERROR(INDEX('Evidence Pulls'!$N$6:$N$125,MATCH($J231,'Evidence Pulls'!$A$6:$A$125,0)),"")</f>
        <v/>
      </c>
      <c r="Q231" s="16" t="str">
        <f aca="false">IFERROR(INDEX('Evidence Pulls'!$G$6:$G$125,MATCH($J231,'Evidence Pulls'!$A$6:$A$125,0)),"")</f>
        <v/>
      </c>
      <c r="R231" s="16" t="str">
        <f aca="false">IFERROR(INDEX('Evidence Pulls'!$O$6:$O$125,MATCH($J231,'Evidence Pulls'!$A$6:$A$125,0)),"")</f>
        <v/>
      </c>
      <c r="S231" s="16" t="str">
        <f aca="false">IF(L231&lt;&gt;"",L231,IF(K231="","Not assessed",IF(N(O231)&gt;=3,"Demonstrated","Gap - remediate")))</f>
        <v>Not assessed</v>
      </c>
      <c r="T231" s="16" t="str">
        <f aca="false">IF(J231="","No evidence pull assigned",IF(COUNTIF('Evidence Pulls'!$A$6:$A$125,J231)=0,"Pull ID not on Evidence Pulls sheet",IF(K231="","Not graded",IF(AND(G231="MANDATORY",L231="Gap - recommend tailoring"),"INVALID: safety-mandatory, not tailorable",IF(OR(P231="",P231=0),"NO NAMED EXECUTOR",IF(AND(H231="Full",N(O231)&gt;=3,N(IFERROR(INDEX('Evidence Pulls'!$J$6:$J$125,MATCH($J231,'Evidence Pulls'!$A$6:$A$125,0)),""))=0),"Operating claimed with no sample",IF(AND(N(O231)&gt;=3,P231=1),"Operating rests on one individual",IF(AND(G231="MANDATORY",N(O231)&lt;3),"SAFETY GATE: below Operating","OK"))))))))</f>
        <v>No evidence pull assigned</v>
      </c>
    </row>
    <row r="232" customFormat="false" ht="22.35" hidden="false" customHeight="false" outlineLevel="0" collapsed="false">
      <c r="A232" s="13" t="s">
        <v>499</v>
      </c>
      <c r="B232" s="13" t="s">
        <v>492</v>
      </c>
      <c r="C232" s="13" t="s">
        <v>493</v>
      </c>
      <c r="D232" s="13" t="s">
        <v>494</v>
      </c>
      <c r="E232" s="13" t="s">
        <v>127</v>
      </c>
      <c r="F232" s="14"/>
      <c r="G232" s="13"/>
      <c r="H232" s="13" t="s">
        <v>103</v>
      </c>
      <c r="I232" s="13" t="s">
        <v>460</v>
      </c>
      <c r="J232" s="15"/>
      <c r="K232" s="15"/>
      <c r="L232" s="15"/>
      <c r="M232" s="15"/>
      <c r="N232" s="15"/>
      <c r="O232" s="16" t="str">
        <f aca="false">IFERROR(INDEX(Lists!$B$3:$B$7,MATCH(K232,Lists!$A$3:$A$7,0)),"")</f>
        <v/>
      </c>
      <c r="P232" s="16" t="str">
        <f aca="false">IFERROR(INDEX('Evidence Pulls'!$N$6:$N$125,MATCH($J232,'Evidence Pulls'!$A$6:$A$125,0)),"")</f>
        <v/>
      </c>
      <c r="Q232" s="16" t="str">
        <f aca="false">IFERROR(INDEX('Evidence Pulls'!$G$6:$G$125,MATCH($J232,'Evidence Pulls'!$A$6:$A$125,0)),"")</f>
        <v/>
      </c>
      <c r="R232" s="16" t="str">
        <f aca="false">IFERROR(INDEX('Evidence Pulls'!$O$6:$O$125,MATCH($J232,'Evidence Pulls'!$A$6:$A$125,0)),"")</f>
        <v/>
      </c>
      <c r="S232" s="16" t="str">
        <f aca="false">IF(L232&lt;&gt;"",L232,IF(K232="","Not assessed",IF(N(O232)&gt;=3,"Demonstrated","Gap - remediate")))</f>
        <v>Not assessed</v>
      </c>
      <c r="T232" s="16" t="str">
        <f aca="false">IF(J232="","No evidence pull assigned",IF(COUNTIF('Evidence Pulls'!$A$6:$A$125,J232)=0,"Pull ID not on Evidence Pulls sheet",IF(K232="","Not graded",IF(AND(G232="MANDATORY",L232="Gap - recommend tailoring"),"INVALID: safety-mandatory, not tailorable",IF(OR(P232="",P232=0),"NO NAMED EXECUTOR",IF(AND(H232="Full",N(O232)&gt;=3,N(IFERROR(INDEX('Evidence Pulls'!$J$6:$J$125,MATCH($J232,'Evidence Pulls'!$A$6:$A$125,0)),""))=0),"Operating claimed with no sample",IF(AND(N(O232)&gt;=3,P232=1),"Operating rests on one individual",IF(AND(G232="MANDATORY",N(O232)&lt;3),"SAFETY GATE: below Operating","OK"))))))))</f>
        <v>No evidence pull assigned</v>
      </c>
    </row>
    <row r="233" customFormat="false" ht="22.35" hidden="false" customHeight="false" outlineLevel="0" collapsed="false">
      <c r="A233" s="13" t="s">
        <v>500</v>
      </c>
      <c r="B233" s="13" t="s">
        <v>492</v>
      </c>
      <c r="C233" s="13" t="s">
        <v>493</v>
      </c>
      <c r="D233" s="13" t="s">
        <v>494</v>
      </c>
      <c r="E233" s="13" t="s">
        <v>129</v>
      </c>
      <c r="F233" s="14"/>
      <c r="G233" s="13"/>
      <c r="H233" s="13" t="s">
        <v>103</v>
      </c>
      <c r="I233" s="13" t="s">
        <v>460</v>
      </c>
      <c r="J233" s="15"/>
      <c r="K233" s="15"/>
      <c r="L233" s="15"/>
      <c r="M233" s="15"/>
      <c r="N233" s="15"/>
      <c r="O233" s="16" t="str">
        <f aca="false">IFERROR(INDEX(Lists!$B$3:$B$7,MATCH(K233,Lists!$A$3:$A$7,0)),"")</f>
        <v/>
      </c>
      <c r="P233" s="16" t="str">
        <f aca="false">IFERROR(INDEX('Evidence Pulls'!$N$6:$N$125,MATCH($J233,'Evidence Pulls'!$A$6:$A$125,0)),"")</f>
        <v/>
      </c>
      <c r="Q233" s="16" t="str">
        <f aca="false">IFERROR(INDEX('Evidence Pulls'!$G$6:$G$125,MATCH($J233,'Evidence Pulls'!$A$6:$A$125,0)),"")</f>
        <v/>
      </c>
      <c r="R233" s="16" t="str">
        <f aca="false">IFERROR(INDEX('Evidence Pulls'!$O$6:$O$125,MATCH($J233,'Evidence Pulls'!$A$6:$A$125,0)),"")</f>
        <v/>
      </c>
      <c r="S233" s="16" t="str">
        <f aca="false">IF(L233&lt;&gt;"",L233,IF(K233="","Not assessed",IF(N(O233)&gt;=3,"Demonstrated","Gap - remediate")))</f>
        <v>Not assessed</v>
      </c>
      <c r="T233" s="16" t="str">
        <f aca="false">IF(J233="","No evidence pull assigned",IF(COUNTIF('Evidence Pulls'!$A$6:$A$125,J233)=0,"Pull ID not on Evidence Pulls sheet",IF(K233="","Not graded",IF(AND(G233="MANDATORY",L233="Gap - recommend tailoring"),"INVALID: safety-mandatory, not tailorable",IF(OR(P233="",P233=0),"NO NAMED EXECUTOR",IF(AND(H233="Full",N(O233)&gt;=3,N(IFERROR(INDEX('Evidence Pulls'!$J$6:$J$125,MATCH($J233,'Evidence Pulls'!$A$6:$A$125,0)),""))=0),"Operating claimed with no sample",IF(AND(N(O233)&gt;=3,P233=1),"Operating rests on one individual",IF(AND(G233="MANDATORY",N(O233)&lt;3),"SAFETY GATE: below Operating","OK"))))))))</f>
        <v>No evidence pull assigned</v>
      </c>
    </row>
    <row r="234" customFormat="false" ht="22.35" hidden="false" customHeight="false" outlineLevel="0" collapsed="false">
      <c r="A234" s="13" t="s">
        <v>501</v>
      </c>
      <c r="B234" s="13" t="s">
        <v>492</v>
      </c>
      <c r="C234" s="13" t="s">
        <v>493</v>
      </c>
      <c r="D234" s="13" t="s">
        <v>494</v>
      </c>
      <c r="E234" s="13" t="s">
        <v>131</v>
      </c>
      <c r="F234" s="14"/>
      <c r="G234" s="13"/>
      <c r="H234" s="13" t="s">
        <v>103</v>
      </c>
      <c r="I234" s="13" t="s">
        <v>460</v>
      </c>
      <c r="J234" s="15"/>
      <c r="K234" s="15"/>
      <c r="L234" s="15"/>
      <c r="M234" s="15"/>
      <c r="N234" s="15"/>
      <c r="O234" s="16" t="str">
        <f aca="false">IFERROR(INDEX(Lists!$B$3:$B$7,MATCH(K234,Lists!$A$3:$A$7,0)),"")</f>
        <v/>
      </c>
      <c r="P234" s="16" t="str">
        <f aca="false">IFERROR(INDEX('Evidence Pulls'!$N$6:$N$125,MATCH($J234,'Evidence Pulls'!$A$6:$A$125,0)),"")</f>
        <v/>
      </c>
      <c r="Q234" s="16" t="str">
        <f aca="false">IFERROR(INDEX('Evidence Pulls'!$G$6:$G$125,MATCH($J234,'Evidence Pulls'!$A$6:$A$125,0)),"")</f>
        <v/>
      </c>
      <c r="R234" s="16" t="str">
        <f aca="false">IFERROR(INDEX('Evidence Pulls'!$O$6:$O$125,MATCH($J234,'Evidence Pulls'!$A$6:$A$125,0)),"")</f>
        <v/>
      </c>
      <c r="S234" s="16" t="str">
        <f aca="false">IF(L234&lt;&gt;"",L234,IF(K234="","Not assessed",IF(N(O234)&gt;=3,"Demonstrated","Gap - remediate")))</f>
        <v>Not assessed</v>
      </c>
      <c r="T234" s="16" t="str">
        <f aca="false">IF(J234="","No evidence pull assigned",IF(COUNTIF('Evidence Pulls'!$A$6:$A$125,J234)=0,"Pull ID not on Evidence Pulls sheet",IF(K234="","Not graded",IF(AND(G234="MANDATORY",L234="Gap - recommend tailoring"),"INVALID: safety-mandatory, not tailorable",IF(OR(P234="",P234=0),"NO NAMED EXECUTOR",IF(AND(H234="Full",N(O234)&gt;=3,N(IFERROR(INDEX('Evidence Pulls'!$J$6:$J$125,MATCH($J234,'Evidence Pulls'!$A$6:$A$125,0)),""))=0),"Operating claimed with no sample",IF(AND(N(O234)&gt;=3,P234=1),"Operating rests on one individual",IF(AND(G234="MANDATORY",N(O234)&lt;3),"SAFETY GATE: below Operating","OK"))))))))</f>
        <v>No evidence pull assigned</v>
      </c>
    </row>
    <row r="235" customFormat="false" ht="22.35" hidden="false" customHeight="false" outlineLevel="0" collapsed="false">
      <c r="A235" s="13" t="s">
        <v>502</v>
      </c>
      <c r="B235" s="13" t="s">
        <v>492</v>
      </c>
      <c r="C235" s="13" t="s">
        <v>493</v>
      </c>
      <c r="D235" s="13" t="s">
        <v>494</v>
      </c>
      <c r="E235" s="13" t="s">
        <v>133</v>
      </c>
      <c r="F235" s="14"/>
      <c r="G235" s="13"/>
      <c r="H235" s="13" t="s">
        <v>103</v>
      </c>
      <c r="I235" s="13" t="s">
        <v>460</v>
      </c>
      <c r="J235" s="15"/>
      <c r="K235" s="15"/>
      <c r="L235" s="15"/>
      <c r="M235" s="15"/>
      <c r="N235" s="15"/>
      <c r="O235" s="16" t="str">
        <f aca="false">IFERROR(INDEX(Lists!$B$3:$B$7,MATCH(K235,Lists!$A$3:$A$7,0)),"")</f>
        <v/>
      </c>
      <c r="P235" s="16" t="str">
        <f aca="false">IFERROR(INDEX('Evidence Pulls'!$N$6:$N$125,MATCH($J235,'Evidence Pulls'!$A$6:$A$125,0)),"")</f>
        <v/>
      </c>
      <c r="Q235" s="16" t="str">
        <f aca="false">IFERROR(INDEX('Evidence Pulls'!$G$6:$G$125,MATCH($J235,'Evidence Pulls'!$A$6:$A$125,0)),"")</f>
        <v/>
      </c>
      <c r="R235" s="16" t="str">
        <f aca="false">IFERROR(INDEX('Evidence Pulls'!$O$6:$O$125,MATCH($J235,'Evidence Pulls'!$A$6:$A$125,0)),"")</f>
        <v/>
      </c>
      <c r="S235" s="16" t="str">
        <f aca="false">IF(L235&lt;&gt;"",L235,IF(K235="","Not assessed",IF(N(O235)&gt;=3,"Demonstrated","Gap - remediate")))</f>
        <v>Not assessed</v>
      </c>
      <c r="T235" s="16" t="str">
        <f aca="false">IF(J235="","No evidence pull assigned",IF(COUNTIF('Evidence Pulls'!$A$6:$A$125,J235)=0,"Pull ID not on Evidence Pulls sheet",IF(K235="","Not graded",IF(AND(G235="MANDATORY",L235="Gap - recommend tailoring"),"INVALID: safety-mandatory, not tailorable",IF(OR(P235="",P235=0),"NO NAMED EXECUTOR",IF(AND(H235="Full",N(O235)&gt;=3,N(IFERROR(INDEX('Evidence Pulls'!$J$6:$J$125,MATCH($J235,'Evidence Pulls'!$A$6:$A$125,0)),""))=0),"Operating claimed with no sample",IF(AND(N(O235)&gt;=3,P235=1),"Operating rests on one individual",IF(AND(G235="MANDATORY",N(O235)&lt;3),"SAFETY GATE: below Operating","OK"))))))))</f>
        <v>No evidence pull assigned</v>
      </c>
    </row>
    <row r="236" customFormat="false" ht="22.35" hidden="false" customHeight="false" outlineLevel="0" collapsed="false">
      <c r="A236" s="13" t="s">
        <v>503</v>
      </c>
      <c r="B236" s="13" t="s">
        <v>492</v>
      </c>
      <c r="C236" s="13" t="s">
        <v>493</v>
      </c>
      <c r="D236" s="13" t="s">
        <v>494</v>
      </c>
      <c r="E236" s="13" t="s">
        <v>135</v>
      </c>
      <c r="F236" s="14"/>
      <c r="G236" s="13"/>
      <c r="H236" s="13" t="s">
        <v>103</v>
      </c>
      <c r="I236" s="13" t="s">
        <v>460</v>
      </c>
      <c r="J236" s="15"/>
      <c r="K236" s="15"/>
      <c r="L236" s="15"/>
      <c r="M236" s="15"/>
      <c r="N236" s="15"/>
      <c r="O236" s="16" t="str">
        <f aca="false">IFERROR(INDEX(Lists!$B$3:$B$7,MATCH(K236,Lists!$A$3:$A$7,0)),"")</f>
        <v/>
      </c>
      <c r="P236" s="16" t="str">
        <f aca="false">IFERROR(INDEX('Evidence Pulls'!$N$6:$N$125,MATCH($J236,'Evidence Pulls'!$A$6:$A$125,0)),"")</f>
        <v/>
      </c>
      <c r="Q236" s="16" t="str">
        <f aca="false">IFERROR(INDEX('Evidence Pulls'!$G$6:$G$125,MATCH($J236,'Evidence Pulls'!$A$6:$A$125,0)),"")</f>
        <v/>
      </c>
      <c r="R236" s="16" t="str">
        <f aca="false">IFERROR(INDEX('Evidence Pulls'!$O$6:$O$125,MATCH($J236,'Evidence Pulls'!$A$6:$A$125,0)),"")</f>
        <v/>
      </c>
      <c r="S236" s="16" t="str">
        <f aca="false">IF(L236&lt;&gt;"",L236,IF(K236="","Not assessed",IF(N(O236)&gt;=3,"Demonstrated","Gap - remediate")))</f>
        <v>Not assessed</v>
      </c>
      <c r="T236" s="16" t="str">
        <f aca="false">IF(J236="","No evidence pull assigned",IF(COUNTIF('Evidence Pulls'!$A$6:$A$125,J236)=0,"Pull ID not on Evidence Pulls sheet",IF(K236="","Not graded",IF(AND(G236="MANDATORY",L236="Gap - recommend tailoring"),"INVALID: safety-mandatory, not tailorable",IF(OR(P236="",P236=0),"NO NAMED EXECUTOR",IF(AND(H236="Full",N(O236)&gt;=3,N(IFERROR(INDEX('Evidence Pulls'!$J$6:$J$125,MATCH($J236,'Evidence Pulls'!$A$6:$A$125,0)),""))=0),"Operating claimed with no sample",IF(AND(N(O236)&gt;=3,P236=1),"Operating rests on one individual",IF(AND(G236="MANDATORY",N(O236)&lt;3),"SAFETY GATE: below Operating","OK"))))))))</f>
        <v>No evidence pull assigned</v>
      </c>
    </row>
    <row r="237" customFormat="false" ht="22.35" hidden="false" customHeight="false" outlineLevel="0" collapsed="false">
      <c r="A237" s="13" t="s">
        <v>504</v>
      </c>
      <c r="B237" s="13" t="s">
        <v>492</v>
      </c>
      <c r="C237" s="13" t="s">
        <v>493</v>
      </c>
      <c r="D237" s="13" t="s">
        <v>494</v>
      </c>
      <c r="E237" s="13" t="s">
        <v>137</v>
      </c>
      <c r="F237" s="14"/>
      <c r="G237" s="13"/>
      <c r="H237" s="13" t="s">
        <v>103</v>
      </c>
      <c r="I237" s="13" t="s">
        <v>460</v>
      </c>
      <c r="J237" s="15"/>
      <c r="K237" s="15"/>
      <c r="L237" s="15"/>
      <c r="M237" s="15"/>
      <c r="N237" s="15"/>
      <c r="O237" s="16" t="str">
        <f aca="false">IFERROR(INDEX(Lists!$B$3:$B$7,MATCH(K237,Lists!$A$3:$A$7,0)),"")</f>
        <v/>
      </c>
      <c r="P237" s="16" t="str">
        <f aca="false">IFERROR(INDEX('Evidence Pulls'!$N$6:$N$125,MATCH($J237,'Evidence Pulls'!$A$6:$A$125,0)),"")</f>
        <v/>
      </c>
      <c r="Q237" s="16" t="str">
        <f aca="false">IFERROR(INDEX('Evidence Pulls'!$G$6:$G$125,MATCH($J237,'Evidence Pulls'!$A$6:$A$125,0)),"")</f>
        <v/>
      </c>
      <c r="R237" s="16" t="str">
        <f aca="false">IFERROR(INDEX('Evidence Pulls'!$O$6:$O$125,MATCH($J237,'Evidence Pulls'!$A$6:$A$125,0)),"")</f>
        <v/>
      </c>
      <c r="S237" s="16" t="str">
        <f aca="false">IF(L237&lt;&gt;"",L237,IF(K237="","Not assessed",IF(N(O237)&gt;=3,"Demonstrated","Gap - remediate")))</f>
        <v>Not assessed</v>
      </c>
      <c r="T237" s="16" t="str">
        <f aca="false">IF(J237="","No evidence pull assigned",IF(COUNTIF('Evidence Pulls'!$A$6:$A$125,J237)=0,"Pull ID not on Evidence Pulls sheet",IF(K237="","Not graded",IF(AND(G237="MANDATORY",L237="Gap - recommend tailoring"),"INVALID: safety-mandatory, not tailorable",IF(OR(P237="",P237=0),"NO NAMED EXECUTOR",IF(AND(H237="Full",N(O237)&gt;=3,N(IFERROR(INDEX('Evidence Pulls'!$J$6:$J$125,MATCH($J237,'Evidence Pulls'!$A$6:$A$125,0)),""))=0),"Operating claimed with no sample",IF(AND(N(O237)&gt;=3,P237=1),"Operating rests on one individual",IF(AND(G237="MANDATORY",N(O237)&lt;3),"SAFETY GATE: below Operating","OK"))))))))</f>
        <v>No evidence pull assigned</v>
      </c>
    </row>
    <row r="238" customFormat="false" ht="22.35" hidden="false" customHeight="false" outlineLevel="0" collapsed="false">
      <c r="A238" s="13" t="s">
        <v>505</v>
      </c>
      <c r="B238" s="13" t="s">
        <v>492</v>
      </c>
      <c r="C238" s="13" t="s">
        <v>493</v>
      </c>
      <c r="D238" s="13" t="s">
        <v>494</v>
      </c>
      <c r="E238" s="13" t="s">
        <v>296</v>
      </c>
      <c r="F238" s="14"/>
      <c r="G238" s="13"/>
      <c r="H238" s="13" t="s">
        <v>103</v>
      </c>
      <c r="I238" s="13" t="s">
        <v>460</v>
      </c>
      <c r="J238" s="15"/>
      <c r="K238" s="15"/>
      <c r="L238" s="15"/>
      <c r="M238" s="15"/>
      <c r="N238" s="15"/>
      <c r="O238" s="16" t="str">
        <f aca="false">IFERROR(INDEX(Lists!$B$3:$B$7,MATCH(K238,Lists!$A$3:$A$7,0)),"")</f>
        <v/>
      </c>
      <c r="P238" s="16" t="str">
        <f aca="false">IFERROR(INDEX('Evidence Pulls'!$N$6:$N$125,MATCH($J238,'Evidence Pulls'!$A$6:$A$125,0)),"")</f>
        <v/>
      </c>
      <c r="Q238" s="16" t="str">
        <f aca="false">IFERROR(INDEX('Evidence Pulls'!$G$6:$G$125,MATCH($J238,'Evidence Pulls'!$A$6:$A$125,0)),"")</f>
        <v/>
      </c>
      <c r="R238" s="16" t="str">
        <f aca="false">IFERROR(INDEX('Evidence Pulls'!$O$6:$O$125,MATCH($J238,'Evidence Pulls'!$A$6:$A$125,0)),"")</f>
        <v/>
      </c>
      <c r="S238" s="16" t="str">
        <f aca="false">IF(L238&lt;&gt;"",L238,IF(K238="","Not assessed",IF(N(O238)&gt;=3,"Demonstrated","Gap - remediate")))</f>
        <v>Not assessed</v>
      </c>
      <c r="T238" s="16" t="str">
        <f aca="false">IF(J238="","No evidence pull assigned",IF(COUNTIF('Evidence Pulls'!$A$6:$A$125,J238)=0,"Pull ID not on Evidence Pulls sheet",IF(K238="","Not graded",IF(AND(G238="MANDATORY",L238="Gap - recommend tailoring"),"INVALID: safety-mandatory, not tailorable",IF(OR(P238="",P238=0),"NO NAMED EXECUTOR",IF(AND(H238="Full",N(O238)&gt;=3,N(IFERROR(INDEX('Evidence Pulls'!$J$6:$J$125,MATCH($J238,'Evidence Pulls'!$A$6:$A$125,0)),""))=0),"Operating claimed with no sample",IF(AND(N(O238)&gt;=3,P238=1),"Operating rests on one individual",IF(AND(G238="MANDATORY",N(O238)&lt;3),"SAFETY GATE: below Operating","OK"))))))))</f>
        <v>No evidence pull assigned</v>
      </c>
    </row>
    <row r="239" customFormat="false" ht="22.35" hidden="false" customHeight="false" outlineLevel="0" collapsed="false">
      <c r="A239" s="13" t="s">
        <v>506</v>
      </c>
      <c r="B239" s="13" t="s">
        <v>492</v>
      </c>
      <c r="C239" s="13" t="s">
        <v>493</v>
      </c>
      <c r="D239" s="13" t="s">
        <v>494</v>
      </c>
      <c r="E239" s="13" t="s">
        <v>507</v>
      </c>
      <c r="F239" s="14"/>
      <c r="G239" s="13"/>
      <c r="H239" s="13" t="s">
        <v>103</v>
      </c>
      <c r="I239" s="13" t="s">
        <v>460</v>
      </c>
      <c r="J239" s="15"/>
      <c r="K239" s="15"/>
      <c r="L239" s="15"/>
      <c r="M239" s="15"/>
      <c r="N239" s="15"/>
      <c r="O239" s="16" t="str">
        <f aca="false">IFERROR(INDEX(Lists!$B$3:$B$7,MATCH(K239,Lists!$A$3:$A$7,0)),"")</f>
        <v/>
      </c>
      <c r="P239" s="16" t="str">
        <f aca="false">IFERROR(INDEX('Evidence Pulls'!$N$6:$N$125,MATCH($J239,'Evidence Pulls'!$A$6:$A$125,0)),"")</f>
        <v/>
      </c>
      <c r="Q239" s="16" t="str">
        <f aca="false">IFERROR(INDEX('Evidence Pulls'!$G$6:$G$125,MATCH($J239,'Evidence Pulls'!$A$6:$A$125,0)),"")</f>
        <v/>
      </c>
      <c r="R239" s="16" t="str">
        <f aca="false">IFERROR(INDEX('Evidence Pulls'!$O$6:$O$125,MATCH($J239,'Evidence Pulls'!$A$6:$A$125,0)),"")</f>
        <v/>
      </c>
      <c r="S239" s="16" t="str">
        <f aca="false">IF(L239&lt;&gt;"",L239,IF(K239="","Not assessed",IF(N(O239)&gt;=3,"Demonstrated","Gap - remediate")))</f>
        <v>Not assessed</v>
      </c>
      <c r="T239" s="16" t="str">
        <f aca="false">IF(J239="","No evidence pull assigned",IF(COUNTIF('Evidence Pulls'!$A$6:$A$125,J239)=0,"Pull ID not on Evidence Pulls sheet",IF(K239="","Not graded",IF(AND(G239="MANDATORY",L239="Gap - recommend tailoring"),"INVALID: safety-mandatory, not tailorable",IF(OR(P239="",P239=0),"NO NAMED EXECUTOR",IF(AND(H239="Full",N(O239)&gt;=3,N(IFERROR(INDEX('Evidence Pulls'!$J$6:$J$125,MATCH($J239,'Evidence Pulls'!$A$6:$A$125,0)),""))=0),"Operating claimed with no sample",IF(AND(N(O239)&gt;=3,P239=1),"Operating rests on one individual",IF(AND(G239="MANDATORY",N(O239)&lt;3),"SAFETY GATE: below Operating","OK"))))))))</f>
        <v>No evidence pull assigned</v>
      </c>
    </row>
    <row r="240" customFormat="false" ht="22.35" hidden="false" customHeight="false" outlineLevel="0" collapsed="false">
      <c r="A240" s="13" t="s">
        <v>508</v>
      </c>
      <c r="B240" s="13" t="s">
        <v>492</v>
      </c>
      <c r="C240" s="13" t="s">
        <v>493</v>
      </c>
      <c r="D240" s="13" t="s">
        <v>494</v>
      </c>
      <c r="E240" s="13" t="s">
        <v>509</v>
      </c>
      <c r="F240" s="14"/>
      <c r="G240" s="13"/>
      <c r="H240" s="13" t="s">
        <v>103</v>
      </c>
      <c r="I240" s="13" t="s">
        <v>460</v>
      </c>
      <c r="J240" s="15"/>
      <c r="K240" s="15"/>
      <c r="L240" s="15"/>
      <c r="M240" s="15"/>
      <c r="N240" s="15"/>
      <c r="O240" s="16" t="str">
        <f aca="false">IFERROR(INDEX(Lists!$B$3:$B$7,MATCH(K240,Lists!$A$3:$A$7,0)),"")</f>
        <v/>
      </c>
      <c r="P240" s="16" t="str">
        <f aca="false">IFERROR(INDEX('Evidence Pulls'!$N$6:$N$125,MATCH($J240,'Evidence Pulls'!$A$6:$A$125,0)),"")</f>
        <v/>
      </c>
      <c r="Q240" s="16" t="str">
        <f aca="false">IFERROR(INDEX('Evidence Pulls'!$G$6:$G$125,MATCH($J240,'Evidence Pulls'!$A$6:$A$125,0)),"")</f>
        <v/>
      </c>
      <c r="R240" s="16" t="str">
        <f aca="false">IFERROR(INDEX('Evidence Pulls'!$O$6:$O$125,MATCH($J240,'Evidence Pulls'!$A$6:$A$125,0)),"")</f>
        <v/>
      </c>
      <c r="S240" s="16" t="str">
        <f aca="false">IF(L240&lt;&gt;"",L240,IF(K240="","Not assessed",IF(N(O240)&gt;=3,"Demonstrated","Gap - remediate")))</f>
        <v>Not assessed</v>
      </c>
      <c r="T240" s="16" t="str">
        <f aca="false">IF(J240="","No evidence pull assigned",IF(COUNTIF('Evidence Pulls'!$A$6:$A$125,J240)=0,"Pull ID not on Evidence Pulls sheet",IF(K240="","Not graded",IF(AND(G240="MANDATORY",L240="Gap - recommend tailoring"),"INVALID: safety-mandatory, not tailorable",IF(OR(P240="",P240=0),"NO NAMED EXECUTOR",IF(AND(H240="Full",N(O240)&gt;=3,N(IFERROR(INDEX('Evidence Pulls'!$J$6:$J$125,MATCH($J240,'Evidence Pulls'!$A$6:$A$125,0)),""))=0),"Operating claimed with no sample",IF(AND(N(O240)&gt;=3,P240=1),"Operating rests on one individual",IF(AND(G240="MANDATORY",N(O240)&lt;3),"SAFETY GATE: below Operating","OK"))))))))</f>
        <v>No evidence pull assigned</v>
      </c>
    </row>
    <row r="241" customFormat="false" ht="22.35" hidden="false" customHeight="false" outlineLevel="0" collapsed="false">
      <c r="A241" s="13" t="s">
        <v>510</v>
      </c>
      <c r="B241" s="13" t="s">
        <v>492</v>
      </c>
      <c r="C241" s="13" t="s">
        <v>493</v>
      </c>
      <c r="D241" s="13" t="s">
        <v>494</v>
      </c>
      <c r="E241" s="13" t="s">
        <v>106</v>
      </c>
      <c r="F241" s="14"/>
      <c r="G241" s="13"/>
      <c r="H241" s="13" t="s">
        <v>103</v>
      </c>
      <c r="I241" s="13" t="s">
        <v>460</v>
      </c>
      <c r="J241" s="15"/>
      <c r="K241" s="15"/>
      <c r="L241" s="15"/>
      <c r="M241" s="15"/>
      <c r="N241" s="15"/>
      <c r="O241" s="16" t="str">
        <f aca="false">IFERROR(INDEX(Lists!$B$3:$B$7,MATCH(K241,Lists!$A$3:$A$7,0)),"")</f>
        <v/>
      </c>
      <c r="P241" s="16" t="str">
        <f aca="false">IFERROR(INDEX('Evidence Pulls'!$N$6:$N$125,MATCH($J241,'Evidence Pulls'!$A$6:$A$125,0)),"")</f>
        <v/>
      </c>
      <c r="Q241" s="16" t="str">
        <f aca="false">IFERROR(INDEX('Evidence Pulls'!$G$6:$G$125,MATCH($J241,'Evidence Pulls'!$A$6:$A$125,0)),"")</f>
        <v/>
      </c>
      <c r="R241" s="16" t="str">
        <f aca="false">IFERROR(INDEX('Evidence Pulls'!$O$6:$O$125,MATCH($J241,'Evidence Pulls'!$A$6:$A$125,0)),"")</f>
        <v/>
      </c>
      <c r="S241" s="16" t="str">
        <f aca="false">IF(L241&lt;&gt;"",L241,IF(K241="","Not assessed",IF(N(O241)&gt;=3,"Demonstrated","Gap - remediate")))</f>
        <v>Not assessed</v>
      </c>
      <c r="T241" s="16" t="str">
        <f aca="false">IF(J241="","No evidence pull assigned",IF(COUNTIF('Evidence Pulls'!$A$6:$A$125,J241)=0,"Pull ID not on Evidence Pulls sheet",IF(K241="","Not graded",IF(AND(G241="MANDATORY",L241="Gap - recommend tailoring"),"INVALID: safety-mandatory, not tailorable",IF(OR(P241="",P241=0),"NO NAMED EXECUTOR",IF(AND(H241="Full",N(O241)&gt;=3,N(IFERROR(INDEX('Evidence Pulls'!$J$6:$J$125,MATCH($J241,'Evidence Pulls'!$A$6:$A$125,0)),""))=0),"Operating claimed with no sample",IF(AND(N(O241)&gt;=3,P241=1),"Operating rests on one individual",IF(AND(G241="MANDATORY",N(O241)&lt;3),"SAFETY GATE: below Operating","OK"))))))))</f>
        <v>No evidence pull assigned</v>
      </c>
    </row>
    <row r="242" customFormat="false" ht="22.35" hidden="false" customHeight="false" outlineLevel="0" collapsed="false">
      <c r="A242" s="13" t="s">
        <v>511</v>
      </c>
      <c r="B242" s="13" t="s">
        <v>492</v>
      </c>
      <c r="C242" s="13" t="s">
        <v>493</v>
      </c>
      <c r="D242" s="13" t="s">
        <v>494</v>
      </c>
      <c r="E242" s="13" t="s">
        <v>110</v>
      </c>
      <c r="F242" s="14"/>
      <c r="G242" s="13"/>
      <c r="H242" s="13" t="s">
        <v>103</v>
      </c>
      <c r="I242" s="13" t="s">
        <v>460</v>
      </c>
      <c r="J242" s="15"/>
      <c r="K242" s="15"/>
      <c r="L242" s="15"/>
      <c r="M242" s="15"/>
      <c r="N242" s="15"/>
      <c r="O242" s="16" t="str">
        <f aca="false">IFERROR(INDEX(Lists!$B$3:$B$7,MATCH(K242,Lists!$A$3:$A$7,0)),"")</f>
        <v/>
      </c>
      <c r="P242" s="16" t="str">
        <f aca="false">IFERROR(INDEX('Evidence Pulls'!$N$6:$N$125,MATCH($J242,'Evidence Pulls'!$A$6:$A$125,0)),"")</f>
        <v/>
      </c>
      <c r="Q242" s="16" t="str">
        <f aca="false">IFERROR(INDEX('Evidence Pulls'!$G$6:$G$125,MATCH($J242,'Evidence Pulls'!$A$6:$A$125,0)),"")</f>
        <v/>
      </c>
      <c r="R242" s="16" t="str">
        <f aca="false">IFERROR(INDEX('Evidence Pulls'!$O$6:$O$125,MATCH($J242,'Evidence Pulls'!$A$6:$A$125,0)),"")</f>
        <v/>
      </c>
      <c r="S242" s="16" t="str">
        <f aca="false">IF(L242&lt;&gt;"",L242,IF(K242="","Not assessed",IF(N(O242)&gt;=3,"Demonstrated","Gap - remediate")))</f>
        <v>Not assessed</v>
      </c>
      <c r="T242" s="16" t="str">
        <f aca="false">IF(J242="","No evidence pull assigned",IF(COUNTIF('Evidence Pulls'!$A$6:$A$125,J242)=0,"Pull ID not on Evidence Pulls sheet",IF(K242="","Not graded",IF(AND(G242="MANDATORY",L242="Gap - recommend tailoring"),"INVALID: safety-mandatory, not tailorable",IF(OR(P242="",P242=0),"NO NAMED EXECUTOR",IF(AND(H242="Full",N(O242)&gt;=3,N(IFERROR(INDEX('Evidence Pulls'!$J$6:$J$125,MATCH($J242,'Evidence Pulls'!$A$6:$A$125,0)),""))=0),"Operating claimed with no sample",IF(AND(N(O242)&gt;=3,P242=1),"Operating rests on one individual",IF(AND(G242="MANDATORY",N(O242)&lt;3),"SAFETY GATE: below Operating","OK"))))))))</f>
        <v>No evidence pull assigned</v>
      </c>
    </row>
    <row r="243" customFormat="false" ht="22.35" hidden="false" customHeight="false" outlineLevel="0" collapsed="false">
      <c r="A243" s="13" t="s">
        <v>512</v>
      </c>
      <c r="B243" s="13" t="s">
        <v>492</v>
      </c>
      <c r="C243" s="13" t="s">
        <v>513</v>
      </c>
      <c r="D243" s="13" t="s">
        <v>514</v>
      </c>
      <c r="E243" s="13" t="s">
        <v>102</v>
      </c>
      <c r="F243" s="14"/>
      <c r="G243" s="13"/>
      <c r="H243" s="13" t="s">
        <v>103</v>
      </c>
      <c r="I243" s="13" t="s">
        <v>460</v>
      </c>
      <c r="J243" s="15"/>
      <c r="K243" s="15"/>
      <c r="L243" s="15"/>
      <c r="M243" s="15"/>
      <c r="N243" s="15"/>
      <c r="O243" s="16" t="str">
        <f aca="false">IFERROR(INDEX(Lists!$B$3:$B$7,MATCH(K243,Lists!$A$3:$A$7,0)),"")</f>
        <v/>
      </c>
      <c r="P243" s="16" t="str">
        <f aca="false">IFERROR(INDEX('Evidence Pulls'!$N$6:$N$125,MATCH($J243,'Evidence Pulls'!$A$6:$A$125,0)),"")</f>
        <v/>
      </c>
      <c r="Q243" s="16" t="str">
        <f aca="false">IFERROR(INDEX('Evidence Pulls'!$G$6:$G$125,MATCH($J243,'Evidence Pulls'!$A$6:$A$125,0)),"")</f>
        <v/>
      </c>
      <c r="R243" s="16" t="str">
        <f aca="false">IFERROR(INDEX('Evidence Pulls'!$O$6:$O$125,MATCH($J243,'Evidence Pulls'!$A$6:$A$125,0)),"")</f>
        <v/>
      </c>
      <c r="S243" s="16" t="str">
        <f aca="false">IF(L243&lt;&gt;"",L243,IF(K243="","Not assessed",IF(N(O243)&gt;=3,"Demonstrated","Gap - remediate")))</f>
        <v>Not assessed</v>
      </c>
      <c r="T243" s="16" t="str">
        <f aca="false">IF(J243="","No evidence pull assigned",IF(COUNTIF('Evidence Pulls'!$A$6:$A$125,J243)=0,"Pull ID not on Evidence Pulls sheet",IF(K243="","Not graded",IF(AND(G243="MANDATORY",L243="Gap - recommend tailoring"),"INVALID: safety-mandatory, not tailorable",IF(OR(P243="",P243=0),"NO NAMED EXECUTOR",IF(AND(H243="Full",N(O243)&gt;=3,N(IFERROR(INDEX('Evidence Pulls'!$J$6:$J$125,MATCH($J243,'Evidence Pulls'!$A$6:$A$125,0)),""))=0),"Operating claimed with no sample",IF(AND(N(O243)&gt;=3,P243=1),"Operating rests on one individual",IF(AND(G243="MANDATORY",N(O243)&lt;3),"SAFETY GATE: below Operating","OK"))))))))</f>
        <v>No evidence pull assigned</v>
      </c>
    </row>
    <row r="244" customFormat="false" ht="22.35" hidden="false" customHeight="false" outlineLevel="0" collapsed="false">
      <c r="A244" s="17" t="s">
        <v>515</v>
      </c>
      <c r="B244" s="17" t="s">
        <v>492</v>
      </c>
      <c r="C244" s="17" t="s">
        <v>513</v>
      </c>
      <c r="D244" s="17" t="s">
        <v>514</v>
      </c>
      <c r="E244" s="17" t="s">
        <v>106</v>
      </c>
      <c r="F244" s="17"/>
      <c r="G244" s="18" t="s">
        <v>107</v>
      </c>
      <c r="H244" s="18" t="s">
        <v>108</v>
      </c>
      <c r="I244" s="17" t="s">
        <v>460</v>
      </c>
      <c r="J244" s="15"/>
      <c r="K244" s="15"/>
      <c r="L244" s="15"/>
      <c r="M244" s="15"/>
      <c r="N244" s="15"/>
      <c r="O244" s="16" t="str">
        <f aca="false">IFERROR(INDEX(Lists!$B$3:$B$7,MATCH(K244,Lists!$A$3:$A$7,0)),"")</f>
        <v/>
      </c>
      <c r="P244" s="16" t="str">
        <f aca="false">IFERROR(INDEX('Evidence Pulls'!$N$6:$N$125,MATCH($J244,'Evidence Pulls'!$A$6:$A$125,0)),"")</f>
        <v/>
      </c>
      <c r="Q244" s="16" t="str">
        <f aca="false">IFERROR(INDEX('Evidence Pulls'!$G$6:$G$125,MATCH($J244,'Evidence Pulls'!$A$6:$A$125,0)),"")</f>
        <v/>
      </c>
      <c r="R244" s="16" t="str">
        <f aca="false">IFERROR(INDEX('Evidence Pulls'!$O$6:$O$125,MATCH($J244,'Evidence Pulls'!$A$6:$A$125,0)),"")</f>
        <v/>
      </c>
      <c r="S244" s="16" t="str">
        <f aca="false">IF(L244&lt;&gt;"",L244,IF(K244="","Not assessed",IF(N(O244)&gt;=3,"Demonstrated","Gap - remediate")))</f>
        <v>Not assessed</v>
      </c>
      <c r="T244" s="16" t="str">
        <f aca="false">IF(J244="","No evidence pull assigned",IF(COUNTIF('Evidence Pulls'!$A$6:$A$125,J244)=0,"Pull ID not on Evidence Pulls sheet",IF(K244="","Not graded",IF(AND(G244="MANDATORY",L244="Gap - recommend tailoring"),"INVALID: safety-mandatory, not tailorable",IF(OR(P244="",P244=0),"NO NAMED EXECUTOR",IF(AND(H244="Full",N(O244)&gt;=3,N(IFERROR(INDEX('Evidence Pulls'!$J$6:$J$125,MATCH($J244,'Evidence Pulls'!$A$6:$A$125,0)),""))=0),"Operating claimed with no sample",IF(AND(N(O244)&gt;=3,P244=1),"Operating rests on one individual",IF(AND(G244="MANDATORY",N(O244)&lt;3),"SAFETY GATE: below Operating","OK"))))))))</f>
        <v>No evidence pull assigned</v>
      </c>
    </row>
    <row r="245" customFormat="false" ht="22.35" hidden="false" customHeight="false" outlineLevel="0" collapsed="false">
      <c r="A245" s="17" t="s">
        <v>516</v>
      </c>
      <c r="B245" s="17" t="s">
        <v>492</v>
      </c>
      <c r="C245" s="17" t="s">
        <v>513</v>
      </c>
      <c r="D245" s="17" t="s">
        <v>514</v>
      </c>
      <c r="E245" s="17" t="s">
        <v>110</v>
      </c>
      <c r="F245" s="17"/>
      <c r="G245" s="18" t="s">
        <v>107</v>
      </c>
      <c r="H245" s="18" t="s">
        <v>108</v>
      </c>
      <c r="I245" s="17" t="s">
        <v>460</v>
      </c>
      <c r="J245" s="15"/>
      <c r="K245" s="15"/>
      <c r="L245" s="15"/>
      <c r="M245" s="15"/>
      <c r="N245" s="15"/>
      <c r="O245" s="16" t="str">
        <f aca="false">IFERROR(INDEX(Lists!$B$3:$B$7,MATCH(K245,Lists!$A$3:$A$7,0)),"")</f>
        <v/>
      </c>
      <c r="P245" s="16" t="str">
        <f aca="false">IFERROR(INDEX('Evidence Pulls'!$N$6:$N$125,MATCH($J245,'Evidence Pulls'!$A$6:$A$125,0)),"")</f>
        <v/>
      </c>
      <c r="Q245" s="16" t="str">
        <f aca="false">IFERROR(INDEX('Evidence Pulls'!$G$6:$G$125,MATCH($J245,'Evidence Pulls'!$A$6:$A$125,0)),"")</f>
        <v/>
      </c>
      <c r="R245" s="16" t="str">
        <f aca="false">IFERROR(INDEX('Evidence Pulls'!$O$6:$O$125,MATCH($J245,'Evidence Pulls'!$A$6:$A$125,0)),"")</f>
        <v/>
      </c>
      <c r="S245" s="16" t="str">
        <f aca="false">IF(L245&lt;&gt;"",L245,IF(K245="","Not assessed",IF(N(O245)&gt;=3,"Demonstrated","Gap - remediate")))</f>
        <v>Not assessed</v>
      </c>
      <c r="T245" s="16" t="str">
        <f aca="false">IF(J245="","No evidence pull assigned",IF(COUNTIF('Evidence Pulls'!$A$6:$A$125,J245)=0,"Pull ID not on Evidence Pulls sheet",IF(K245="","Not graded",IF(AND(G245="MANDATORY",L245="Gap - recommend tailoring"),"INVALID: safety-mandatory, not tailorable",IF(OR(P245="",P245=0),"NO NAMED EXECUTOR",IF(AND(H245="Full",N(O245)&gt;=3,N(IFERROR(INDEX('Evidence Pulls'!$J$6:$J$125,MATCH($J245,'Evidence Pulls'!$A$6:$A$125,0)),""))=0),"Operating claimed with no sample",IF(AND(N(O245)&gt;=3,P245=1),"Operating rests on one individual",IF(AND(G245="MANDATORY",N(O245)&lt;3),"SAFETY GATE: below Operating","OK"))))))))</f>
        <v>No evidence pull assigned</v>
      </c>
    </row>
    <row r="246" customFormat="false" ht="22.35" hidden="false" customHeight="false" outlineLevel="0" collapsed="false">
      <c r="A246" s="13" t="s">
        <v>517</v>
      </c>
      <c r="B246" s="13" t="s">
        <v>492</v>
      </c>
      <c r="C246" s="13" t="s">
        <v>513</v>
      </c>
      <c r="D246" s="13" t="s">
        <v>514</v>
      </c>
      <c r="E246" s="13" t="s">
        <v>112</v>
      </c>
      <c r="F246" s="14"/>
      <c r="G246" s="13"/>
      <c r="H246" s="13" t="s">
        <v>103</v>
      </c>
      <c r="I246" s="13" t="s">
        <v>460</v>
      </c>
      <c r="J246" s="15"/>
      <c r="K246" s="15"/>
      <c r="L246" s="15"/>
      <c r="M246" s="15"/>
      <c r="N246" s="15"/>
      <c r="O246" s="16" t="str">
        <f aca="false">IFERROR(INDEX(Lists!$B$3:$B$7,MATCH(K246,Lists!$A$3:$A$7,0)),"")</f>
        <v/>
      </c>
      <c r="P246" s="16" t="str">
        <f aca="false">IFERROR(INDEX('Evidence Pulls'!$N$6:$N$125,MATCH($J246,'Evidence Pulls'!$A$6:$A$125,0)),"")</f>
        <v/>
      </c>
      <c r="Q246" s="16" t="str">
        <f aca="false">IFERROR(INDEX('Evidence Pulls'!$G$6:$G$125,MATCH($J246,'Evidence Pulls'!$A$6:$A$125,0)),"")</f>
        <v/>
      </c>
      <c r="R246" s="16" t="str">
        <f aca="false">IFERROR(INDEX('Evidence Pulls'!$O$6:$O$125,MATCH($J246,'Evidence Pulls'!$A$6:$A$125,0)),"")</f>
        <v/>
      </c>
      <c r="S246" s="16" t="str">
        <f aca="false">IF(L246&lt;&gt;"",L246,IF(K246="","Not assessed",IF(N(O246)&gt;=3,"Demonstrated","Gap - remediate")))</f>
        <v>Not assessed</v>
      </c>
      <c r="T246" s="16" t="str">
        <f aca="false">IF(J246="","No evidence pull assigned",IF(COUNTIF('Evidence Pulls'!$A$6:$A$125,J246)=0,"Pull ID not on Evidence Pulls sheet",IF(K246="","Not graded",IF(AND(G246="MANDATORY",L246="Gap - recommend tailoring"),"INVALID: safety-mandatory, not tailorable",IF(OR(P246="",P246=0),"NO NAMED EXECUTOR",IF(AND(H246="Full",N(O246)&gt;=3,N(IFERROR(INDEX('Evidence Pulls'!$J$6:$J$125,MATCH($J246,'Evidence Pulls'!$A$6:$A$125,0)),""))=0),"Operating claimed with no sample",IF(AND(N(O246)&gt;=3,P246=1),"Operating rests on one individual",IF(AND(G246="MANDATORY",N(O246)&lt;3),"SAFETY GATE: below Operating","OK"))))))))</f>
        <v>No evidence pull assigned</v>
      </c>
    </row>
    <row r="247" customFormat="false" ht="22.35" hidden="false" customHeight="false" outlineLevel="0" collapsed="false">
      <c r="A247" s="13" t="s">
        <v>518</v>
      </c>
      <c r="B247" s="13" t="s">
        <v>492</v>
      </c>
      <c r="C247" s="13" t="s">
        <v>513</v>
      </c>
      <c r="D247" s="13" t="s">
        <v>514</v>
      </c>
      <c r="E247" s="13" t="s">
        <v>204</v>
      </c>
      <c r="F247" s="14"/>
      <c r="G247" s="13"/>
      <c r="H247" s="13" t="s">
        <v>103</v>
      </c>
      <c r="I247" s="13" t="s">
        <v>460</v>
      </c>
      <c r="J247" s="15"/>
      <c r="K247" s="15"/>
      <c r="L247" s="15"/>
      <c r="M247" s="15"/>
      <c r="N247" s="15"/>
      <c r="O247" s="16" t="str">
        <f aca="false">IFERROR(INDEX(Lists!$B$3:$B$7,MATCH(K247,Lists!$A$3:$A$7,0)),"")</f>
        <v/>
      </c>
      <c r="P247" s="16" t="str">
        <f aca="false">IFERROR(INDEX('Evidence Pulls'!$N$6:$N$125,MATCH($J247,'Evidence Pulls'!$A$6:$A$125,0)),"")</f>
        <v/>
      </c>
      <c r="Q247" s="16" t="str">
        <f aca="false">IFERROR(INDEX('Evidence Pulls'!$G$6:$G$125,MATCH($J247,'Evidence Pulls'!$A$6:$A$125,0)),"")</f>
        <v/>
      </c>
      <c r="R247" s="16" t="str">
        <f aca="false">IFERROR(INDEX('Evidence Pulls'!$O$6:$O$125,MATCH($J247,'Evidence Pulls'!$A$6:$A$125,0)),"")</f>
        <v/>
      </c>
      <c r="S247" s="16" t="str">
        <f aca="false">IF(L247&lt;&gt;"",L247,IF(K247="","Not assessed",IF(N(O247)&gt;=3,"Demonstrated","Gap - remediate")))</f>
        <v>Not assessed</v>
      </c>
      <c r="T247" s="16" t="str">
        <f aca="false">IF(J247="","No evidence pull assigned",IF(COUNTIF('Evidence Pulls'!$A$6:$A$125,J247)=0,"Pull ID not on Evidence Pulls sheet",IF(K247="","Not graded",IF(AND(G247="MANDATORY",L247="Gap - recommend tailoring"),"INVALID: safety-mandatory, not tailorable",IF(OR(P247="",P247=0),"NO NAMED EXECUTOR",IF(AND(H247="Full",N(O247)&gt;=3,N(IFERROR(INDEX('Evidence Pulls'!$J$6:$J$125,MATCH($J247,'Evidence Pulls'!$A$6:$A$125,0)),""))=0),"Operating claimed with no sample",IF(AND(N(O247)&gt;=3,P247=1),"Operating rests on one individual",IF(AND(G247="MANDATORY",N(O247)&lt;3),"SAFETY GATE: below Operating","OK"))))))))</f>
        <v>No evidence pull assigned</v>
      </c>
    </row>
    <row r="248" customFormat="false" ht="22.35" hidden="false" customHeight="false" outlineLevel="0" collapsed="false">
      <c r="A248" s="13" t="s">
        <v>519</v>
      </c>
      <c r="B248" s="13" t="s">
        <v>492</v>
      </c>
      <c r="C248" s="13" t="s">
        <v>520</v>
      </c>
      <c r="D248" s="13" t="s">
        <v>521</v>
      </c>
      <c r="E248" s="13" t="s">
        <v>117</v>
      </c>
      <c r="F248" s="14"/>
      <c r="G248" s="13"/>
      <c r="H248" s="13" t="s">
        <v>103</v>
      </c>
      <c r="I248" s="13" t="s">
        <v>460</v>
      </c>
      <c r="J248" s="15"/>
      <c r="K248" s="15"/>
      <c r="L248" s="15"/>
      <c r="M248" s="15"/>
      <c r="N248" s="15"/>
      <c r="O248" s="16" t="str">
        <f aca="false">IFERROR(INDEX(Lists!$B$3:$B$7,MATCH(K248,Lists!$A$3:$A$7,0)),"")</f>
        <v/>
      </c>
      <c r="P248" s="16" t="str">
        <f aca="false">IFERROR(INDEX('Evidence Pulls'!$N$6:$N$125,MATCH($J248,'Evidence Pulls'!$A$6:$A$125,0)),"")</f>
        <v/>
      </c>
      <c r="Q248" s="16" t="str">
        <f aca="false">IFERROR(INDEX('Evidence Pulls'!$G$6:$G$125,MATCH($J248,'Evidence Pulls'!$A$6:$A$125,0)),"")</f>
        <v/>
      </c>
      <c r="R248" s="16" t="str">
        <f aca="false">IFERROR(INDEX('Evidence Pulls'!$O$6:$O$125,MATCH($J248,'Evidence Pulls'!$A$6:$A$125,0)),"")</f>
        <v/>
      </c>
      <c r="S248" s="16" t="str">
        <f aca="false">IF(L248&lt;&gt;"",L248,IF(K248="","Not assessed",IF(N(O248)&gt;=3,"Demonstrated","Gap - remediate")))</f>
        <v>Not assessed</v>
      </c>
      <c r="T248" s="16" t="str">
        <f aca="false">IF(J248="","No evidence pull assigned",IF(COUNTIF('Evidence Pulls'!$A$6:$A$125,J248)=0,"Pull ID not on Evidence Pulls sheet",IF(K248="","Not graded",IF(AND(G248="MANDATORY",L248="Gap - recommend tailoring"),"INVALID: safety-mandatory, not tailorable",IF(OR(P248="",P248=0),"NO NAMED EXECUTOR",IF(AND(H248="Full",N(O248)&gt;=3,N(IFERROR(INDEX('Evidence Pulls'!$J$6:$J$125,MATCH($J248,'Evidence Pulls'!$A$6:$A$125,0)),""))=0),"Operating claimed with no sample",IF(AND(N(O248)&gt;=3,P248=1),"Operating rests on one individual",IF(AND(G248="MANDATORY",N(O248)&lt;3),"SAFETY GATE: below Operating","OK"))))))))</f>
        <v>No evidence pull assigned</v>
      </c>
    </row>
    <row r="249" customFormat="false" ht="22.35" hidden="false" customHeight="false" outlineLevel="0" collapsed="false">
      <c r="A249" s="13" t="s">
        <v>522</v>
      </c>
      <c r="B249" s="13" t="s">
        <v>492</v>
      </c>
      <c r="C249" s="13" t="s">
        <v>520</v>
      </c>
      <c r="D249" s="13" t="s">
        <v>521</v>
      </c>
      <c r="E249" s="13" t="s">
        <v>119</v>
      </c>
      <c r="F249" s="14"/>
      <c r="G249" s="13"/>
      <c r="H249" s="13" t="s">
        <v>103</v>
      </c>
      <c r="I249" s="13" t="s">
        <v>460</v>
      </c>
      <c r="J249" s="15"/>
      <c r="K249" s="15"/>
      <c r="L249" s="15"/>
      <c r="M249" s="15"/>
      <c r="N249" s="15"/>
      <c r="O249" s="16" t="str">
        <f aca="false">IFERROR(INDEX(Lists!$B$3:$B$7,MATCH(K249,Lists!$A$3:$A$7,0)),"")</f>
        <v/>
      </c>
      <c r="P249" s="16" t="str">
        <f aca="false">IFERROR(INDEX('Evidence Pulls'!$N$6:$N$125,MATCH($J249,'Evidence Pulls'!$A$6:$A$125,0)),"")</f>
        <v/>
      </c>
      <c r="Q249" s="16" t="str">
        <f aca="false">IFERROR(INDEX('Evidence Pulls'!$G$6:$G$125,MATCH($J249,'Evidence Pulls'!$A$6:$A$125,0)),"")</f>
        <v/>
      </c>
      <c r="R249" s="16" t="str">
        <f aca="false">IFERROR(INDEX('Evidence Pulls'!$O$6:$O$125,MATCH($J249,'Evidence Pulls'!$A$6:$A$125,0)),"")</f>
        <v/>
      </c>
      <c r="S249" s="16" t="str">
        <f aca="false">IF(L249&lt;&gt;"",L249,IF(K249="","Not assessed",IF(N(O249)&gt;=3,"Demonstrated","Gap - remediate")))</f>
        <v>Not assessed</v>
      </c>
      <c r="T249" s="16" t="str">
        <f aca="false">IF(J249="","No evidence pull assigned",IF(COUNTIF('Evidence Pulls'!$A$6:$A$125,J249)=0,"Pull ID not on Evidence Pulls sheet",IF(K249="","Not graded",IF(AND(G249="MANDATORY",L249="Gap - recommend tailoring"),"INVALID: safety-mandatory, not tailorable",IF(OR(P249="",P249=0),"NO NAMED EXECUTOR",IF(AND(H249="Full",N(O249)&gt;=3,N(IFERROR(INDEX('Evidence Pulls'!$J$6:$J$125,MATCH($J249,'Evidence Pulls'!$A$6:$A$125,0)),""))=0),"Operating claimed with no sample",IF(AND(N(O249)&gt;=3,P249=1),"Operating rests on one individual",IF(AND(G249="MANDATORY",N(O249)&lt;3),"SAFETY GATE: below Operating","OK"))))))))</f>
        <v>No evidence pull assigned</v>
      </c>
    </row>
    <row r="250" customFormat="false" ht="22.35" hidden="false" customHeight="false" outlineLevel="0" collapsed="false">
      <c r="A250" s="17" t="s">
        <v>523</v>
      </c>
      <c r="B250" s="17" t="s">
        <v>492</v>
      </c>
      <c r="C250" s="17" t="s">
        <v>520</v>
      </c>
      <c r="D250" s="17" t="s">
        <v>521</v>
      </c>
      <c r="E250" s="17" t="s">
        <v>121</v>
      </c>
      <c r="F250" s="17"/>
      <c r="G250" s="18" t="s">
        <v>107</v>
      </c>
      <c r="H250" s="18" t="s">
        <v>108</v>
      </c>
      <c r="I250" s="17" t="s">
        <v>460</v>
      </c>
      <c r="J250" s="15"/>
      <c r="K250" s="15"/>
      <c r="L250" s="15"/>
      <c r="M250" s="15"/>
      <c r="N250" s="15"/>
      <c r="O250" s="16" t="str">
        <f aca="false">IFERROR(INDEX(Lists!$B$3:$B$7,MATCH(K250,Lists!$A$3:$A$7,0)),"")</f>
        <v/>
      </c>
      <c r="P250" s="16" t="str">
        <f aca="false">IFERROR(INDEX('Evidence Pulls'!$N$6:$N$125,MATCH($J250,'Evidence Pulls'!$A$6:$A$125,0)),"")</f>
        <v/>
      </c>
      <c r="Q250" s="16" t="str">
        <f aca="false">IFERROR(INDEX('Evidence Pulls'!$G$6:$G$125,MATCH($J250,'Evidence Pulls'!$A$6:$A$125,0)),"")</f>
        <v/>
      </c>
      <c r="R250" s="16" t="str">
        <f aca="false">IFERROR(INDEX('Evidence Pulls'!$O$6:$O$125,MATCH($J250,'Evidence Pulls'!$A$6:$A$125,0)),"")</f>
        <v/>
      </c>
      <c r="S250" s="16" t="str">
        <f aca="false">IF(L250&lt;&gt;"",L250,IF(K250="","Not assessed",IF(N(O250)&gt;=3,"Demonstrated","Gap - remediate")))</f>
        <v>Not assessed</v>
      </c>
      <c r="T250" s="16" t="str">
        <f aca="false">IF(J250="","No evidence pull assigned",IF(COUNTIF('Evidence Pulls'!$A$6:$A$125,J250)=0,"Pull ID not on Evidence Pulls sheet",IF(K250="","Not graded",IF(AND(G250="MANDATORY",L250="Gap - recommend tailoring"),"INVALID: safety-mandatory, not tailorable",IF(OR(P250="",P250=0),"NO NAMED EXECUTOR",IF(AND(H250="Full",N(O250)&gt;=3,N(IFERROR(INDEX('Evidence Pulls'!$J$6:$J$125,MATCH($J250,'Evidence Pulls'!$A$6:$A$125,0)),""))=0),"Operating claimed with no sample",IF(AND(N(O250)&gt;=3,P250=1),"Operating rests on one individual",IF(AND(G250="MANDATORY",N(O250)&lt;3),"SAFETY GATE: below Operating","OK"))))))))</f>
        <v>No evidence pull assigned</v>
      </c>
    </row>
    <row r="251" customFormat="false" ht="22.35" hidden="false" customHeight="false" outlineLevel="0" collapsed="false">
      <c r="A251" s="13" t="s">
        <v>524</v>
      </c>
      <c r="B251" s="13" t="s">
        <v>492</v>
      </c>
      <c r="C251" s="13" t="s">
        <v>520</v>
      </c>
      <c r="D251" s="13" t="s">
        <v>521</v>
      </c>
      <c r="E251" s="13" t="s">
        <v>158</v>
      </c>
      <c r="F251" s="14"/>
      <c r="G251" s="13"/>
      <c r="H251" s="13" t="s">
        <v>103</v>
      </c>
      <c r="I251" s="13" t="s">
        <v>460</v>
      </c>
      <c r="J251" s="15"/>
      <c r="K251" s="15"/>
      <c r="L251" s="15"/>
      <c r="M251" s="15"/>
      <c r="N251" s="15"/>
      <c r="O251" s="16" t="str">
        <f aca="false">IFERROR(INDEX(Lists!$B$3:$B$7,MATCH(K251,Lists!$A$3:$A$7,0)),"")</f>
        <v/>
      </c>
      <c r="P251" s="16" t="str">
        <f aca="false">IFERROR(INDEX('Evidence Pulls'!$N$6:$N$125,MATCH($J251,'Evidence Pulls'!$A$6:$A$125,0)),"")</f>
        <v/>
      </c>
      <c r="Q251" s="16" t="str">
        <f aca="false">IFERROR(INDEX('Evidence Pulls'!$G$6:$G$125,MATCH($J251,'Evidence Pulls'!$A$6:$A$125,0)),"")</f>
        <v/>
      </c>
      <c r="R251" s="16" t="str">
        <f aca="false">IFERROR(INDEX('Evidence Pulls'!$O$6:$O$125,MATCH($J251,'Evidence Pulls'!$A$6:$A$125,0)),"")</f>
        <v/>
      </c>
      <c r="S251" s="16" t="str">
        <f aca="false">IF(L251&lt;&gt;"",L251,IF(K251="","Not assessed",IF(N(O251)&gt;=3,"Demonstrated","Gap - remediate")))</f>
        <v>Not assessed</v>
      </c>
      <c r="T251" s="16" t="str">
        <f aca="false">IF(J251="","No evidence pull assigned",IF(COUNTIF('Evidence Pulls'!$A$6:$A$125,J251)=0,"Pull ID not on Evidence Pulls sheet",IF(K251="","Not graded",IF(AND(G251="MANDATORY",L251="Gap - recommend tailoring"),"INVALID: safety-mandatory, not tailorable",IF(OR(P251="",P251=0),"NO NAMED EXECUTOR",IF(AND(H251="Full",N(O251)&gt;=3,N(IFERROR(INDEX('Evidence Pulls'!$J$6:$J$125,MATCH($J251,'Evidence Pulls'!$A$6:$A$125,0)),""))=0),"Operating claimed with no sample",IF(AND(N(O251)&gt;=3,P251=1),"Operating rests on one individual",IF(AND(G251="MANDATORY",N(O251)&lt;3),"SAFETY GATE: below Operating","OK"))))))))</f>
        <v>No evidence pull assigned</v>
      </c>
    </row>
    <row r="252" customFormat="false" ht="22.35" hidden="false" customHeight="false" outlineLevel="0" collapsed="false">
      <c r="A252" s="13" t="s">
        <v>525</v>
      </c>
      <c r="B252" s="13" t="s">
        <v>492</v>
      </c>
      <c r="C252" s="13" t="s">
        <v>520</v>
      </c>
      <c r="D252" s="13" t="s">
        <v>521</v>
      </c>
      <c r="E252" s="13" t="s">
        <v>160</v>
      </c>
      <c r="F252" s="14"/>
      <c r="G252" s="13"/>
      <c r="H252" s="13" t="s">
        <v>103</v>
      </c>
      <c r="I252" s="13" t="s">
        <v>460</v>
      </c>
      <c r="J252" s="15"/>
      <c r="K252" s="15"/>
      <c r="L252" s="15"/>
      <c r="M252" s="15"/>
      <c r="N252" s="15"/>
      <c r="O252" s="16" t="str">
        <f aca="false">IFERROR(INDEX(Lists!$B$3:$B$7,MATCH(K252,Lists!$A$3:$A$7,0)),"")</f>
        <v/>
      </c>
      <c r="P252" s="16" t="str">
        <f aca="false">IFERROR(INDEX('Evidence Pulls'!$N$6:$N$125,MATCH($J252,'Evidence Pulls'!$A$6:$A$125,0)),"")</f>
        <v/>
      </c>
      <c r="Q252" s="16" t="str">
        <f aca="false">IFERROR(INDEX('Evidence Pulls'!$G$6:$G$125,MATCH($J252,'Evidence Pulls'!$A$6:$A$125,0)),"")</f>
        <v/>
      </c>
      <c r="R252" s="16" t="str">
        <f aca="false">IFERROR(INDEX('Evidence Pulls'!$O$6:$O$125,MATCH($J252,'Evidence Pulls'!$A$6:$A$125,0)),"")</f>
        <v/>
      </c>
      <c r="S252" s="16" t="str">
        <f aca="false">IF(L252&lt;&gt;"",L252,IF(K252="","Not assessed",IF(N(O252)&gt;=3,"Demonstrated","Gap - remediate")))</f>
        <v>Not assessed</v>
      </c>
      <c r="T252" s="16" t="str">
        <f aca="false">IF(J252="","No evidence pull assigned",IF(COUNTIF('Evidence Pulls'!$A$6:$A$125,J252)=0,"Pull ID not on Evidence Pulls sheet",IF(K252="","Not graded",IF(AND(G252="MANDATORY",L252="Gap - recommend tailoring"),"INVALID: safety-mandatory, not tailorable",IF(OR(P252="",P252=0),"NO NAMED EXECUTOR",IF(AND(H252="Full",N(O252)&gt;=3,N(IFERROR(INDEX('Evidence Pulls'!$J$6:$J$125,MATCH($J252,'Evidence Pulls'!$A$6:$A$125,0)),""))=0),"Operating claimed with no sample",IF(AND(N(O252)&gt;=3,P252=1),"Operating rests on one individual",IF(AND(G252="MANDATORY",N(O252)&lt;3),"SAFETY GATE: below Operating","OK"))))))))</f>
        <v>No evidence pull assigned</v>
      </c>
    </row>
    <row r="253" customFormat="false" ht="22.35" hidden="false" customHeight="false" outlineLevel="0" collapsed="false">
      <c r="A253" s="13" t="s">
        <v>526</v>
      </c>
      <c r="B253" s="13" t="s">
        <v>492</v>
      </c>
      <c r="C253" s="13" t="s">
        <v>520</v>
      </c>
      <c r="D253" s="13" t="s">
        <v>521</v>
      </c>
      <c r="E253" s="13" t="s">
        <v>162</v>
      </c>
      <c r="F253" s="14"/>
      <c r="G253" s="13"/>
      <c r="H253" s="13" t="s">
        <v>103</v>
      </c>
      <c r="I253" s="13" t="s">
        <v>460</v>
      </c>
      <c r="J253" s="15"/>
      <c r="K253" s="15"/>
      <c r="L253" s="15"/>
      <c r="M253" s="15"/>
      <c r="N253" s="15"/>
      <c r="O253" s="16" t="str">
        <f aca="false">IFERROR(INDEX(Lists!$B$3:$B$7,MATCH(K253,Lists!$A$3:$A$7,0)),"")</f>
        <v/>
      </c>
      <c r="P253" s="16" t="str">
        <f aca="false">IFERROR(INDEX('Evidence Pulls'!$N$6:$N$125,MATCH($J253,'Evidence Pulls'!$A$6:$A$125,0)),"")</f>
        <v/>
      </c>
      <c r="Q253" s="16" t="str">
        <f aca="false">IFERROR(INDEX('Evidence Pulls'!$G$6:$G$125,MATCH($J253,'Evidence Pulls'!$A$6:$A$125,0)),"")</f>
        <v/>
      </c>
      <c r="R253" s="16" t="str">
        <f aca="false">IFERROR(INDEX('Evidence Pulls'!$O$6:$O$125,MATCH($J253,'Evidence Pulls'!$A$6:$A$125,0)),"")</f>
        <v/>
      </c>
      <c r="S253" s="16" t="str">
        <f aca="false">IF(L253&lt;&gt;"",L253,IF(K253="","Not assessed",IF(N(O253)&gt;=3,"Demonstrated","Gap - remediate")))</f>
        <v>Not assessed</v>
      </c>
      <c r="T253" s="16" t="str">
        <f aca="false">IF(J253="","No evidence pull assigned",IF(COUNTIF('Evidence Pulls'!$A$6:$A$125,J253)=0,"Pull ID not on Evidence Pulls sheet",IF(K253="","Not graded",IF(AND(G253="MANDATORY",L253="Gap - recommend tailoring"),"INVALID: safety-mandatory, not tailorable",IF(OR(P253="",P253=0),"NO NAMED EXECUTOR",IF(AND(H253="Full",N(O253)&gt;=3,N(IFERROR(INDEX('Evidence Pulls'!$J$6:$J$125,MATCH($J253,'Evidence Pulls'!$A$6:$A$125,0)),""))=0),"Operating claimed with no sample",IF(AND(N(O253)&gt;=3,P253=1),"Operating rests on one individual",IF(AND(G253="MANDATORY",N(O253)&lt;3),"SAFETY GATE: below Operating","OK"))))))))</f>
        <v>No evidence pull assigned</v>
      </c>
    </row>
    <row r="254" customFormat="false" ht="22.35" hidden="false" customHeight="false" outlineLevel="0" collapsed="false">
      <c r="A254" s="13" t="s">
        <v>527</v>
      </c>
      <c r="B254" s="13" t="s">
        <v>492</v>
      </c>
      <c r="C254" s="13" t="s">
        <v>520</v>
      </c>
      <c r="D254" s="13" t="s">
        <v>521</v>
      </c>
      <c r="E254" s="13" t="s">
        <v>164</v>
      </c>
      <c r="F254" s="14"/>
      <c r="G254" s="13"/>
      <c r="H254" s="13" t="s">
        <v>103</v>
      </c>
      <c r="I254" s="13" t="s">
        <v>460</v>
      </c>
      <c r="J254" s="15"/>
      <c r="K254" s="15"/>
      <c r="L254" s="15"/>
      <c r="M254" s="15"/>
      <c r="N254" s="15"/>
      <c r="O254" s="16" t="str">
        <f aca="false">IFERROR(INDEX(Lists!$B$3:$B$7,MATCH(K254,Lists!$A$3:$A$7,0)),"")</f>
        <v/>
      </c>
      <c r="P254" s="16" t="str">
        <f aca="false">IFERROR(INDEX('Evidence Pulls'!$N$6:$N$125,MATCH($J254,'Evidence Pulls'!$A$6:$A$125,0)),"")</f>
        <v/>
      </c>
      <c r="Q254" s="16" t="str">
        <f aca="false">IFERROR(INDEX('Evidence Pulls'!$G$6:$G$125,MATCH($J254,'Evidence Pulls'!$A$6:$A$125,0)),"")</f>
        <v/>
      </c>
      <c r="R254" s="16" t="str">
        <f aca="false">IFERROR(INDEX('Evidence Pulls'!$O$6:$O$125,MATCH($J254,'Evidence Pulls'!$A$6:$A$125,0)),"")</f>
        <v/>
      </c>
      <c r="S254" s="16" t="str">
        <f aca="false">IF(L254&lt;&gt;"",L254,IF(K254="","Not assessed",IF(N(O254)&gt;=3,"Demonstrated","Gap - remediate")))</f>
        <v>Not assessed</v>
      </c>
      <c r="T254" s="16" t="str">
        <f aca="false">IF(J254="","No evidence pull assigned",IF(COUNTIF('Evidence Pulls'!$A$6:$A$125,J254)=0,"Pull ID not on Evidence Pulls sheet",IF(K254="","Not graded",IF(AND(G254="MANDATORY",L254="Gap - recommend tailoring"),"INVALID: safety-mandatory, not tailorable",IF(OR(P254="",P254=0),"NO NAMED EXECUTOR",IF(AND(H254="Full",N(O254)&gt;=3,N(IFERROR(INDEX('Evidence Pulls'!$J$6:$J$125,MATCH($J254,'Evidence Pulls'!$A$6:$A$125,0)),""))=0),"Operating claimed with no sample",IF(AND(N(O254)&gt;=3,P254=1),"Operating rests on one individual",IF(AND(G254="MANDATORY",N(O254)&lt;3),"SAFETY GATE: below Operating","OK"))))))))</f>
        <v>No evidence pull assigned</v>
      </c>
    </row>
    <row r="255" customFormat="false" ht="22.35" hidden="false" customHeight="false" outlineLevel="0" collapsed="false">
      <c r="A255" s="13" t="s">
        <v>528</v>
      </c>
      <c r="B255" s="13" t="s">
        <v>492</v>
      </c>
      <c r="C255" s="13" t="s">
        <v>520</v>
      </c>
      <c r="D255" s="13" t="s">
        <v>521</v>
      </c>
      <c r="E255" s="13" t="s">
        <v>166</v>
      </c>
      <c r="F255" s="14"/>
      <c r="G255" s="13"/>
      <c r="H255" s="13" t="s">
        <v>103</v>
      </c>
      <c r="I255" s="13" t="s">
        <v>460</v>
      </c>
      <c r="J255" s="15"/>
      <c r="K255" s="15"/>
      <c r="L255" s="15"/>
      <c r="M255" s="15"/>
      <c r="N255" s="15"/>
      <c r="O255" s="16" t="str">
        <f aca="false">IFERROR(INDEX(Lists!$B$3:$B$7,MATCH(K255,Lists!$A$3:$A$7,0)),"")</f>
        <v/>
      </c>
      <c r="P255" s="16" t="str">
        <f aca="false">IFERROR(INDEX('Evidence Pulls'!$N$6:$N$125,MATCH($J255,'Evidence Pulls'!$A$6:$A$125,0)),"")</f>
        <v/>
      </c>
      <c r="Q255" s="16" t="str">
        <f aca="false">IFERROR(INDEX('Evidence Pulls'!$G$6:$G$125,MATCH($J255,'Evidence Pulls'!$A$6:$A$125,0)),"")</f>
        <v/>
      </c>
      <c r="R255" s="16" t="str">
        <f aca="false">IFERROR(INDEX('Evidence Pulls'!$O$6:$O$125,MATCH($J255,'Evidence Pulls'!$A$6:$A$125,0)),"")</f>
        <v/>
      </c>
      <c r="S255" s="16" t="str">
        <f aca="false">IF(L255&lt;&gt;"",L255,IF(K255="","Not assessed",IF(N(O255)&gt;=3,"Demonstrated","Gap - remediate")))</f>
        <v>Not assessed</v>
      </c>
      <c r="T255" s="16" t="str">
        <f aca="false">IF(J255="","No evidence pull assigned",IF(COUNTIF('Evidence Pulls'!$A$6:$A$125,J255)=0,"Pull ID not on Evidence Pulls sheet",IF(K255="","Not graded",IF(AND(G255="MANDATORY",L255="Gap - recommend tailoring"),"INVALID: safety-mandatory, not tailorable",IF(OR(P255="",P255=0),"NO NAMED EXECUTOR",IF(AND(H255="Full",N(O255)&gt;=3,N(IFERROR(INDEX('Evidence Pulls'!$J$6:$J$125,MATCH($J255,'Evidence Pulls'!$A$6:$A$125,0)),""))=0),"Operating claimed with no sample",IF(AND(N(O255)&gt;=3,P255=1),"Operating rests on one individual",IF(AND(G255="MANDATORY",N(O255)&lt;3),"SAFETY GATE: below Operating","OK"))))))))</f>
        <v>No evidence pull assigned</v>
      </c>
    </row>
    <row r="256" customFormat="false" ht="22.35" hidden="false" customHeight="false" outlineLevel="0" collapsed="false">
      <c r="A256" s="13" t="s">
        <v>529</v>
      </c>
      <c r="B256" s="13" t="s">
        <v>492</v>
      </c>
      <c r="C256" s="13" t="s">
        <v>520</v>
      </c>
      <c r="D256" s="13" t="s">
        <v>521</v>
      </c>
      <c r="E256" s="13" t="s">
        <v>168</v>
      </c>
      <c r="F256" s="14"/>
      <c r="G256" s="13"/>
      <c r="H256" s="13" t="s">
        <v>103</v>
      </c>
      <c r="I256" s="13" t="s">
        <v>460</v>
      </c>
      <c r="J256" s="15"/>
      <c r="K256" s="15"/>
      <c r="L256" s="15"/>
      <c r="M256" s="15"/>
      <c r="N256" s="15"/>
      <c r="O256" s="16" t="str">
        <f aca="false">IFERROR(INDEX(Lists!$B$3:$B$7,MATCH(K256,Lists!$A$3:$A$7,0)),"")</f>
        <v/>
      </c>
      <c r="P256" s="16" t="str">
        <f aca="false">IFERROR(INDEX('Evidence Pulls'!$N$6:$N$125,MATCH($J256,'Evidence Pulls'!$A$6:$A$125,0)),"")</f>
        <v/>
      </c>
      <c r="Q256" s="16" t="str">
        <f aca="false">IFERROR(INDEX('Evidence Pulls'!$G$6:$G$125,MATCH($J256,'Evidence Pulls'!$A$6:$A$125,0)),"")</f>
        <v/>
      </c>
      <c r="R256" s="16" t="str">
        <f aca="false">IFERROR(INDEX('Evidence Pulls'!$O$6:$O$125,MATCH($J256,'Evidence Pulls'!$A$6:$A$125,0)),"")</f>
        <v/>
      </c>
      <c r="S256" s="16" t="str">
        <f aca="false">IF(L256&lt;&gt;"",L256,IF(K256="","Not assessed",IF(N(O256)&gt;=3,"Demonstrated","Gap - remediate")))</f>
        <v>Not assessed</v>
      </c>
      <c r="T256" s="16" t="str">
        <f aca="false">IF(J256="","No evidence pull assigned",IF(COUNTIF('Evidence Pulls'!$A$6:$A$125,J256)=0,"Pull ID not on Evidence Pulls sheet",IF(K256="","Not graded",IF(AND(G256="MANDATORY",L256="Gap - recommend tailoring"),"INVALID: safety-mandatory, not tailorable",IF(OR(P256="",P256=0),"NO NAMED EXECUTOR",IF(AND(H256="Full",N(O256)&gt;=3,N(IFERROR(INDEX('Evidence Pulls'!$J$6:$J$125,MATCH($J256,'Evidence Pulls'!$A$6:$A$125,0)),""))=0),"Operating claimed with no sample",IF(AND(N(O256)&gt;=3,P256=1),"Operating rests on one individual",IF(AND(G256="MANDATORY",N(O256)&lt;3),"SAFETY GATE: below Operating","OK"))))))))</f>
        <v>No evidence pull assigned</v>
      </c>
    </row>
    <row r="257" customFormat="false" ht="22.35" hidden="false" customHeight="false" outlineLevel="0" collapsed="false">
      <c r="A257" s="13" t="s">
        <v>530</v>
      </c>
      <c r="B257" s="13" t="s">
        <v>492</v>
      </c>
      <c r="C257" s="13" t="s">
        <v>520</v>
      </c>
      <c r="D257" s="13" t="s">
        <v>521</v>
      </c>
      <c r="E257" s="13" t="s">
        <v>170</v>
      </c>
      <c r="F257" s="14"/>
      <c r="G257" s="13"/>
      <c r="H257" s="13" t="s">
        <v>103</v>
      </c>
      <c r="I257" s="13" t="s">
        <v>460</v>
      </c>
      <c r="J257" s="15"/>
      <c r="K257" s="15"/>
      <c r="L257" s="15"/>
      <c r="M257" s="15"/>
      <c r="N257" s="15"/>
      <c r="O257" s="16" t="str">
        <f aca="false">IFERROR(INDEX(Lists!$B$3:$B$7,MATCH(K257,Lists!$A$3:$A$7,0)),"")</f>
        <v/>
      </c>
      <c r="P257" s="16" t="str">
        <f aca="false">IFERROR(INDEX('Evidence Pulls'!$N$6:$N$125,MATCH($J257,'Evidence Pulls'!$A$6:$A$125,0)),"")</f>
        <v/>
      </c>
      <c r="Q257" s="16" t="str">
        <f aca="false">IFERROR(INDEX('Evidence Pulls'!$G$6:$G$125,MATCH($J257,'Evidence Pulls'!$A$6:$A$125,0)),"")</f>
        <v/>
      </c>
      <c r="R257" s="16" t="str">
        <f aca="false">IFERROR(INDEX('Evidence Pulls'!$O$6:$O$125,MATCH($J257,'Evidence Pulls'!$A$6:$A$125,0)),"")</f>
        <v/>
      </c>
      <c r="S257" s="16" t="str">
        <f aca="false">IF(L257&lt;&gt;"",L257,IF(K257="","Not assessed",IF(N(O257)&gt;=3,"Demonstrated","Gap - remediate")))</f>
        <v>Not assessed</v>
      </c>
      <c r="T257" s="16" t="str">
        <f aca="false">IF(J257="","No evidence pull assigned",IF(COUNTIF('Evidence Pulls'!$A$6:$A$125,J257)=0,"Pull ID not on Evidence Pulls sheet",IF(K257="","Not graded",IF(AND(G257="MANDATORY",L257="Gap - recommend tailoring"),"INVALID: safety-mandatory, not tailorable",IF(OR(P257="",P257=0),"NO NAMED EXECUTOR",IF(AND(H257="Full",N(O257)&gt;=3,N(IFERROR(INDEX('Evidence Pulls'!$J$6:$J$125,MATCH($J257,'Evidence Pulls'!$A$6:$A$125,0)),""))=0),"Operating claimed with no sample",IF(AND(N(O257)&gt;=3,P257=1),"Operating rests on one individual",IF(AND(G257="MANDATORY",N(O257)&lt;3),"SAFETY GATE: below Operating","OK"))))))))</f>
        <v>No evidence pull assigned</v>
      </c>
    </row>
    <row r="258" customFormat="false" ht="22.35" hidden="false" customHeight="false" outlineLevel="0" collapsed="false">
      <c r="A258" s="13" t="s">
        <v>531</v>
      </c>
      <c r="B258" s="13" t="s">
        <v>492</v>
      </c>
      <c r="C258" s="13" t="s">
        <v>520</v>
      </c>
      <c r="D258" s="13" t="s">
        <v>521</v>
      </c>
      <c r="E258" s="13" t="s">
        <v>172</v>
      </c>
      <c r="F258" s="14"/>
      <c r="G258" s="13"/>
      <c r="H258" s="13" t="s">
        <v>103</v>
      </c>
      <c r="I258" s="13" t="s">
        <v>460</v>
      </c>
      <c r="J258" s="15"/>
      <c r="K258" s="15"/>
      <c r="L258" s="15"/>
      <c r="M258" s="15"/>
      <c r="N258" s="15"/>
      <c r="O258" s="16" t="str">
        <f aca="false">IFERROR(INDEX(Lists!$B$3:$B$7,MATCH(K258,Lists!$A$3:$A$7,0)),"")</f>
        <v/>
      </c>
      <c r="P258" s="16" t="str">
        <f aca="false">IFERROR(INDEX('Evidence Pulls'!$N$6:$N$125,MATCH($J258,'Evidence Pulls'!$A$6:$A$125,0)),"")</f>
        <v/>
      </c>
      <c r="Q258" s="16" t="str">
        <f aca="false">IFERROR(INDEX('Evidence Pulls'!$G$6:$G$125,MATCH($J258,'Evidence Pulls'!$A$6:$A$125,0)),"")</f>
        <v/>
      </c>
      <c r="R258" s="16" t="str">
        <f aca="false">IFERROR(INDEX('Evidence Pulls'!$O$6:$O$125,MATCH($J258,'Evidence Pulls'!$A$6:$A$125,0)),"")</f>
        <v/>
      </c>
      <c r="S258" s="16" t="str">
        <f aca="false">IF(L258&lt;&gt;"",L258,IF(K258="","Not assessed",IF(N(O258)&gt;=3,"Demonstrated","Gap - remediate")))</f>
        <v>Not assessed</v>
      </c>
      <c r="T258" s="16" t="str">
        <f aca="false">IF(J258="","No evidence pull assigned",IF(COUNTIF('Evidence Pulls'!$A$6:$A$125,J258)=0,"Pull ID not on Evidence Pulls sheet",IF(K258="","Not graded",IF(AND(G258="MANDATORY",L258="Gap - recommend tailoring"),"INVALID: safety-mandatory, not tailorable",IF(OR(P258="",P258=0),"NO NAMED EXECUTOR",IF(AND(H258="Full",N(O258)&gt;=3,N(IFERROR(INDEX('Evidence Pulls'!$J$6:$J$125,MATCH($J258,'Evidence Pulls'!$A$6:$A$125,0)),""))=0),"Operating claimed with no sample",IF(AND(N(O258)&gt;=3,P258=1),"Operating rests on one individual",IF(AND(G258="MANDATORY",N(O258)&lt;3),"SAFETY GATE: below Operating","OK"))))))))</f>
        <v>No evidence pull assigned</v>
      </c>
    </row>
    <row r="259" customFormat="false" ht="22.35" hidden="false" customHeight="false" outlineLevel="0" collapsed="false">
      <c r="A259" s="13" t="s">
        <v>532</v>
      </c>
      <c r="B259" s="13" t="s">
        <v>492</v>
      </c>
      <c r="C259" s="13" t="s">
        <v>520</v>
      </c>
      <c r="D259" s="13" t="s">
        <v>521</v>
      </c>
      <c r="E259" s="13" t="s">
        <v>174</v>
      </c>
      <c r="F259" s="14"/>
      <c r="G259" s="13"/>
      <c r="H259" s="13" t="s">
        <v>103</v>
      </c>
      <c r="I259" s="13" t="s">
        <v>460</v>
      </c>
      <c r="J259" s="15"/>
      <c r="K259" s="15"/>
      <c r="L259" s="15"/>
      <c r="M259" s="15"/>
      <c r="N259" s="15"/>
      <c r="O259" s="16" t="str">
        <f aca="false">IFERROR(INDEX(Lists!$B$3:$B$7,MATCH(K259,Lists!$A$3:$A$7,0)),"")</f>
        <v/>
      </c>
      <c r="P259" s="16" t="str">
        <f aca="false">IFERROR(INDEX('Evidence Pulls'!$N$6:$N$125,MATCH($J259,'Evidence Pulls'!$A$6:$A$125,0)),"")</f>
        <v/>
      </c>
      <c r="Q259" s="16" t="str">
        <f aca="false">IFERROR(INDEX('Evidence Pulls'!$G$6:$G$125,MATCH($J259,'Evidence Pulls'!$A$6:$A$125,0)),"")</f>
        <v/>
      </c>
      <c r="R259" s="16" t="str">
        <f aca="false">IFERROR(INDEX('Evidence Pulls'!$O$6:$O$125,MATCH($J259,'Evidence Pulls'!$A$6:$A$125,0)),"")</f>
        <v/>
      </c>
      <c r="S259" s="16" t="str">
        <f aca="false">IF(L259&lt;&gt;"",L259,IF(K259="","Not assessed",IF(N(O259)&gt;=3,"Demonstrated","Gap - remediate")))</f>
        <v>Not assessed</v>
      </c>
      <c r="T259" s="16" t="str">
        <f aca="false">IF(J259="","No evidence pull assigned",IF(COUNTIF('Evidence Pulls'!$A$6:$A$125,J259)=0,"Pull ID not on Evidence Pulls sheet",IF(K259="","Not graded",IF(AND(G259="MANDATORY",L259="Gap - recommend tailoring"),"INVALID: safety-mandatory, not tailorable",IF(OR(P259="",P259=0),"NO NAMED EXECUTOR",IF(AND(H259="Full",N(O259)&gt;=3,N(IFERROR(INDEX('Evidence Pulls'!$J$6:$J$125,MATCH($J259,'Evidence Pulls'!$A$6:$A$125,0)),""))=0),"Operating claimed with no sample",IF(AND(N(O259)&gt;=3,P259=1),"Operating rests on one individual",IF(AND(G259="MANDATORY",N(O259)&lt;3),"SAFETY GATE: below Operating","OK"))))))))</f>
        <v>No evidence pull assigned</v>
      </c>
    </row>
    <row r="260" customFormat="false" ht="22.35" hidden="false" customHeight="false" outlineLevel="0" collapsed="false">
      <c r="A260" s="13" t="s">
        <v>533</v>
      </c>
      <c r="B260" s="13" t="s">
        <v>492</v>
      </c>
      <c r="C260" s="13" t="s">
        <v>520</v>
      </c>
      <c r="D260" s="13" t="s">
        <v>521</v>
      </c>
      <c r="E260" s="13" t="s">
        <v>176</v>
      </c>
      <c r="F260" s="14"/>
      <c r="G260" s="13"/>
      <c r="H260" s="13" t="s">
        <v>103</v>
      </c>
      <c r="I260" s="13" t="s">
        <v>460</v>
      </c>
      <c r="J260" s="15"/>
      <c r="K260" s="15"/>
      <c r="L260" s="15"/>
      <c r="M260" s="15"/>
      <c r="N260" s="15"/>
      <c r="O260" s="16" t="str">
        <f aca="false">IFERROR(INDEX(Lists!$B$3:$B$7,MATCH(K260,Lists!$A$3:$A$7,0)),"")</f>
        <v/>
      </c>
      <c r="P260" s="16" t="str">
        <f aca="false">IFERROR(INDEX('Evidence Pulls'!$N$6:$N$125,MATCH($J260,'Evidence Pulls'!$A$6:$A$125,0)),"")</f>
        <v/>
      </c>
      <c r="Q260" s="16" t="str">
        <f aca="false">IFERROR(INDEX('Evidence Pulls'!$G$6:$G$125,MATCH($J260,'Evidence Pulls'!$A$6:$A$125,0)),"")</f>
        <v/>
      </c>
      <c r="R260" s="16" t="str">
        <f aca="false">IFERROR(INDEX('Evidence Pulls'!$O$6:$O$125,MATCH($J260,'Evidence Pulls'!$A$6:$A$125,0)),"")</f>
        <v/>
      </c>
      <c r="S260" s="16" t="str">
        <f aca="false">IF(L260&lt;&gt;"",L260,IF(K260="","Not assessed",IF(N(O260)&gt;=3,"Demonstrated","Gap - remediate")))</f>
        <v>Not assessed</v>
      </c>
      <c r="T260" s="16" t="str">
        <f aca="false">IF(J260="","No evidence pull assigned",IF(COUNTIF('Evidence Pulls'!$A$6:$A$125,J260)=0,"Pull ID not on Evidence Pulls sheet",IF(K260="","Not graded",IF(AND(G260="MANDATORY",L260="Gap - recommend tailoring"),"INVALID: safety-mandatory, not tailorable",IF(OR(P260="",P260=0),"NO NAMED EXECUTOR",IF(AND(H260="Full",N(O260)&gt;=3,N(IFERROR(INDEX('Evidence Pulls'!$J$6:$J$125,MATCH($J260,'Evidence Pulls'!$A$6:$A$125,0)),""))=0),"Operating claimed with no sample",IF(AND(N(O260)&gt;=3,P260=1),"Operating rests on one individual",IF(AND(G260="MANDATORY",N(O260)&lt;3),"SAFETY GATE: below Operating","OK"))))))))</f>
        <v>No evidence pull assigned</v>
      </c>
    </row>
    <row r="261" customFormat="false" ht="22.35" hidden="false" customHeight="false" outlineLevel="0" collapsed="false">
      <c r="A261" s="13" t="s">
        <v>534</v>
      </c>
      <c r="B261" s="13" t="s">
        <v>492</v>
      </c>
      <c r="C261" s="13" t="s">
        <v>520</v>
      </c>
      <c r="D261" s="13" t="s">
        <v>521</v>
      </c>
      <c r="E261" s="13" t="s">
        <v>110</v>
      </c>
      <c r="F261" s="14"/>
      <c r="G261" s="13"/>
      <c r="H261" s="13" t="s">
        <v>103</v>
      </c>
      <c r="I261" s="13" t="s">
        <v>460</v>
      </c>
      <c r="J261" s="15"/>
      <c r="K261" s="15"/>
      <c r="L261" s="15"/>
      <c r="M261" s="15"/>
      <c r="N261" s="15"/>
      <c r="O261" s="16" t="str">
        <f aca="false">IFERROR(INDEX(Lists!$B$3:$B$7,MATCH(K261,Lists!$A$3:$A$7,0)),"")</f>
        <v/>
      </c>
      <c r="P261" s="16" t="str">
        <f aca="false">IFERROR(INDEX('Evidence Pulls'!$N$6:$N$125,MATCH($J261,'Evidence Pulls'!$A$6:$A$125,0)),"")</f>
        <v/>
      </c>
      <c r="Q261" s="16" t="str">
        <f aca="false">IFERROR(INDEX('Evidence Pulls'!$G$6:$G$125,MATCH($J261,'Evidence Pulls'!$A$6:$A$125,0)),"")</f>
        <v/>
      </c>
      <c r="R261" s="16" t="str">
        <f aca="false">IFERROR(INDEX('Evidence Pulls'!$O$6:$O$125,MATCH($J261,'Evidence Pulls'!$A$6:$A$125,0)),"")</f>
        <v/>
      </c>
      <c r="S261" s="16" t="str">
        <f aca="false">IF(L261&lt;&gt;"",L261,IF(K261="","Not assessed",IF(N(O261)&gt;=3,"Demonstrated","Gap - remediate")))</f>
        <v>Not assessed</v>
      </c>
      <c r="T261" s="16" t="str">
        <f aca="false">IF(J261="","No evidence pull assigned",IF(COUNTIF('Evidence Pulls'!$A$6:$A$125,J261)=0,"Pull ID not on Evidence Pulls sheet",IF(K261="","Not graded",IF(AND(G261="MANDATORY",L261="Gap - recommend tailoring"),"INVALID: safety-mandatory, not tailorable",IF(OR(P261="",P261=0),"NO NAMED EXECUTOR",IF(AND(H261="Full",N(O261)&gt;=3,N(IFERROR(INDEX('Evidence Pulls'!$J$6:$J$125,MATCH($J261,'Evidence Pulls'!$A$6:$A$125,0)),""))=0),"Operating claimed with no sample",IF(AND(N(O261)&gt;=3,P261=1),"Operating rests on one individual",IF(AND(G261="MANDATORY",N(O261)&lt;3),"SAFETY GATE: below Operating","OK"))))))))</f>
        <v>No evidence pull assigned</v>
      </c>
    </row>
    <row r="262" customFormat="false" ht="22.35" hidden="false" customHeight="false" outlineLevel="0" collapsed="false">
      <c r="A262" s="17" t="s">
        <v>535</v>
      </c>
      <c r="B262" s="17" t="s">
        <v>492</v>
      </c>
      <c r="C262" s="17" t="s">
        <v>536</v>
      </c>
      <c r="D262" s="17" t="s">
        <v>537</v>
      </c>
      <c r="E262" s="17" t="s">
        <v>102</v>
      </c>
      <c r="F262" s="17"/>
      <c r="G262" s="18" t="s">
        <v>107</v>
      </c>
      <c r="H262" s="18" t="s">
        <v>108</v>
      </c>
      <c r="I262" s="17" t="s">
        <v>460</v>
      </c>
      <c r="J262" s="15"/>
      <c r="K262" s="15"/>
      <c r="L262" s="15"/>
      <c r="M262" s="15"/>
      <c r="N262" s="15"/>
      <c r="O262" s="16" t="str">
        <f aca="false">IFERROR(INDEX(Lists!$B$3:$B$7,MATCH(K262,Lists!$A$3:$A$7,0)),"")</f>
        <v/>
      </c>
      <c r="P262" s="16" t="str">
        <f aca="false">IFERROR(INDEX('Evidence Pulls'!$N$6:$N$125,MATCH($J262,'Evidence Pulls'!$A$6:$A$125,0)),"")</f>
        <v/>
      </c>
      <c r="Q262" s="16" t="str">
        <f aca="false">IFERROR(INDEX('Evidence Pulls'!$G$6:$G$125,MATCH($J262,'Evidence Pulls'!$A$6:$A$125,0)),"")</f>
        <v/>
      </c>
      <c r="R262" s="16" t="str">
        <f aca="false">IFERROR(INDEX('Evidence Pulls'!$O$6:$O$125,MATCH($J262,'Evidence Pulls'!$A$6:$A$125,0)),"")</f>
        <v/>
      </c>
      <c r="S262" s="16" t="str">
        <f aca="false">IF(L262&lt;&gt;"",L262,IF(K262="","Not assessed",IF(N(O262)&gt;=3,"Demonstrated","Gap - remediate")))</f>
        <v>Not assessed</v>
      </c>
      <c r="T262" s="16" t="str">
        <f aca="false">IF(J262="","No evidence pull assigned",IF(COUNTIF('Evidence Pulls'!$A$6:$A$125,J262)=0,"Pull ID not on Evidence Pulls sheet",IF(K262="","Not graded",IF(AND(G262="MANDATORY",L262="Gap - recommend tailoring"),"INVALID: safety-mandatory, not tailorable",IF(OR(P262="",P262=0),"NO NAMED EXECUTOR",IF(AND(H262="Full",N(O262)&gt;=3,N(IFERROR(INDEX('Evidence Pulls'!$J$6:$J$125,MATCH($J262,'Evidence Pulls'!$A$6:$A$125,0)),""))=0),"Operating claimed with no sample",IF(AND(N(O262)&gt;=3,P262=1),"Operating rests on one individual",IF(AND(G262="MANDATORY",N(O262)&lt;3),"SAFETY GATE: below Operating","OK"))))))))</f>
        <v>No evidence pull assigned</v>
      </c>
    </row>
    <row r="263" customFormat="false" ht="22.35" hidden="false" customHeight="false" outlineLevel="0" collapsed="false">
      <c r="A263" s="17" t="s">
        <v>538</v>
      </c>
      <c r="B263" s="17" t="s">
        <v>492</v>
      </c>
      <c r="C263" s="17" t="s">
        <v>536</v>
      </c>
      <c r="D263" s="17" t="s">
        <v>537</v>
      </c>
      <c r="E263" s="17" t="s">
        <v>106</v>
      </c>
      <c r="F263" s="17"/>
      <c r="G263" s="18" t="s">
        <v>107</v>
      </c>
      <c r="H263" s="18" t="s">
        <v>108</v>
      </c>
      <c r="I263" s="17" t="s">
        <v>460</v>
      </c>
      <c r="J263" s="15"/>
      <c r="K263" s="15"/>
      <c r="L263" s="15"/>
      <c r="M263" s="15"/>
      <c r="N263" s="15"/>
      <c r="O263" s="16" t="str">
        <f aca="false">IFERROR(INDEX(Lists!$B$3:$B$7,MATCH(K263,Lists!$A$3:$A$7,0)),"")</f>
        <v/>
      </c>
      <c r="P263" s="16" t="str">
        <f aca="false">IFERROR(INDEX('Evidence Pulls'!$N$6:$N$125,MATCH($J263,'Evidence Pulls'!$A$6:$A$125,0)),"")</f>
        <v/>
      </c>
      <c r="Q263" s="16" t="str">
        <f aca="false">IFERROR(INDEX('Evidence Pulls'!$G$6:$G$125,MATCH($J263,'Evidence Pulls'!$A$6:$A$125,0)),"")</f>
        <v/>
      </c>
      <c r="R263" s="16" t="str">
        <f aca="false">IFERROR(INDEX('Evidence Pulls'!$O$6:$O$125,MATCH($J263,'Evidence Pulls'!$A$6:$A$125,0)),"")</f>
        <v/>
      </c>
      <c r="S263" s="16" t="str">
        <f aca="false">IF(L263&lt;&gt;"",L263,IF(K263="","Not assessed",IF(N(O263)&gt;=3,"Demonstrated","Gap - remediate")))</f>
        <v>Not assessed</v>
      </c>
      <c r="T263" s="16" t="str">
        <f aca="false">IF(J263="","No evidence pull assigned",IF(COUNTIF('Evidence Pulls'!$A$6:$A$125,J263)=0,"Pull ID not on Evidence Pulls sheet",IF(K263="","Not graded",IF(AND(G263="MANDATORY",L263="Gap - recommend tailoring"),"INVALID: safety-mandatory, not tailorable",IF(OR(P263="",P263=0),"NO NAMED EXECUTOR",IF(AND(H263="Full",N(O263)&gt;=3,N(IFERROR(INDEX('Evidence Pulls'!$J$6:$J$125,MATCH($J263,'Evidence Pulls'!$A$6:$A$125,0)),""))=0),"Operating claimed with no sample",IF(AND(N(O263)&gt;=3,P263=1),"Operating rests on one individual",IF(AND(G263="MANDATORY",N(O263)&lt;3),"SAFETY GATE: below Operating","OK"))))))))</f>
        <v>No evidence pull assigned</v>
      </c>
    </row>
    <row r="264" customFormat="false" ht="22.35" hidden="false" customHeight="false" outlineLevel="0" collapsed="false">
      <c r="A264" s="13" t="s">
        <v>539</v>
      </c>
      <c r="B264" s="13" t="s">
        <v>492</v>
      </c>
      <c r="C264" s="13" t="s">
        <v>536</v>
      </c>
      <c r="D264" s="13" t="s">
        <v>537</v>
      </c>
      <c r="E264" s="13" t="s">
        <v>110</v>
      </c>
      <c r="F264" s="14"/>
      <c r="G264" s="13"/>
      <c r="H264" s="13" t="s">
        <v>103</v>
      </c>
      <c r="I264" s="13" t="s">
        <v>460</v>
      </c>
      <c r="J264" s="15"/>
      <c r="K264" s="15"/>
      <c r="L264" s="15"/>
      <c r="M264" s="15"/>
      <c r="N264" s="15"/>
      <c r="O264" s="16" t="str">
        <f aca="false">IFERROR(INDEX(Lists!$B$3:$B$7,MATCH(K264,Lists!$A$3:$A$7,0)),"")</f>
        <v/>
      </c>
      <c r="P264" s="16" t="str">
        <f aca="false">IFERROR(INDEX('Evidence Pulls'!$N$6:$N$125,MATCH($J264,'Evidence Pulls'!$A$6:$A$125,0)),"")</f>
        <v/>
      </c>
      <c r="Q264" s="16" t="str">
        <f aca="false">IFERROR(INDEX('Evidence Pulls'!$G$6:$G$125,MATCH($J264,'Evidence Pulls'!$A$6:$A$125,0)),"")</f>
        <v/>
      </c>
      <c r="R264" s="16" t="str">
        <f aca="false">IFERROR(INDEX('Evidence Pulls'!$O$6:$O$125,MATCH($J264,'Evidence Pulls'!$A$6:$A$125,0)),"")</f>
        <v/>
      </c>
      <c r="S264" s="16" t="str">
        <f aca="false">IF(L264&lt;&gt;"",L264,IF(K264="","Not assessed",IF(N(O264)&gt;=3,"Demonstrated","Gap - remediate")))</f>
        <v>Not assessed</v>
      </c>
      <c r="T264" s="16" t="str">
        <f aca="false">IF(J264="","No evidence pull assigned",IF(COUNTIF('Evidence Pulls'!$A$6:$A$125,J264)=0,"Pull ID not on Evidence Pulls sheet",IF(K264="","Not graded",IF(AND(G264="MANDATORY",L264="Gap - recommend tailoring"),"INVALID: safety-mandatory, not tailorable",IF(OR(P264="",P264=0),"NO NAMED EXECUTOR",IF(AND(H264="Full",N(O264)&gt;=3,N(IFERROR(INDEX('Evidence Pulls'!$J$6:$J$125,MATCH($J264,'Evidence Pulls'!$A$6:$A$125,0)),""))=0),"Operating claimed with no sample",IF(AND(N(O264)&gt;=3,P264=1),"Operating rests on one individual",IF(AND(G264="MANDATORY",N(O264)&lt;3),"SAFETY GATE: below Operating","OK"))))))))</f>
        <v>No evidence pull assigned</v>
      </c>
    </row>
    <row r="265" customFormat="false" ht="22.35" hidden="false" customHeight="false" outlineLevel="0" collapsed="false">
      <c r="A265" s="17" t="s">
        <v>540</v>
      </c>
      <c r="B265" s="17" t="s">
        <v>492</v>
      </c>
      <c r="C265" s="17" t="s">
        <v>536</v>
      </c>
      <c r="D265" s="17" t="s">
        <v>537</v>
      </c>
      <c r="E265" s="17" t="s">
        <v>112</v>
      </c>
      <c r="F265" s="17"/>
      <c r="G265" s="18" t="s">
        <v>107</v>
      </c>
      <c r="H265" s="18" t="s">
        <v>108</v>
      </c>
      <c r="I265" s="17" t="s">
        <v>460</v>
      </c>
      <c r="J265" s="15"/>
      <c r="K265" s="15"/>
      <c r="L265" s="15"/>
      <c r="M265" s="15"/>
      <c r="N265" s="15"/>
      <c r="O265" s="16" t="str">
        <f aca="false">IFERROR(INDEX(Lists!$B$3:$B$7,MATCH(K265,Lists!$A$3:$A$7,0)),"")</f>
        <v/>
      </c>
      <c r="P265" s="16" t="str">
        <f aca="false">IFERROR(INDEX('Evidence Pulls'!$N$6:$N$125,MATCH($J265,'Evidence Pulls'!$A$6:$A$125,0)),"")</f>
        <v/>
      </c>
      <c r="Q265" s="16" t="str">
        <f aca="false">IFERROR(INDEX('Evidence Pulls'!$G$6:$G$125,MATCH($J265,'Evidence Pulls'!$A$6:$A$125,0)),"")</f>
        <v/>
      </c>
      <c r="R265" s="16" t="str">
        <f aca="false">IFERROR(INDEX('Evidence Pulls'!$O$6:$O$125,MATCH($J265,'Evidence Pulls'!$A$6:$A$125,0)),"")</f>
        <v/>
      </c>
      <c r="S265" s="16" t="str">
        <f aca="false">IF(L265&lt;&gt;"",L265,IF(K265="","Not assessed",IF(N(O265)&gt;=3,"Demonstrated","Gap - remediate")))</f>
        <v>Not assessed</v>
      </c>
      <c r="T265" s="16" t="str">
        <f aca="false">IF(J265="","No evidence pull assigned",IF(COUNTIF('Evidence Pulls'!$A$6:$A$125,J265)=0,"Pull ID not on Evidence Pulls sheet",IF(K265="","Not graded",IF(AND(G265="MANDATORY",L265="Gap - recommend tailoring"),"INVALID: safety-mandatory, not tailorable",IF(OR(P265="",P265=0),"NO NAMED EXECUTOR",IF(AND(H265="Full",N(O265)&gt;=3,N(IFERROR(INDEX('Evidence Pulls'!$J$6:$J$125,MATCH($J265,'Evidence Pulls'!$A$6:$A$125,0)),""))=0),"Operating claimed with no sample",IF(AND(N(O265)&gt;=3,P265=1),"Operating rests on one individual",IF(AND(G265="MANDATORY",N(O265)&lt;3),"SAFETY GATE: below Operating","OK"))))))))</f>
        <v>No evidence pull assigned</v>
      </c>
    </row>
    <row r="266" customFormat="false" ht="22.35" hidden="false" customHeight="false" outlineLevel="0" collapsed="false">
      <c r="A266" s="13" t="s">
        <v>541</v>
      </c>
      <c r="B266" s="13" t="s">
        <v>492</v>
      </c>
      <c r="C266" s="13" t="s">
        <v>536</v>
      </c>
      <c r="D266" s="13" t="s">
        <v>537</v>
      </c>
      <c r="E266" s="13" t="s">
        <v>204</v>
      </c>
      <c r="F266" s="14"/>
      <c r="G266" s="13"/>
      <c r="H266" s="13" t="s">
        <v>103</v>
      </c>
      <c r="I266" s="13" t="s">
        <v>460</v>
      </c>
      <c r="J266" s="15"/>
      <c r="K266" s="15"/>
      <c r="L266" s="15"/>
      <c r="M266" s="15"/>
      <c r="N266" s="15"/>
      <c r="O266" s="16" t="str">
        <f aca="false">IFERROR(INDEX(Lists!$B$3:$B$7,MATCH(K266,Lists!$A$3:$A$7,0)),"")</f>
        <v/>
      </c>
      <c r="P266" s="16" t="str">
        <f aca="false">IFERROR(INDEX('Evidence Pulls'!$N$6:$N$125,MATCH($J266,'Evidence Pulls'!$A$6:$A$125,0)),"")</f>
        <v/>
      </c>
      <c r="Q266" s="16" t="str">
        <f aca="false">IFERROR(INDEX('Evidence Pulls'!$G$6:$G$125,MATCH($J266,'Evidence Pulls'!$A$6:$A$125,0)),"")</f>
        <v/>
      </c>
      <c r="R266" s="16" t="str">
        <f aca="false">IFERROR(INDEX('Evidence Pulls'!$O$6:$O$125,MATCH($J266,'Evidence Pulls'!$A$6:$A$125,0)),"")</f>
        <v/>
      </c>
      <c r="S266" s="16" t="str">
        <f aca="false">IF(L266&lt;&gt;"",L266,IF(K266="","Not assessed",IF(N(O266)&gt;=3,"Demonstrated","Gap - remediate")))</f>
        <v>Not assessed</v>
      </c>
      <c r="T266" s="16" t="str">
        <f aca="false">IF(J266="","No evidence pull assigned",IF(COUNTIF('Evidence Pulls'!$A$6:$A$125,J266)=0,"Pull ID not on Evidence Pulls sheet",IF(K266="","Not graded",IF(AND(G266="MANDATORY",L266="Gap - recommend tailoring"),"INVALID: safety-mandatory, not tailorable",IF(OR(P266="",P266=0),"NO NAMED EXECUTOR",IF(AND(H266="Full",N(O266)&gt;=3,N(IFERROR(INDEX('Evidence Pulls'!$J$6:$J$125,MATCH($J266,'Evidence Pulls'!$A$6:$A$125,0)),""))=0),"Operating claimed with no sample",IF(AND(N(O266)&gt;=3,P266=1),"Operating rests on one individual",IF(AND(G266="MANDATORY",N(O266)&lt;3),"SAFETY GATE: below Operating","OK"))))))))</f>
        <v>No evidence pull assigned</v>
      </c>
    </row>
    <row r="267" customFormat="false" ht="22.35" hidden="false" customHeight="false" outlineLevel="0" collapsed="false">
      <c r="A267" s="13" t="s">
        <v>542</v>
      </c>
      <c r="B267" s="13" t="s">
        <v>492</v>
      </c>
      <c r="C267" s="13" t="s">
        <v>536</v>
      </c>
      <c r="D267" s="13" t="s">
        <v>537</v>
      </c>
      <c r="E267" s="13" t="s">
        <v>487</v>
      </c>
      <c r="F267" s="14"/>
      <c r="G267" s="13"/>
      <c r="H267" s="13" t="s">
        <v>103</v>
      </c>
      <c r="I267" s="13" t="s">
        <v>460</v>
      </c>
      <c r="J267" s="15"/>
      <c r="K267" s="15"/>
      <c r="L267" s="15"/>
      <c r="M267" s="15"/>
      <c r="N267" s="15"/>
      <c r="O267" s="16" t="str">
        <f aca="false">IFERROR(INDEX(Lists!$B$3:$B$7,MATCH(K267,Lists!$A$3:$A$7,0)),"")</f>
        <v/>
      </c>
      <c r="P267" s="16" t="str">
        <f aca="false">IFERROR(INDEX('Evidence Pulls'!$N$6:$N$125,MATCH($J267,'Evidence Pulls'!$A$6:$A$125,0)),"")</f>
        <v/>
      </c>
      <c r="Q267" s="16" t="str">
        <f aca="false">IFERROR(INDEX('Evidence Pulls'!$G$6:$G$125,MATCH($J267,'Evidence Pulls'!$A$6:$A$125,0)),"")</f>
        <v/>
      </c>
      <c r="R267" s="16" t="str">
        <f aca="false">IFERROR(INDEX('Evidence Pulls'!$O$6:$O$125,MATCH($J267,'Evidence Pulls'!$A$6:$A$125,0)),"")</f>
        <v/>
      </c>
      <c r="S267" s="16" t="str">
        <f aca="false">IF(L267&lt;&gt;"",L267,IF(K267="","Not assessed",IF(N(O267)&gt;=3,"Demonstrated","Gap - remediate")))</f>
        <v>Not assessed</v>
      </c>
      <c r="T267" s="16" t="str">
        <f aca="false">IF(J267="","No evidence pull assigned",IF(COUNTIF('Evidence Pulls'!$A$6:$A$125,J267)=0,"Pull ID not on Evidence Pulls sheet",IF(K267="","Not graded",IF(AND(G267="MANDATORY",L267="Gap - recommend tailoring"),"INVALID: safety-mandatory, not tailorable",IF(OR(P267="",P267=0),"NO NAMED EXECUTOR",IF(AND(H267="Full",N(O267)&gt;=3,N(IFERROR(INDEX('Evidence Pulls'!$J$6:$J$125,MATCH($J267,'Evidence Pulls'!$A$6:$A$125,0)),""))=0),"Operating claimed with no sample",IF(AND(N(O267)&gt;=3,P267=1),"Operating rests on one individual",IF(AND(G267="MANDATORY",N(O267)&lt;3),"SAFETY GATE: below Operating","OK"))))))))</f>
        <v>No evidence pull assigned</v>
      </c>
    </row>
    <row r="268" customFormat="false" ht="22.35" hidden="false" customHeight="false" outlineLevel="0" collapsed="false">
      <c r="A268" s="13" t="s">
        <v>543</v>
      </c>
      <c r="B268" s="13" t="s">
        <v>492</v>
      </c>
      <c r="C268" s="13" t="s">
        <v>544</v>
      </c>
      <c r="D268" s="13" t="s">
        <v>545</v>
      </c>
      <c r="E268" s="13" t="s">
        <v>117</v>
      </c>
      <c r="F268" s="14"/>
      <c r="G268" s="13"/>
      <c r="H268" s="13" t="s">
        <v>103</v>
      </c>
      <c r="I268" s="13" t="s">
        <v>460</v>
      </c>
      <c r="J268" s="15"/>
      <c r="K268" s="15"/>
      <c r="L268" s="15"/>
      <c r="M268" s="15"/>
      <c r="N268" s="15"/>
      <c r="O268" s="16" t="str">
        <f aca="false">IFERROR(INDEX(Lists!$B$3:$B$7,MATCH(K268,Lists!$A$3:$A$7,0)),"")</f>
        <v/>
      </c>
      <c r="P268" s="16" t="str">
        <f aca="false">IFERROR(INDEX('Evidence Pulls'!$N$6:$N$125,MATCH($J268,'Evidence Pulls'!$A$6:$A$125,0)),"")</f>
        <v/>
      </c>
      <c r="Q268" s="16" t="str">
        <f aca="false">IFERROR(INDEX('Evidence Pulls'!$G$6:$G$125,MATCH($J268,'Evidence Pulls'!$A$6:$A$125,0)),"")</f>
        <v/>
      </c>
      <c r="R268" s="16" t="str">
        <f aca="false">IFERROR(INDEX('Evidence Pulls'!$O$6:$O$125,MATCH($J268,'Evidence Pulls'!$A$6:$A$125,0)),"")</f>
        <v/>
      </c>
      <c r="S268" s="16" t="str">
        <f aca="false">IF(L268&lt;&gt;"",L268,IF(K268="","Not assessed",IF(N(O268)&gt;=3,"Demonstrated","Gap - remediate")))</f>
        <v>Not assessed</v>
      </c>
      <c r="T268" s="16" t="str">
        <f aca="false">IF(J268="","No evidence pull assigned",IF(COUNTIF('Evidence Pulls'!$A$6:$A$125,J268)=0,"Pull ID not on Evidence Pulls sheet",IF(K268="","Not graded",IF(AND(G268="MANDATORY",L268="Gap - recommend tailoring"),"INVALID: safety-mandatory, not tailorable",IF(OR(P268="",P268=0),"NO NAMED EXECUTOR",IF(AND(H268="Full",N(O268)&gt;=3,N(IFERROR(INDEX('Evidence Pulls'!$J$6:$J$125,MATCH($J268,'Evidence Pulls'!$A$6:$A$125,0)),""))=0),"Operating claimed with no sample",IF(AND(N(O268)&gt;=3,P268=1),"Operating rests on one individual",IF(AND(G268="MANDATORY",N(O268)&lt;3),"SAFETY GATE: below Operating","OK"))))))))</f>
        <v>No evidence pull assigned</v>
      </c>
    </row>
    <row r="269" customFormat="false" ht="22.35" hidden="false" customHeight="false" outlineLevel="0" collapsed="false">
      <c r="A269" s="17" t="s">
        <v>546</v>
      </c>
      <c r="B269" s="17" t="s">
        <v>492</v>
      </c>
      <c r="C269" s="17" t="s">
        <v>544</v>
      </c>
      <c r="D269" s="17" t="s">
        <v>545</v>
      </c>
      <c r="E269" s="17" t="s">
        <v>119</v>
      </c>
      <c r="F269" s="17"/>
      <c r="G269" s="18" t="s">
        <v>107</v>
      </c>
      <c r="H269" s="18" t="s">
        <v>108</v>
      </c>
      <c r="I269" s="17" t="s">
        <v>460</v>
      </c>
      <c r="J269" s="15"/>
      <c r="K269" s="15"/>
      <c r="L269" s="15"/>
      <c r="M269" s="15"/>
      <c r="N269" s="15"/>
      <c r="O269" s="16" t="str">
        <f aca="false">IFERROR(INDEX(Lists!$B$3:$B$7,MATCH(K269,Lists!$A$3:$A$7,0)),"")</f>
        <v/>
      </c>
      <c r="P269" s="16" t="str">
        <f aca="false">IFERROR(INDEX('Evidence Pulls'!$N$6:$N$125,MATCH($J269,'Evidence Pulls'!$A$6:$A$125,0)),"")</f>
        <v/>
      </c>
      <c r="Q269" s="16" t="str">
        <f aca="false">IFERROR(INDEX('Evidence Pulls'!$G$6:$G$125,MATCH($J269,'Evidence Pulls'!$A$6:$A$125,0)),"")</f>
        <v/>
      </c>
      <c r="R269" s="16" t="str">
        <f aca="false">IFERROR(INDEX('Evidence Pulls'!$O$6:$O$125,MATCH($J269,'Evidence Pulls'!$A$6:$A$125,0)),"")</f>
        <v/>
      </c>
      <c r="S269" s="16" t="str">
        <f aca="false">IF(L269&lt;&gt;"",L269,IF(K269="","Not assessed",IF(N(O269)&gt;=3,"Demonstrated","Gap - remediate")))</f>
        <v>Not assessed</v>
      </c>
      <c r="T269" s="16" t="str">
        <f aca="false">IF(J269="","No evidence pull assigned",IF(COUNTIF('Evidence Pulls'!$A$6:$A$125,J269)=0,"Pull ID not on Evidence Pulls sheet",IF(K269="","Not graded",IF(AND(G269="MANDATORY",L269="Gap - recommend tailoring"),"INVALID: safety-mandatory, not tailorable",IF(OR(P269="",P269=0),"NO NAMED EXECUTOR",IF(AND(H269="Full",N(O269)&gt;=3,N(IFERROR(INDEX('Evidence Pulls'!$J$6:$J$125,MATCH($J269,'Evidence Pulls'!$A$6:$A$125,0)),""))=0),"Operating claimed with no sample",IF(AND(N(O269)&gt;=3,P269=1),"Operating rests on one individual",IF(AND(G269="MANDATORY",N(O269)&lt;3),"SAFETY GATE: below Operating","OK"))))))))</f>
        <v>No evidence pull assigned</v>
      </c>
    </row>
    <row r="270" customFormat="false" ht="22.35" hidden="false" customHeight="false" outlineLevel="0" collapsed="false">
      <c r="A270" s="13" t="s">
        <v>547</v>
      </c>
      <c r="B270" s="13" t="s">
        <v>492</v>
      </c>
      <c r="C270" s="13" t="s">
        <v>544</v>
      </c>
      <c r="D270" s="13" t="s">
        <v>545</v>
      </c>
      <c r="E270" s="13" t="s">
        <v>121</v>
      </c>
      <c r="F270" s="14"/>
      <c r="G270" s="13"/>
      <c r="H270" s="13" t="s">
        <v>103</v>
      </c>
      <c r="I270" s="13" t="s">
        <v>460</v>
      </c>
      <c r="J270" s="15"/>
      <c r="K270" s="15"/>
      <c r="L270" s="15"/>
      <c r="M270" s="15"/>
      <c r="N270" s="15"/>
      <c r="O270" s="16" t="str">
        <f aca="false">IFERROR(INDEX(Lists!$B$3:$B$7,MATCH(K270,Lists!$A$3:$A$7,0)),"")</f>
        <v/>
      </c>
      <c r="P270" s="16" t="str">
        <f aca="false">IFERROR(INDEX('Evidence Pulls'!$N$6:$N$125,MATCH($J270,'Evidence Pulls'!$A$6:$A$125,0)),"")</f>
        <v/>
      </c>
      <c r="Q270" s="16" t="str">
        <f aca="false">IFERROR(INDEX('Evidence Pulls'!$G$6:$G$125,MATCH($J270,'Evidence Pulls'!$A$6:$A$125,0)),"")</f>
        <v/>
      </c>
      <c r="R270" s="16" t="str">
        <f aca="false">IFERROR(INDEX('Evidence Pulls'!$O$6:$O$125,MATCH($J270,'Evidence Pulls'!$A$6:$A$125,0)),"")</f>
        <v/>
      </c>
      <c r="S270" s="16" t="str">
        <f aca="false">IF(L270&lt;&gt;"",L270,IF(K270="","Not assessed",IF(N(O270)&gt;=3,"Demonstrated","Gap - remediate")))</f>
        <v>Not assessed</v>
      </c>
      <c r="T270" s="16" t="str">
        <f aca="false">IF(J270="","No evidence pull assigned",IF(COUNTIF('Evidence Pulls'!$A$6:$A$125,J270)=0,"Pull ID not on Evidence Pulls sheet",IF(K270="","Not graded",IF(AND(G270="MANDATORY",L270="Gap - recommend tailoring"),"INVALID: safety-mandatory, not tailorable",IF(OR(P270="",P270=0),"NO NAMED EXECUTOR",IF(AND(H270="Full",N(O270)&gt;=3,N(IFERROR(INDEX('Evidence Pulls'!$J$6:$J$125,MATCH($J270,'Evidence Pulls'!$A$6:$A$125,0)),""))=0),"Operating claimed with no sample",IF(AND(N(O270)&gt;=3,P270=1),"Operating rests on one individual",IF(AND(G270="MANDATORY",N(O270)&lt;3),"SAFETY GATE: below Operating","OK"))))))))</f>
        <v>No evidence pull assigned</v>
      </c>
    </row>
    <row r="271" customFormat="false" ht="22.35" hidden="false" customHeight="false" outlineLevel="0" collapsed="false">
      <c r="A271" s="13" t="s">
        <v>548</v>
      </c>
      <c r="B271" s="13" t="s">
        <v>492</v>
      </c>
      <c r="C271" s="13" t="s">
        <v>544</v>
      </c>
      <c r="D271" s="13" t="s">
        <v>545</v>
      </c>
      <c r="E271" s="13" t="s">
        <v>158</v>
      </c>
      <c r="F271" s="14"/>
      <c r="G271" s="13"/>
      <c r="H271" s="13" t="s">
        <v>103</v>
      </c>
      <c r="I271" s="13" t="s">
        <v>460</v>
      </c>
      <c r="J271" s="15"/>
      <c r="K271" s="15"/>
      <c r="L271" s="15"/>
      <c r="M271" s="15"/>
      <c r="N271" s="15"/>
      <c r="O271" s="16" t="str">
        <f aca="false">IFERROR(INDEX(Lists!$B$3:$B$7,MATCH(K271,Lists!$A$3:$A$7,0)),"")</f>
        <v/>
      </c>
      <c r="P271" s="16" t="str">
        <f aca="false">IFERROR(INDEX('Evidence Pulls'!$N$6:$N$125,MATCH($J271,'Evidence Pulls'!$A$6:$A$125,0)),"")</f>
        <v/>
      </c>
      <c r="Q271" s="16" t="str">
        <f aca="false">IFERROR(INDEX('Evidence Pulls'!$G$6:$G$125,MATCH($J271,'Evidence Pulls'!$A$6:$A$125,0)),"")</f>
        <v/>
      </c>
      <c r="R271" s="16" t="str">
        <f aca="false">IFERROR(INDEX('Evidence Pulls'!$O$6:$O$125,MATCH($J271,'Evidence Pulls'!$A$6:$A$125,0)),"")</f>
        <v/>
      </c>
      <c r="S271" s="16" t="str">
        <f aca="false">IF(L271&lt;&gt;"",L271,IF(K271="","Not assessed",IF(N(O271)&gt;=3,"Demonstrated","Gap - remediate")))</f>
        <v>Not assessed</v>
      </c>
      <c r="T271" s="16" t="str">
        <f aca="false">IF(J271="","No evidence pull assigned",IF(COUNTIF('Evidence Pulls'!$A$6:$A$125,J271)=0,"Pull ID not on Evidence Pulls sheet",IF(K271="","Not graded",IF(AND(G271="MANDATORY",L271="Gap - recommend tailoring"),"INVALID: safety-mandatory, not tailorable",IF(OR(P271="",P271=0),"NO NAMED EXECUTOR",IF(AND(H271="Full",N(O271)&gt;=3,N(IFERROR(INDEX('Evidence Pulls'!$J$6:$J$125,MATCH($J271,'Evidence Pulls'!$A$6:$A$125,0)),""))=0),"Operating claimed with no sample",IF(AND(N(O271)&gt;=3,P271=1),"Operating rests on one individual",IF(AND(G271="MANDATORY",N(O271)&lt;3),"SAFETY GATE: below Operating","OK"))))))))</f>
        <v>No evidence pull assigned</v>
      </c>
    </row>
    <row r="272" customFormat="false" ht="22.35" hidden="false" customHeight="false" outlineLevel="0" collapsed="false">
      <c r="A272" s="13" t="s">
        <v>549</v>
      </c>
      <c r="B272" s="13" t="s">
        <v>492</v>
      </c>
      <c r="C272" s="13" t="s">
        <v>544</v>
      </c>
      <c r="D272" s="13" t="s">
        <v>545</v>
      </c>
      <c r="E272" s="13" t="s">
        <v>160</v>
      </c>
      <c r="F272" s="14"/>
      <c r="G272" s="13"/>
      <c r="H272" s="13" t="s">
        <v>103</v>
      </c>
      <c r="I272" s="13" t="s">
        <v>460</v>
      </c>
      <c r="J272" s="15"/>
      <c r="K272" s="15"/>
      <c r="L272" s="15"/>
      <c r="M272" s="15"/>
      <c r="N272" s="15"/>
      <c r="O272" s="16" t="str">
        <f aca="false">IFERROR(INDEX(Lists!$B$3:$B$7,MATCH(K272,Lists!$A$3:$A$7,0)),"")</f>
        <v/>
      </c>
      <c r="P272" s="16" t="str">
        <f aca="false">IFERROR(INDEX('Evidence Pulls'!$N$6:$N$125,MATCH($J272,'Evidence Pulls'!$A$6:$A$125,0)),"")</f>
        <v/>
      </c>
      <c r="Q272" s="16" t="str">
        <f aca="false">IFERROR(INDEX('Evidence Pulls'!$G$6:$G$125,MATCH($J272,'Evidence Pulls'!$A$6:$A$125,0)),"")</f>
        <v/>
      </c>
      <c r="R272" s="16" t="str">
        <f aca="false">IFERROR(INDEX('Evidence Pulls'!$O$6:$O$125,MATCH($J272,'Evidence Pulls'!$A$6:$A$125,0)),"")</f>
        <v/>
      </c>
      <c r="S272" s="16" t="str">
        <f aca="false">IF(L272&lt;&gt;"",L272,IF(K272="","Not assessed",IF(N(O272)&gt;=3,"Demonstrated","Gap - remediate")))</f>
        <v>Not assessed</v>
      </c>
      <c r="T272" s="16" t="str">
        <f aca="false">IF(J272="","No evidence pull assigned",IF(COUNTIF('Evidence Pulls'!$A$6:$A$125,J272)=0,"Pull ID not on Evidence Pulls sheet",IF(K272="","Not graded",IF(AND(G272="MANDATORY",L272="Gap - recommend tailoring"),"INVALID: safety-mandatory, not tailorable",IF(OR(P272="",P272=0),"NO NAMED EXECUTOR",IF(AND(H272="Full",N(O272)&gt;=3,N(IFERROR(INDEX('Evidence Pulls'!$J$6:$J$125,MATCH($J272,'Evidence Pulls'!$A$6:$A$125,0)),""))=0),"Operating claimed with no sample",IF(AND(N(O272)&gt;=3,P272=1),"Operating rests on one individual",IF(AND(G272="MANDATORY",N(O272)&lt;3),"SAFETY GATE: below Operating","OK"))))))))</f>
        <v>No evidence pull assigned</v>
      </c>
    </row>
    <row r="273" customFormat="false" ht="22.35" hidden="false" customHeight="false" outlineLevel="0" collapsed="false">
      <c r="A273" s="13" t="s">
        <v>550</v>
      </c>
      <c r="B273" s="13" t="s">
        <v>492</v>
      </c>
      <c r="C273" s="13" t="s">
        <v>544</v>
      </c>
      <c r="D273" s="13" t="s">
        <v>545</v>
      </c>
      <c r="E273" s="13" t="s">
        <v>162</v>
      </c>
      <c r="F273" s="14"/>
      <c r="G273" s="13"/>
      <c r="H273" s="13" t="s">
        <v>103</v>
      </c>
      <c r="I273" s="13" t="s">
        <v>460</v>
      </c>
      <c r="J273" s="15"/>
      <c r="K273" s="15"/>
      <c r="L273" s="15"/>
      <c r="M273" s="15"/>
      <c r="N273" s="15"/>
      <c r="O273" s="16" t="str">
        <f aca="false">IFERROR(INDEX(Lists!$B$3:$B$7,MATCH(K273,Lists!$A$3:$A$7,0)),"")</f>
        <v/>
      </c>
      <c r="P273" s="16" t="str">
        <f aca="false">IFERROR(INDEX('Evidence Pulls'!$N$6:$N$125,MATCH($J273,'Evidence Pulls'!$A$6:$A$125,0)),"")</f>
        <v/>
      </c>
      <c r="Q273" s="16" t="str">
        <f aca="false">IFERROR(INDEX('Evidence Pulls'!$G$6:$G$125,MATCH($J273,'Evidence Pulls'!$A$6:$A$125,0)),"")</f>
        <v/>
      </c>
      <c r="R273" s="16" t="str">
        <f aca="false">IFERROR(INDEX('Evidence Pulls'!$O$6:$O$125,MATCH($J273,'Evidence Pulls'!$A$6:$A$125,0)),"")</f>
        <v/>
      </c>
      <c r="S273" s="16" t="str">
        <f aca="false">IF(L273&lt;&gt;"",L273,IF(K273="","Not assessed",IF(N(O273)&gt;=3,"Demonstrated","Gap - remediate")))</f>
        <v>Not assessed</v>
      </c>
      <c r="T273" s="16" t="str">
        <f aca="false">IF(J273="","No evidence pull assigned",IF(COUNTIF('Evidence Pulls'!$A$6:$A$125,J273)=0,"Pull ID not on Evidence Pulls sheet",IF(K273="","Not graded",IF(AND(G273="MANDATORY",L273="Gap - recommend tailoring"),"INVALID: safety-mandatory, not tailorable",IF(OR(P273="",P273=0),"NO NAMED EXECUTOR",IF(AND(H273="Full",N(O273)&gt;=3,N(IFERROR(INDEX('Evidence Pulls'!$J$6:$J$125,MATCH($J273,'Evidence Pulls'!$A$6:$A$125,0)),""))=0),"Operating claimed with no sample",IF(AND(N(O273)&gt;=3,P273=1),"Operating rests on one individual",IF(AND(G273="MANDATORY",N(O273)&lt;3),"SAFETY GATE: below Operating","OK"))))))))</f>
        <v>No evidence pull assigned</v>
      </c>
    </row>
    <row r="274" customFormat="false" ht="22.35" hidden="false" customHeight="false" outlineLevel="0" collapsed="false">
      <c r="A274" s="13" t="s">
        <v>551</v>
      </c>
      <c r="B274" s="13" t="s">
        <v>492</v>
      </c>
      <c r="C274" s="13" t="s">
        <v>544</v>
      </c>
      <c r="D274" s="13" t="s">
        <v>545</v>
      </c>
      <c r="E274" s="13" t="s">
        <v>164</v>
      </c>
      <c r="F274" s="14"/>
      <c r="G274" s="13"/>
      <c r="H274" s="13" t="s">
        <v>103</v>
      </c>
      <c r="I274" s="13" t="s">
        <v>460</v>
      </c>
      <c r="J274" s="15"/>
      <c r="K274" s="15"/>
      <c r="L274" s="15"/>
      <c r="M274" s="15"/>
      <c r="N274" s="15"/>
      <c r="O274" s="16" t="str">
        <f aca="false">IFERROR(INDEX(Lists!$B$3:$B$7,MATCH(K274,Lists!$A$3:$A$7,0)),"")</f>
        <v/>
      </c>
      <c r="P274" s="16" t="str">
        <f aca="false">IFERROR(INDEX('Evidence Pulls'!$N$6:$N$125,MATCH($J274,'Evidence Pulls'!$A$6:$A$125,0)),"")</f>
        <v/>
      </c>
      <c r="Q274" s="16" t="str">
        <f aca="false">IFERROR(INDEX('Evidence Pulls'!$G$6:$G$125,MATCH($J274,'Evidence Pulls'!$A$6:$A$125,0)),"")</f>
        <v/>
      </c>
      <c r="R274" s="16" t="str">
        <f aca="false">IFERROR(INDEX('Evidence Pulls'!$O$6:$O$125,MATCH($J274,'Evidence Pulls'!$A$6:$A$125,0)),"")</f>
        <v/>
      </c>
      <c r="S274" s="16" t="str">
        <f aca="false">IF(L274&lt;&gt;"",L274,IF(K274="","Not assessed",IF(N(O274)&gt;=3,"Demonstrated","Gap - remediate")))</f>
        <v>Not assessed</v>
      </c>
      <c r="T274" s="16" t="str">
        <f aca="false">IF(J274="","No evidence pull assigned",IF(COUNTIF('Evidence Pulls'!$A$6:$A$125,J274)=0,"Pull ID not on Evidence Pulls sheet",IF(K274="","Not graded",IF(AND(G274="MANDATORY",L274="Gap - recommend tailoring"),"INVALID: safety-mandatory, not tailorable",IF(OR(P274="",P274=0),"NO NAMED EXECUTOR",IF(AND(H274="Full",N(O274)&gt;=3,N(IFERROR(INDEX('Evidence Pulls'!$J$6:$J$125,MATCH($J274,'Evidence Pulls'!$A$6:$A$125,0)),""))=0),"Operating claimed with no sample",IF(AND(N(O274)&gt;=3,P274=1),"Operating rests on one individual",IF(AND(G274="MANDATORY",N(O274)&lt;3),"SAFETY GATE: below Operating","OK"))))))))</f>
        <v>No evidence pull assigned</v>
      </c>
    </row>
    <row r="275" customFormat="false" ht="22.35" hidden="false" customHeight="false" outlineLevel="0" collapsed="false">
      <c r="A275" s="13" t="s">
        <v>552</v>
      </c>
      <c r="B275" s="13" t="s">
        <v>492</v>
      </c>
      <c r="C275" s="13" t="s">
        <v>544</v>
      </c>
      <c r="D275" s="13" t="s">
        <v>545</v>
      </c>
      <c r="E275" s="13" t="s">
        <v>166</v>
      </c>
      <c r="F275" s="14"/>
      <c r="G275" s="13"/>
      <c r="H275" s="13" t="s">
        <v>103</v>
      </c>
      <c r="I275" s="13" t="s">
        <v>460</v>
      </c>
      <c r="J275" s="15"/>
      <c r="K275" s="15"/>
      <c r="L275" s="15"/>
      <c r="M275" s="15"/>
      <c r="N275" s="15"/>
      <c r="O275" s="16" t="str">
        <f aca="false">IFERROR(INDEX(Lists!$B$3:$B$7,MATCH(K275,Lists!$A$3:$A$7,0)),"")</f>
        <v/>
      </c>
      <c r="P275" s="16" t="str">
        <f aca="false">IFERROR(INDEX('Evidence Pulls'!$N$6:$N$125,MATCH($J275,'Evidence Pulls'!$A$6:$A$125,0)),"")</f>
        <v/>
      </c>
      <c r="Q275" s="16" t="str">
        <f aca="false">IFERROR(INDEX('Evidence Pulls'!$G$6:$G$125,MATCH($J275,'Evidence Pulls'!$A$6:$A$125,0)),"")</f>
        <v/>
      </c>
      <c r="R275" s="16" t="str">
        <f aca="false">IFERROR(INDEX('Evidence Pulls'!$O$6:$O$125,MATCH($J275,'Evidence Pulls'!$A$6:$A$125,0)),"")</f>
        <v/>
      </c>
      <c r="S275" s="16" t="str">
        <f aca="false">IF(L275&lt;&gt;"",L275,IF(K275="","Not assessed",IF(N(O275)&gt;=3,"Demonstrated","Gap - remediate")))</f>
        <v>Not assessed</v>
      </c>
      <c r="T275" s="16" t="str">
        <f aca="false">IF(J275="","No evidence pull assigned",IF(COUNTIF('Evidence Pulls'!$A$6:$A$125,J275)=0,"Pull ID not on Evidence Pulls sheet",IF(K275="","Not graded",IF(AND(G275="MANDATORY",L275="Gap - recommend tailoring"),"INVALID: safety-mandatory, not tailorable",IF(OR(P275="",P275=0),"NO NAMED EXECUTOR",IF(AND(H275="Full",N(O275)&gt;=3,N(IFERROR(INDEX('Evidence Pulls'!$J$6:$J$125,MATCH($J275,'Evidence Pulls'!$A$6:$A$125,0)),""))=0),"Operating claimed with no sample",IF(AND(N(O275)&gt;=3,P275=1),"Operating rests on one individual",IF(AND(G275="MANDATORY",N(O275)&lt;3),"SAFETY GATE: below Operating","OK"))))))))</f>
        <v>No evidence pull assigned</v>
      </c>
    </row>
    <row r="276" customFormat="false" ht="22.35" hidden="false" customHeight="false" outlineLevel="0" collapsed="false">
      <c r="A276" s="13" t="s">
        <v>553</v>
      </c>
      <c r="B276" s="13" t="s">
        <v>492</v>
      </c>
      <c r="C276" s="13" t="s">
        <v>554</v>
      </c>
      <c r="D276" s="13" t="s">
        <v>555</v>
      </c>
      <c r="E276" s="13" t="s">
        <v>102</v>
      </c>
      <c r="F276" s="14"/>
      <c r="G276" s="13"/>
      <c r="H276" s="13" t="s">
        <v>103</v>
      </c>
      <c r="I276" s="13" t="s">
        <v>460</v>
      </c>
      <c r="J276" s="15"/>
      <c r="K276" s="15"/>
      <c r="L276" s="15"/>
      <c r="M276" s="15"/>
      <c r="N276" s="15"/>
      <c r="O276" s="16" t="str">
        <f aca="false">IFERROR(INDEX(Lists!$B$3:$B$7,MATCH(K276,Lists!$A$3:$A$7,0)),"")</f>
        <v/>
      </c>
      <c r="P276" s="16" t="str">
        <f aca="false">IFERROR(INDEX('Evidence Pulls'!$N$6:$N$125,MATCH($J276,'Evidence Pulls'!$A$6:$A$125,0)),"")</f>
        <v/>
      </c>
      <c r="Q276" s="16" t="str">
        <f aca="false">IFERROR(INDEX('Evidence Pulls'!$G$6:$G$125,MATCH($J276,'Evidence Pulls'!$A$6:$A$125,0)),"")</f>
        <v/>
      </c>
      <c r="R276" s="16" t="str">
        <f aca="false">IFERROR(INDEX('Evidence Pulls'!$O$6:$O$125,MATCH($J276,'Evidence Pulls'!$A$6:$A$125,0)),"")</f>
        <v/>
      </c>
      <c r="S276" s="16" t="str">
        <f aca="false">IF(L276&lt;&gt;"",L276,IF(K276="","Not assessed",IF(N(O276)&gt;=3,"Demonstrated","Gap - remediate")))</f>
        <v>Not assessed</v>
      </c>
      <c r="T276" s="16" t="str">
        <f aca="false">IF(J276="","No evidence pull assigned",IF(COUNTIF('Evidence Pulls'!$A$6:$A$125,J276)=0,"Pull ID not on Evidence Pulls sheet",IF(K276="","Not graded",IF(AND(G276="MANDATORY",L276="Gap - recommend tailoring"),"INVALID: safety-mandatory, not tailorable",IF(OR(P276="",P276=0),"NO NAMED EXECUTOR",IF(AND(H276="Full",N(O276)&gt;=3,N(IFERROR(INDEX('Evidence Pulls'!$J$6:$J$125,MATCH($J276,'Evidence Pulls'!$A$6:$A$125,0)),""))=0),"Operating claimed with no sample",IF(AND(N(O276)&gt;=3,P276=1),"Operating rests on one individual",IF(AND(G276="MANDATORY",N(O276)&lt;3),"SAFETY GATE: below Operating","OK"))))))))</f>
        <v>No evidence pull assigned</v>
      </c>
    </row>
    <row r="277" customFormat="false" ht="22.35" hidden="false" customHeight="false" outlineLevel="0" collapsed="false">
      <c r="A277" s="13" t="s">
        <v>556</v>
      </c>
      <c r="B277" s="13" t="s">
        <v>492</v>
      </c>
      <c r="C277" s="13" t="s">
        <v>557</v>
      </c>
      <c r="D277" s="13" t="s">
        <v>558</v>
      </c>
      <c r="E277" s="13" t="s">
        <v>117</v>
      </c>
      <c r="F277" s="14"/>
      <c r="G277" s="13"/>
      <c r="H277" s="13" t="s">
        <v>103</v>
      </c>
      <c r="I277" s="13" t="s">
        <v>460</v>
      </c>
      <c r="J277" s="15"/>
      <c r="K277" s="15"/>
      <c r="L277" s="15"/>
      <c r="M277" s="15"/>
      <c r="N277" s="15"/>
      <c r="O277" s="16" t="str">
        <f aca="false">IFERROR(INDEX(Lists!$B$3:$B$7,MATCH(K277,Lists!$A$3:$A$7,0)),"")</f>
        <v/>
      </c>
      <c r="P277" s="16" t="str">
        <f aca="false">IFERROR(INDEX('Evidence Pulls'!$N$6:$N$125,MATCH($J277,'Evidence Pulls'!$A$6:$A$125,0)),"")</f>
        <v/>
      </c>
      <c r="Q277" s="16" t="str">
        <f aca="false">IFERROR(INDEX('Evidence Pulls'!$G$6:$G$125,MATCH($J277,'Evidence Pulls'!$A$6:$A$125,0)),"")</f>
        <v/>
      </c>
      <c r="R277" s="16" t="str">
        <f aca="false">IFERROR(INDEX('Evidence Pulls'!$O$6:$O$125,MATCH($J277,'Evidence Pulls'!$A$6:$A$125,0)),"")</f>
        <v/>
      </c>
      <c r="S277" s="16" t="str">
        <f aca="false">IF(L277&lt;&gt;"",L277,IF(K277="","Not assessed",IF(N(O277)&gt;=3,"Demonstrated","Gap - remediate")))</f>
        <v>Not assessed</v>
      </c>
      <c r="T277" s="16" t="str">
        <f aca="false">IF(J277="","No evidence pull assigned",IF(COUNTIF('Evidence Pulls'!$A$6:$A$125,J277)=0,"Pull ID not on Evidence Pulls sheet",IF(K277="","Not graded",IF(AND(G277="MANDATORY",L277="Gap - recommend tailoring"),"INVALID: safety-mandatory, not tailorable",IF(OR(P277="",P277=0),"NO NAMED EXECUTOR",IF(AND(H277="Full",N(O277)&gt;=3,N(IFERROR(INDEX('Evidence Pulls'!$J$6:$J$125,MATCH($J277,'Evidence Pulls'!$A$6:$A$125,0)),""))=0),"Operating claimed with no sample",IF(AND(N(O277)&gt;=3,P277=1),"Operating rests on one individual",IF(AND(G277="MANDATORY",N(O277)&lt;3),"SAFETY GATE: below Operating","OK"))))))))</f>
        <v>No evidence pull assigned</v>
      </c>
    </row>
    <row r="278" customFormat="false" ht="22.35" hidden="false" customHeight="false" outlineLevel="0" collapsed="false">
      <c r="A278" s="13" t="s">
        <v>559</v>
      </c>
      <c r="B278" s="13" t="s">
        <v>492</v>
      </c>
      <c r="C278" s="13" t="s">
        <v>557</v>
      </c>
      <c r="D278" s="13" t="s">
        <v>558</v>
      </c>
      <c r="E278" s="13" t="s">
        <v>119</v>
      </c>
      <c r="F278" s="14"/>
      <c r="G278" s="13"/>
      <c r="H278" s="13" t="s">
        <v>103</v>
      </c>
      <c r="I278" s="13" t="s">
        <v>460</v>
      </c>
      <c r="J278" s="15"/>
      <c r="K278" s="15"/>
      <c r="L278" s="15"/>
      <c r="M278" s="15"/>
      <c r="N278" s="15"/>
      <c r="O278" s="16" t="str">
        <f aca="false">IFERROR(INDEX(Lists!$B$3:$B$7,MATCH(K278,Lists!$A$3:$A$7,0)),"")</f>
        <v/>
      </c>
      <c r="P278" s="16" t="str">
        <f aca="false">IFERROR(INDEX('Evidence Pulls'!$N$6:$N$125,MATCH($J278,'Evidence Pulls'!$A$6:$A$125,0)),"")</f>
        <v/>
      </c>
      <c r="Q278" s="16" t="str">
        <f aca="false">IFERROR(INDEX('Evidence Pulls'!$G$6:$G$125,MATCH($J278,'Evidence Pulls'!$A$6:$A$125,0)),"")</f>
        <v/>
      </c>
      <c r="R278" s="16" t="str">
        <f aca="false">IFERROR(INDEX('Evidence Pulls'!$O$6:$O$125,MATCH($J278,'Evidence Pulls'!$A$6:$A$125,0)),"")</f>
        <v/>
      </c>
      <c r="S278" s="16" t="str">
        <f aca="false">IF(L278&lt;&gt;"",L278,IF(K278="","Not assessed",IF(N(O278)&gt;=3,"Demonstrated","Gap - remediate")))</f>
        <v>Not assessed</v>
      </c>
      <c r="T278" s="16" t="str">
        <f aca="false">IF(J278="","No evidence pull assigned",IF(COUNTIF('Evidence Pulls'!$A$6:$A$125,J278)=0,"Pull ID not on Evidence Pulls sheet",IF(K278="","Not graded",IF(AND(G278="MANDATORY",L278="Gap - recommend tailoring"),"INVALID: safety-mandatory, not tailorable",IF(OR(P278="",P278=0),"NO NAMED EXECUTOR",IF(AND(H278="Full",N(O278)&gt;=3,N(IFERROR(INDEX('Evidence Pulls'!$J$6:$J$125,MATCH($J278,'Evidence Pulls'!$A$6:$A$125,0)),""))=0),"Operating claimed with no sample",IF(AND(N(O278)&gt;=3,P278=1),"Operating rests on one individual",IF(AND(G278="MANDATORY",N(O278)&lt;3),"SAFETY GATE: below Operating","OK"))))))))</f>
        <v>No evidence pull assigned</v>
      </c>
    </row>
    <row r="279" customFormat="false" ht="22.35" hidden="false" customHeight="false" outlineLevel="0" collapsed="false">
      <c r="A279" s="13" t="s">
        <v>560</v>
      </c>
      <c r="B279" s="13" t="s">
        <v>492</v>
      </c>
      <c r="C279" s="13" t="s">
        <v>557</v>
      </c>
      <c r="D279" s="13" t="s">
        <v>558</v>
      </c>
      <c r="E279" s="13" t="s">
        <v>121</v>
      </c>
      <c r="F279" s="14"/>
      <c r="G279" s="13"/>
      <c r="H279" s="13" t="s">
        <v>103</v>
      </c>
      <c r="I279" s="13" t="s">
        <v>460</v>
      </c>
      <c r="J279" s="15"/>
      <c r="K279" s="15"/>
      <c r="L279" s="15"/>
      <c r="M279" s="15"/>
      <c r="N279" s="15"/>
      <c r="O279" s="16" t="str">
        <f aca="false">IFERROR(INDEX(Lists!$B$3:$B$7,MATCH(K279,Lists!$A$3:$A$7,0)),"")</f>
        <v/>
      </c>
      <c r="P279" s="16" t="str">
        <f aca="false">IFERROR(INDEX('Evidence Pulls'!$N$6:$N$125,MATCH($J279,'Evidence Pulls'!$A$6:$A$125,0)),"")</f>
        <v/>
      </c>
      <c r="Q279" s="16" t="str">
        <f aca="false">IFERROR(INDEX('Evidence Pulls'!$G$6:$G$125,MATCH($J279,'Evidence Pulls'!$A$6:$A$125,0)),"")</f>
        <v/>
      </c>
      <c r="R279" s="16" t="str">
        <f aca="false">IFERROR(INDEX('Evidence Pulls'!$O$6:$O$125,MATCH($J279,'Evidence Pulls'!$A$6:$A$125,0)),"")</f>
        <v/>
      </c>
      <c r="S279" s="16" t="str">
        <f aca="false">IF(L279&lt;&gt;"",L279,IF(K279="","Not assessed",IF(N(O279)&gt;=3,"Demonstrated","Gap - remediate")))</f>
        <v>Not assessed</v>
      </c>
      <c r="T279" s="16" t="str">
        <f aca="false">IF(J279="","No evidence pull assigned",IF(COUNTIF('Evidence Pulls'!$A$6:$A$125,J279)=0,"Pull ID not on Evidence Pulls sheet",IF(K279="","Not graded",IF(AND(G279="MANDATORY",L279="Gap - recommend tailoring"),"INVALID: safety-mandatory, not tailorable",IF(OR(P279="",P279=0),"NO NAMED EXECUTOR",IF(AND(H279="Full",N(O279)&gt;=3,N(IFERROR(INDEX('Evidence Pulls'!$J$6:$J$125,MATCH($J279,'Evidence Pulls'!$A$6:$A$125,0)),""))=0),"Operating claimed with no sample",IF(AND(N(O279)&gt;=3,P279=1),"Operating rests on one individual",IF(AND(G279="MANDATORY",N(O279)&lt;3),"SAFETY GATE: below Operating","OK"))))))))</f>
        <v>No evidence pull assigned</v>
      </c>
    </row>
  </sheetData>
  <autoFilter ref="A5:T279"/>
  <dataValidations count="3">
    <dataValidation allowBlank="true" errorStyle="stop" operator="between" showDropDown="false" showErrorMessage="false" showInputMessage="false" sqref="K6:K279" type="list">
      <formula1>Lists!$A$3:$A$7</formula1>
      <formula2>0</formula2>
    </dataValidation>
    <dataValidation allowBlank="true" errorStyle="stop" operator="between" showDropDown="false" showErrorMessage="false" showInputMessage="false" sqref="L6:L279" type="list">
      <formula1>Lists!$D$3:$D$5</formula1>
      <formula2>0</formula2>
    </dataValidation>
    <dataValidation allowBlank="true" errorStyle="stop" operator="between" showDropDown="false" showErrorMessage="false" showInputMessage="false" sqref="H6:H279" type="list">
      <formula1>"Full,Screen"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26"/>
    <col collapsed="false" customWidth="true" hidden="false" outlineLevel="0" max="4" min="4" style="1" width="22"/>
    <col collapsed="false" customWidth="true" hidden="false" outlineLevel="0" max="5" min="5" style="1" width="24"/>
    <col collapsed="false" customWidth="true" hidden="false" outlineLevel="0" max="6" min="6" style="1" width="32"/>
    <col collapsed="false" customWidth="true" hidden="false" outlineLevel="0" max="8" min="7" style="1" width="26"/>
    <col collapsed="false" customWidth="true" hidden="false" outlineLevel="0" max="9" min="9" style="1" width="34"/>
    <col collapsed="false" customWidth="true" hidden="false" outlineLevel="0" max="10" min="10" style="1" width="10"/>
    <col collapsed="false" customWidth="true" hidden="false" outlineLevel="0" max="11" min="11" style="1" width="12"/>
    <col collapsed="false" customWidth="true" hidden="false" outlineLevel="0" max="12" min="12" style="1" width="20"/>
    <col collapsed="false" customWidth="true" hidden="false" outlineLevel="0" max="13" min="13" style="1" width="30"/>
    <col collapsed="false" customWidth="true" hidden="false" outlineLevel="0" max="14" min="14" style="1" width="11"/>
    <col collapsed="false" customWidth="true" hidden="false" outlineLevel="0" max="15" min="15" style="1" width="14"/>
    <col collapsed="false" customWidth="true" hidden="false" outlineLevel="0" max="16" min="16" style="1" width="12"/>
    <col collapsed="false" customWidth="true" hidden="false" outlineLevel="0" max="17" min="17" style="1" width="16"/>
    <col collapsed="false" customWidth="true" hidden="false" outlineLevel="0" max="18" min="18" style="1" width="13"/>
  </cols>
  <sheetData>
    <row r="1" customFormat="false" ht="17.35" hidden="false" customHeight="false" outlineLevel="0" collapsed="false">
      <c r="A1" s="2" t="s">
        <v>561</v>
      </c>
    </row>
    <row r="2" customFormat="false" ht="15" hidden="false" customHeight="false" outlineLevel="0" collapsed="false">
      <c r="A2" s="11" t="s">
        <v>562</v>
      </c>
    </row>
    <row r="3" customFormat="false" ht="15" hidden="false" customHeight="false" outlineLevel="0" collapsed="false">
      <c r="A3" s="3" t="s">
        <v>563</v>
      </c>
    </row>
    <row r="5" customFormat="false" ht="45.75" hidden="false" customHeight="true" outlineLevel="0" collapsed="false">
      <c r="A5" s="6" t="s">
        <v>8</v>
      </c>
      <c r="B5" s="6" t="s">
        <v>11</v>
      </c>
      <c r="C5" s="6" t="s">
        <v>14</v>
      </c>
      <c r="D5" s="6" t="s">
        <v>17</v>
      </c>
      <c r="E5" s="6" t="s">
        <v>20</v>
      </c>
      <c r="F5" s="6" t="s">
        <v>564</v>
      </c>
      <c r="G5" s="6" t="s">
        <v>26</v>
      </c>
      <c r="H5" s="6" t="s">
        <v>29</v>
      </c>
      <c r="I5" s="6" t="s">
        <v>565</v>
      </c>
      <c r="J5" s="6" t="s">
        <v>35</v>
      </c>
      <c r="K5" s="6" t="s">
        <v>38</v>
      </c>
      <c r="L5" s="6" t="s">
        <v>566</v>
      </c>
      <c r="M5" s="6" t="s">
        <v>44</v>
      </c>
      <c r="N5" s="6" t="s">
        <v>94</v>
      </c>
      <c r="O5" s="6" t="s">
        <v>95</v>
      </c>
      <c r="P5" s="6" t="s">
        <v>567</v>
      </c>
      <c r="Q5" s="6" t="s">
        <v>568</v>
      </c>
      <c r="R5" s="6" t="s">
        <v>569</v>
      </c>
    </row>
    <row r="6" customFormat="false" ht="22.35" hidden="false" customHeight="false" outlineLevel="0" collapsed="false">
      <c r="A6" s="19" t="s">
        <v>570</v>
      </c>
      <c r="B6" s="19" t="s">
        <v>571</v>
      </c>
      <c r="C6" s="19" t="s">
        <v>572</v>
      </c>
      <c r="D6" s="19" t="s">
        <v>573</v>
      </c>
      <c r="E6" s="19" t="s">
        <v>574</v>
      </c>
      <c r="F6" s="19" t="s">
        <v>575</v>
      </c>
      <c r="G6" s="19" t="s">
        <v>576</v>
      </c>
      <c r="H6" s="19" t="s">
        <v>577</v>
      </c>
      <c r="I6" s="19" t="s">
        <v>578</v>
      </c>
      <c r="J6" s="19" t="n">
        <v>12</v>
      </c>
      <c r="K6" s="19" t="n">
        <v>8</v>
      </c>
      <c r="L6" s="19" t="s">
        <v>579</v>
      </c>
      <c r="M6" s="19" t="s">
        <v>580</v>
      </c>
      <c r="N6" s="20" t="n">
        <f aca="false">IF(TRIM(F6)="",0,LEN(TRIM(F6))-LEN(SUBSTITUTE(TRIM(F6),";",""))+1)</f>
        <v>2</v>
      </c>
      <c r="O6" s="20" t="str">
        <f aca="false">IF($A6="","",IF(N6=0,"Unassigned",IF(N6=1,"Single point","Staffed")))</f>
        <v>Staffed</v>
      </c>
      <c r="P6" s="21" t="n">
        <f aca="false">IF(OR(J6="",J6=0),"",K6/J6)</f>
        <v>0.666666666666667</v>
      </c>
      <c r="Q6" s="20" t="n">
        <f aca="false">IF($A6="",0,COUNTIF('Full Register'!$J$6:$J$279,$A6))</f>
        <v>0</v>
      </c>
      <c r="R6" s="20" t="str">
        <f aca="false">IF($A6="","",IF(COUNTIFS('Full Register'!$J$6:$J$279,$A6,'Full Register'!$H$6:$H$279,"Full")&gt;0,"Full","Screen"))</f>
        <v>Screen</v>
      </c>
    </row>
    <row r="7" customFormat="false" ht="15" hidden="false" customHeight="false" outlineLevel="0" collapsed="false">
      <c r="A7" s="15"/>
      <c r="B7" s="15"/>
      <c r="C7" s="15"/>
      <c r="D7" s="15"/>
      <c r="E7" s="15"/>
      <c r="F7" s="15"/>
      <c r="G7" s="15"/>
      <c r="H7" s="15"/>
      <c r="I7" s="15"/>
      <c r="J7" s="15"/>
      <c r="K7" s="15"/>
      <c r="L7" s="15"/>
      <c r="M7" s="15"/>
      <c r="N7" s="20" t="n">
        <f aca="false">IF(TRIM(F7)="",0,LEN(TRIM(F7))-LEN(SUBSTITUTE(TRIM(F7),";",""))+1)</f>
        <v>0</v>
      </c>
      <c r="O7" s="20" t="str">
        <f aca="false">IF($A7="","",IF(N7=0,"Unassigned",IF(N7=1,"Single point","Staffed")))</f>
        <v/>
      </c>
      <c r="P7" s="21" t="str">
        <f aca="false">IF(OR(J7="",J7=0),"",K7/J7)</f>
        <v/>
      </c>
      <c r="Q7" s="20" t="n">
        <f aca="false">IF($A7="",0,COUNTIF('Full Register'!$J$6:$J$279,$A7))</f>
        <v>0</v>
      </c>
      <c r="R7" s="20" t="str">
        <f aca="false">IF($A7="","",IF(COUNTIFS('Full Register'!$J$6:$J$279,$A7,'Full Register'!$H$6:$H$279,"Full")&gt;0,"Full","Screen"))</f>
        <v/>
      </c>
    </row>
    <row r="8" customFormat="false" ht="15" hidden="false" customHeight="false" outlineLevel="0" collapsed="false">
      <c r="A8" s="15"/>
      <c r="B8" s="15"/>
      <c r="C8" s="15"/>
      <c r="D8" s="15"/>
      <c r="E8" s="15"/>
      <c r="F8" s="15"/>
      <c r="G8" s="15"/>
      <c r="H8" s="15"/>
      <c r="I8" s="15"/>
      <c r="J8" s="15"/>
      <c r="K8" s="15"/>
      <c r="L8" s="15"/>
      <c r="M8" s="15"/>
      <c r="N8" s="20" t="n">
        <f aca="false">IF(TRIM(F8)="",0,LEN(TRIM(F8))-LEN(SUBSTITUTE(TRIM(F8),";",""))+1)</f>
        <v>0</v>
      </c>
      <c r="O8" s="20" t="str">
        <f aca="false">IF($A8="","",IF(N8=0,"Unassigned",IF(N8=1,"Single point","Staffed")))</f>
        <v/>
      </c>
      <c r="P8" s="21" t="str">
        <f aca="false">IF(OR(J8="",J8=0),"",K8/J8)</f>
        <v/>
      </c>
      <c r="Q8" s="20" t="n">
        <f aca="false">IF($A8="",0,COUNTIF('Full Register'!$J$6:$J$279,$A8))</f>
        <v>0</v>
      </c>
      <c r="R8" s="20" t="str">
        <f aca="false">IF($A8="","",IF(COUNTIFS('Full Register'!$J$6:$J$279,$A8,'Full Register'!$H$6:$H$279,"Full")&gt;0,"Full","Screen"))</f>
        <v/>
      </c>
    </row>
    <row r="9" customFormat="false" ht="15" hidden="false" customHeight="false" outlineLevel="0" collapsed="false">
      <c r="A9" s="15"/>
      <c r="B9" s="15"/>
      <c r="C9" s="15"/>
      <c r="D9" s="15"/>
      <c r="E9" s="15"/>
      <c r="F9" s="15"/>
      <c r="G9" s="15"/>
      <c r="H9" s="15"/>
      <c r="I9" s="15"/>
      <c r="J9" s="15"/>
      <c r="K9" s="15"/>
      <c r="L9" s="15"/>
      <c r="M9" s="15"/>
      <c r="N9" s="20" t="n">
        <f aca="false">IF(TRIM(F9)="",0,LEN(TRIM(F9))-LEN(SUBSTITUTE(TRIM(F9),";",""))+1)</f>
        <v>0</v>
      </c>
      <c r="O9" s="20" t="str">
        <f aca="false">IF($A9="","",IF(N9=0,"Unassigned",IF(N9=1,"Single point","Staffed")))</f>
        <v/>
      </c>
      <c r="P9" s="21" t="str">
        <f aca="false">IF(OR(J9="",J9=0),"",K9/J9)</f>
        <v/>
      </c>
      <c r="Q9" s="20" t="n">
        <f aca="false">IF($A9="",0,COUNTIF('Full Register'!$J$6:$J$279,$A9))</f>
        <v>0</v>
      </c>
      <c r="R9" s="20" t="str">
        <f aca="false">IF($A9="","",IF(COUNTIFS('Full Register'!$J$6:$J$279,$A9,'Full Register'!$H$6:$H$279,"Full")&gt;0,"Full","Screen"))</f>
        <v/>
      </c>
    </row>
    <row r="10" customFormat="false" ht="15" hidden="false" customHeight="false" outlineLevel="0" collapsed="false">
      <c r="A10" s="15"/>
      <c r="B10" s="15"/>
      <c r="C10" s="15"/>
      <c r="D10" s="15"/>
      <c r="E10" s="15"/>
      <c r="F10" s="15"/>
      <c r="G10" s="15"/>
      <c r="H10" s="15"/>
      <c r="I10" s="15"/>
      <c r="J10" s="15"/>
      <c r="K10" s="15"/>
      <c r="L10" s="15"/>
      <c r="M10" s="15"/>
      <c r="N10" s="20" t="n">
        <f aca="false">IF(TRIM(F10)="",0,LEN(TRIM(F10))-LEN(SUBSTITUTE(TRIM(F10),";",""))+1)</f>
        <v>0</v>
      </c>
      <c r="O10" s="20" t="str">
        <f aca="false">IF($A10="","",IF(N10=0,"Unassigned",IF(N10=1,"Single point","Staffed")))</f>
        <v/>
      </c>
      <c r="P10" s="21" t="str">
        <f aca="false">IF(OR(J10="",J10=0),"",K10/J10)</f>
        <v/>
      </c>
      <c r="Q10" s="20" t="n">
        <f aca="false">IF($A10="",0,COUNTIF('Full Register'!$J$6:$J$279,$A10))</f>
        <v>0</v>
      </c>
      <c r="R10" s="20" t="str">
        <f aca="false">IF($A10="","",IF(COUNTIFS('Full Register'!$J$6:$J$279,$A10,'Full Register'!$H$6:$H$279,"Full")&gt;0,"Full","Screen"))</f>
        <v/>
      </c>
    </row>
    <row r="11" customFormat="false" ht="15" hidden="false" customHeight="false" outlineLevel="0" collapsed="false">
      <c r="A11" s="15"/>
      <c r="B11" s="15"/>
      <c r="C11" s="15"/>
      <c r="D11" s="15"/>
      <c r="E11" s="15"/>
      <c r="F11" s="15"/>
      <c r="G11" s="15"/>
      <c r="H11" s="15"/>
      <c r="I11" s="15"/>
      <c r="J11" s="15"/>
      <c r="K11" s="15"/>
      <c r="L11" s="15"/>
      <c r="M11" s="15"/>
      <c r="N11" s="20" t="n">
        <f aca="false">IF(TRIM(F11)="",0,LEN(TRIM(F11))-LEN(SUBSTITUTE(TRIM(F11),";",""))+1)</f>
        <v>0</v>
      </c>
      <c r="O11" s="20" t="str">
        <f aca="false">IF($A11="","",IF(N11=0,"Unassigned",IF(N11=1,"Single point","Staffed")))</f>
        <v/>
      </c>
      <c r="P11" s="21" t="str">
        <f aca="false">IF(OR(J11="",J11=0),"",K11/J11)</f>
        <v/>
      </c>
      <c r="Q11" s="20" t="n">
        <f aca="false">IF($A11="",0,COUNTIF('Full Register'!$J$6:$J$279,$A11))</f>
        <v>0</v>
      </c>
      <c r="R11" s="20" t="str">
        <f aca="false">IF($A11="","",IF(COUNTIFS('Full Register'!$J$6:$J$279,$A11,'Full Register'!$H$6:$H$279,"Full")&gt;0,"Full","Screen"))</f>
        <v/>
      </c>
    </row>
    <row r="12" customFormat="false" ht="15" hidden="false" customHeight="false" outlineLevel="0" collapsed="false">
      <c r="A12" s="15"/>
      <c r="B12" s="15"/>
      <c r="C12" s="15"/>
      <c r="D12" s="15"/>
      <c r="E12" s="15"/>
      <c r="F12" s="15"/>
      <c r="G12" s="15"/>
      <c r="H12" s="15"/>
      <c r="I12" s="15"/>
      <c r="J12" s="15"/>
      <c r="K12" s="15"/>
      <c r="L12" s="15"/>
      <c r="M12" s="15"/>
      <c r="N12" s="20" t="n">
        <f aca="false">IF(TRIM(F12)="",0,LEN(TRIM(F12))-LEN(SUBSTITUTE(TRIM(F12),";",""))+1)</f>
        <v>0</v>
      </c>
      <c r="O12" s="20" t="str">
        <f aca="false">IF($A12="","",IF(N12=0,"Unassigned",IF(N12=1,"Single point","Staffed")))</f>
        <v/>
      </c>
      <c r="P12" s="21" t="str">
        <f aca="false">IF(OR(J12="",J12=0),"",K12/J12)</f>
        <v/>
      </c>
      <c r="Q12" s="20" t="n">
        <f aca="false">IF($A12="",0,COUNTIF('Full Register'!$J$6:$J$279,$A12))</f>
        <v>0</v>
      </c>
      <c r="R12" s="20" t="str">
        <f aca="false">IF($A12="","",IF(COUNTIFS('Full Register'!$J$6:$J$279,$A12,'Full Register'!$H$6:$H$279,"Full")&gt;0,"Full","Screen"))</f>
        <v/>
      </c>
    </row>
    <row r="13" customFormat="false" ht="15" hidden="false" customHeight="false" outlineLevel="0" collapsed="false">
      <c r="A13" s="15"/>
      <c r="B13" s="15"/>
      <c r="C13" s="15"/>
      <c r="D13" s="15"/>
      <c r="E13" s="15"/>
      <c r="F13" s="15"/>
      <c r="G13" s="15"/>
      <c r="H13" s="15"/>
      <c r="I13" s="15"/>
      <c r="J13" s="15"/>
      <c r="K13" s="15"/>
      <c r="L13" s="15"/>
      <c r="M13" s="15"/>
      <c r="N13" s="20" t="n">
        <f aca="false">IF(TRIM(F13)="",0,LEN(TRIM(F13))-LEN(SUBSTITUTE(TRIM(F13),";",""))+1)</f>
        <v>0</v>
      </c>
      <c r="O13" s="20" t="str">
        <f aca="false">IF($A13="","",IF(N13=0,"Unassigned",IF(N13=1,"Single point","Staffed")))</f>
        <v/>
      </c>
      <c r="P13" s="21" t="str">
        <f aca="false">IF(OR(J13="",J13=0),"",K13/J13)</f>
        <v/>
      </c>
      <c r="Q13" s="20" t="n">
        <f aca="false">IF($A13="",0,COUNTIF('Full Register'!$J$6:$J$279,$A13))</f>
        <v>0</v>
      </c>
      <c r="R13" s="20" t="str">
        <f aca="false">IF($A13="","",IF(COUNTIFS('Full Register'!$J$6:$J$279,$A13,'Full Register'!$H$6:$H$279,"Full")&gt;0,"Full","Screen"))</f>
        <v/>
      </c>
    </row>
    <row r="14" customFormat="false" ht="15" hidden="false" customHeight="false" outlineLevel="0" collapsed="false">
      <c r="A14" s="15"/>
      <c r="B14" s="15"/>
      <c r="C14" s="15"/>
      <c r="D14" s="15"/>
      <c r="E14" s="15"/>
      <c r="F14" s="15"/>
      <c r="G14" s="15"/>
      <c r="H14" s="15"/>
      <c r="I14" s="15"/>
      <c r="J14" s="15"/>
      <c r="K14" s="15"/>
      <c r="L14" s="15"/>
      <c r="M14" s="15"/>
      <c r="N14" s="20" t="n">
        <f aca="false">IF(TRIM(F14)="",0,LEN(TRIM(F14))-LEN(SUBSTITUTE(TRIM(F14),";",""))+1)</f>
        <v>0</v>
      </c>
      <c r="O14" s="20" t="str">
        <f aca="false">IF($A14="","",IF(N14=0,"Unassigned",IF(N14=1,"Single point","Staffed")))</f>
        <v/>
      </c>
      <c r="P14" s="21" t="str">
        <f aca="false">IF(OR(J14="",J14=0),"",K14/J14)</f>
        <v/>
      </c>
      <c r="Q14" s="20" t="n">
        <f aca="false">IF($A14="",0,COUNTIF('Full Register'!$J$6:$J$279,$A14))</f>
        <v>0</v>
      </c>
      <c r="R14" s="20" t="str">
        <f aca="false">IF($A14="","",IF(COUNTIFS('Full Register'!$J$6:$J$279,$A14,'Full Register'!$H$6:$H$279,"Full")&gt;0,"Full","Screen"))</f>
        <v/>
      </c>
    </row>
    <row r="15" customFormat="false" ht="15" hidden="false" customHeight="false" outlineLevel="0" collapsed="false">
      <c r="A15" s="15"/>
      <c r="B15" s="15"/>
      <c r="C15" s="15"/>
      <c r="D15" s="15"/>
      <c r="E15" s="15"/>
      <c r="F15" s="15"/>
      <c r="G15" s="15"/>
      <c r="H15" s="15"/>
      <c r="I15" s="15"/>
      <c r="J15" s="15"/>
      <c r="K15" s="15"/>
      <c r="L15" s="15"/>
      <c r="M15" s="15"/>
      <c r="N15" s="20" t="n">
        <f aca="false">IF(TRIM(F15)="",0,LEN(TRIM(F15))-LEN(SUBSTITUTE(TRIM(F15),";",""))+1)</f>
        <v>0</v>
      </c>
      <c r="O15" s="20" t="str">
        <f aca="false">IF($A15="","",IF(N15=0,"Unassigned",IF(N15=1,"Single point","Staffed")))</f>
        <v/>
      </c>
      <c r="P15" s="21" t="str">
        <f aca="false">IF(OR(J15="",J15=0),"",K15/J15)</f>
        <v/>
      </c>
      <c r="Q15" s="20" t="n">
        <f aca="false">IF($A15="",0,COUNTIF('Full Register'!$J$6:$J$279,$A15))</f>
        <v>0</v>
      </c>
      <c r="R15" s="20" t="str">
        <f aca="false">IF($A15="","",IF(COUNTIFS('Full Register'!$J$6:$J$279,$A15,'Full Register'!$H$6:$H$279,"Full")&gt;0,"Full","Screen"))</f>
        <v/>
      </c>
    </row>
    <row r="16" customFormat="false" ht="15" hidden="false" customHeight="false" outlineLevel="0" collapsed="false">
      <c r="A16" s="15"/>
      <c r="B16" s="15"/>
      <c r="C16" s="15"/>
      <c r="D16" s="15"/>
      <c r="E16" s="15"/>
      <c r="F16" s="15"/>
      <c r="G16" s="15"/>
      <c r="H16" s="15"/>
      <c r="I16" s="15"/>
      <c r="J16" s="15"/>
      <c r="K16" s="15"/>
      <c r="L16" s="15"/>
      <c r="M16" s="15"/>
      <c r="N16" s="20" t="n">
        <f aca="false">IF(TRIM(F16)="",0,LEN(TRIM(F16))-LEN(SUBSTITUTE(TRIM(F16),";",""))+1)</f>
        <v>0</v>
      </c>
      <c r="O16" s="20" t="str">
        <f aca="false">IF($A16="","",IF(N16=0,"Unassigned",IF(N16=1,"Single point","Staffed")))</f>
        <v/>
      </c>
      <c r="P16" s="21" t="str">
        <f aca="false">IF(OR(J16="",J16=0),"",K16/J16)</f>
        <v/>
      </c>
      <c r="Q16" s="20" t="n">
        <f aca="false">IF($A16="",0,COUNTIF('Full Register'!$J$6:$J$279,$A16))</f>
        <v>0</v>
      </c>
      <c r="R16" s="20" t="str">
        <f aca="false">IF($A16="","",IF(COUNTIFS('Full Register'!$J$6:$J$279,$A16,'Full Register'!$H$6:$H$279,"Full")&gt;0,"Full","Screen"))</f>
        <v/>
      </c>
    </row>
    <row r="17" customFormat="false" ht="15" hidden="false" customHeight="false" outlineLevel="0" collapsed="false">
      <c r="A17" s="15"/>
      <c r="B17" s="15"/>
      <c r="C17" s="15"/>
      <c r="D17" s="15"/>
      <c r="E17" s="15"/>
      <c r="F17" s="15"/>
      <c r="G17" s="15"/>
      <c r="H17" s="15"/>
      <c r="I17" s="15"/>
      <c r="J17" s="15"/>
      <c r="K17" s="15"/>
      <c r="L17" s="15"/>
      <c r="M17" s="15"/>
      <c r="N17" s="20" t="n">
        <f aca="false">IF(TRIM(F17)="",0,LEN(TRIM(F17))-LEN(SUBSTITUTE(TRIM(F17),";",""))+1)</f>
        <v>0</v>
      </c>
      <c r="O17" s="20" t="str">
        <f aca="false">IF($A17="","",IF(N17=0,"Unassigned",IF(N17=1,"Single point","Staffed")))</f>
        <v/>
      </c>
      <c r="P17" s="21" t="str">
        <f aca="false">IF(OR(J17="",J17=0),"",K17/J17)</f>
        <v/>
      </c>
      <c r="Q17" s="20" t="n">
        <f aca="false">IF($A17="",0,COUNTIF('Full Register'!$J$6:$J$279,$A17))</f>
        <v>0</v>
      </c>
      <c r="R17" s="20" t="str">
        <f aca="false">IF($A17="","",IF(COUNTIFS('Full Register'!$J$6:$J$279,$A17,'Full Register'!$H$6:$H$279,"Full")&gt;0,"Full","Screen"))</f>
        <v/>
      </c>
    </row>
    <row r="18" customFormat="false" ht="15" hidden="false" customHeight="false" outlineLevel="0" collapsed="false">
      <c r="A18" s="15"/>
      <c r="B18" s="15"/>
      <c r="C18" s="15"/>
      <c r="D18" s="15"/>
      <c r="E18" s="15"/>
      <c r="F18" s="15"/>
      <c r="G18" s="15"/>
      <c r="H18" s="15"/>
      <c r="I18" s="15"/>
      <c r="J18" s="15"/>
      <c r="K18" s="15"/>
      <c r="L18" s="15"/>
      <c r="M18" s="15"/>
      <c r="N18" s="20" t="n">
        <f aca="false">IF(TRIM(F18)="",0,LEN(TRIM(F18))-LEN(SUBSTITUTE(TRIM(F18),";",""))+1)</f>
        <v>0</v>
      </c>
      <c r="O18" s="20" t="str">
        <f aca="false">IF($A18="","",IF(N18=0,"Unassigned",IF(N18=1,"Single point","Staffed")))</f>
        <v/>
      </c>
      <c r="P18" s="21" t="str">
        <f aca="false">IF(OR(J18="",J18=0),"",K18/J18)</f>
        <v/>
      </c>
      <c r="Q18" s="20" t="n">
        <f aca="false">IF($A18="",0,COUNTIF('Full Register'!$J$6:$J$279,$A18))</f>
        <v>0</v>
      </c>
      <c r="R18" s="20" t="str">
        <f aca="false">IF($A18="","",IF(COUNTIFS('Full Register'!$J$6:$J$279,$A18,'Full Register'!$H$6:$H$279,"Full")&gt;0,"Full","Screen"))</f>
        <v/>
      </c>
    </row>
    <row r="19" customFormat="false" ht="15" hidden="false" customHeight="false" outlineLevel="0" collapsed="false">
      <c r="A19" s="15"/>
      <c r="B19" s="15"/>
      <c r="C19" s="15"/>
      <c r="D19" s="15"/>
      <c r="E19" s="15"/>
      <c r="F19" s="15"/>
      <c r="G19" s="15"/>
      <c r="H19" s="15"/>
      <c r="I19" s="15"/>
      <c r="J19" s="15"/>
      <c r="K19" s="15"/>
      <c r="L19" s="15"/>
      <c r="M19" s="15"/>
      <c r="N19" s="20" t="n">
        <f aca="false">IF(TRIM(F19)="",0,LEN(TRIM(F19))-LEN(SUBSTITUTE(TRIM(F19),";",""))+1)</f>
        <v>0</v>
      </c>
      <c r="O19" s="20" t="str">
        <f aca="false">IF($A19="","",IF(N19=0,"Unassigned",IF(N19=1,"Single point","Staffed")))</f>
        <v/>
      </c>
      <c r="P19" s="21" t="str">
        <f aca="false">IF(OR(J19="",J19=0),"",K19/J19)</f>
        <v/>
      </c>
      <c r="Q19" s="20" t="n">
        <f aca="false">IF($A19="",0,COUNTIF('Full Register'!$J$6:$J$279,$A19))</f>
        <v>0</v>
      </c>
      <c r="R19" s="20" t="str">
        <f aca="false">IF($A19="","",IF(COUNTIFS('Full Register'!$J$6:$J$279,$A19,'Full Register'!$H$6:$H$279,"Full")&gt;0,"Full","Screen"))</f>
        <v/>
      </c>
    </row>
    <row r="20" customFormat="false" ht="15" hidden="false" customHeight="false" outlineLevel="0" collapsed="false">
      <c r="A20" s="15"/>
      <c r="B20" s="15"/>
      <c r="C20" s="15"/>
      <c r="D20" s="15"/>
      <c r="E20" s="15"/>
      <c r="F20" s="15"/>
      <c r="G20" s="15"/>
      <c r="H20" s="15"/>
      <c r="I20" s="15"/>
      <c r="J20" s="15"/>
      <c r="K20" s="15"/>
      <c r="L20" s="15"/>
      <c r="M20" s="15"/>
      <c r="N20" s="20" t="n">
        <f aca="false">IF(TRIM(F20)="",0,LEN(TRIM(F20))-LEN(SUBSTITUTE(TRIM(F20),";",""))+1)</f>
        <v>0</v>
      </c>
      <c r="O20" s="20" t="str">
        <f aca="false">IF($A20="","",IF(N20=0,"Unassigned",IF(N20=1,"Single point","Staffed")))</f>
        <v/>
      </c>
      <c r="P20" s="21" t="str">
        <f aca="false">IF(OR(J20="",J20=0),"",K20/J20)</f>
        <v/>
      </c>
      <c r="Q20" s="20" t="n">
        <f aca="false">IF($A20="",0,COUNTIF('Full Register'!$J$6:$J$279,$A20))</f>
        <v>0</v>
      </c>
      <c r="R20" s="20" t="str">
        <f aca="false">IF($A20="","",IF(COUNTIFS('Full Register'!$J$6:$J$279,$A20,'Full Register'!$H$6:$H$279,"Full")&gt;0,"Full","Screen"))</f>
        <v/>
      </c>
    </row>
    <row r="21" customFormat="false" ht="15" hidden="false" customHeight="false" outlineLevel="0" collapsed="false">
      <c r="A21" s="15"/>
      <c r="B21" s="15"/>
      <c r="C21" s="15"/>
      <c r="D21" s="15"/>
      <c r="E21" s="15"/>
      <c r="F21" s="15"/>
      <c r="G21" s="15"/>
      <c r="H21" s="15"/>
      <c r="I21" s="15"/>
      <c r="J21" s="15"/>
      <c r="K21" s="15"/>
      <c r="L21" s="15"/>
      <c r="M21" s="15"/>
      <c r="N21" s="20" t="n">
        <f aca="false">IF(TRIM(F21)="",0,LEN(TRIM(F21))-LEN(SUBSTITUTE(TRIM(F21),";",""))+1)</f>
        <v>0</v>
      </c>
      <c r="O21" s="20" t="str">
        <f aca="false">IF($A21="","",IF(N21=0,"Unassigned",IF(N21=1,"Single point","Staffed")))</f>
        <v/>
      </c>
      <c r="P21" s="21" t="str">
        <f aca="false">IF(OR(J21="",J21=0),"",K21/J21)</f>
        <v/>
      </c>
      <c r="Q21" s="20" t="n">
        <f aca="false">IF($A21="",0,COUNTIF('Full Register'!$J$6:$J$279,$A21))</f>
        <v>0</v>
      </c>
      <c r="R21" s="20" t="str">
        <f aca="false">IF($A21="","",IF(COUNTIFS('Full Register'!$J$6:$J$279,$A21,'Full Register'!$H$6:$H$279,"Full")&gt;0,"Full","Screen"))</f>
        <v/>
      </c>
    </row>
    <row r="22" customFormat="false" ht="15" hidden="false" customHeight="false" outlineLevel="0" collapsed="false">
      <c r="A22" s="15"/>
      <c r="B22" s="15"/>
      <c r="C22" s="15"/>
      <c r="D22" s="15"/>
      <c r="E22" s="15"/>
      <c r="F22" s="15"/>
      <c r="G22" s="15"/>
      <c r="H22" s="15"/>
      <c r="I22" s="15"/>
      <c r="J22" s="15"/>
      <c r="K22" s="15"/>
      <c r="L22" s="15"/>
      <c r="M22" s="15"/>
      <c r="N22" s="20" t="n">
        <f aca="false">IF(TRIM(F22)="",0,LEN(TRIM(F22))-LEN(SUBSTITUTE(TRIM(F22),";",""))+1)</f>
        <v>0</v>
      </c>
      <c r="O22" s="20" t="str">
        <f aca="false">IF($A22="","",IF(N22=0,"Unassigned",IF(N22=1,"Single point","Staffed")))</f>
        <v/>
      </c>
      <c r="P22" s="21" t="str">
        <f aca="false">IF(OR(J22="",J22=0),"",K22/J22)</f>
        <v/>
      </c>
      <c r="Q22" s="20" t="n">
        <f aca="false">IF($A22="",0,COUNTIF('Full Register'!$J$6:$J$279,$A22))</f>
        <v>0</v>
      </c>
      <c r="R22" s="20" t="str">
        <f aca="false">IF($A22="","",IF(COUNTIFS('Full Register'!$J$6:$J$279,$A22,'Full Register'!$H$6:$H$279,"Full")&gt;0,"Full","Screen"))</f>
        <v/>
      </c>
    </row>
    <row r="23" customFormat="false" ht="15" hidden="false" customHeight="false" outlineLevel="0" collapsed="false">
      <c r="A23" s="15"/>
      <c r="B23" s="15"/>
      <c r="C23" s="15"/>
      <c r="D23" s="15"/>
      <c r="E23" s="15"/>
      <c r="F23" s="15"/>
      <c r="G23" s="15"/>
      <c r="H23" s="15"/>
      <c r="I23" s="15"/>
      <c r="J23" s="15"/>
      <c r="K23" s="15"/>
      <c r="L23" s="15"/>
      <c r="M23" s="15"/>
      <c r="N23" s="20" t="n">
        <f aca="false">IF(TRIM(F23)="",0,LEN(TRIM(F23))-LEN(SUBSTITUTE(TRIM(F23),";",""))+1)</f>
        <v>0</v>
      </c>
      <c r="O23" s="20" t="str">
        <f aca="false">IF($A23="","",IF(N23=0,"Unassigned",IF(N23=1,"Single point","Staffed")))</f>
        <v/>
      </c>
      <c r="P23" s="21" t="str">
        <f aca="false">IF(OR(J23="",J23=0),"",K23/J23)</f>
        <v/>
      </c>
      <c r="Q23" s="20" t="n">
        <f aca="false">IF($A23="",0,COUNTIF('Full Register'!$J$6:$J$279,$A23))</f>
        <v>0</v>
      </c>
      <c r="R23" s="20" t="str">
        <f aca="false">IF($A23="","",IF(COUNTIFS('Full Register'!$J$6:$J$279,$A23,'Full Register'!$H$6:$H$279,"Full")&gt;0,"Full","Screen"))</f>
        <v/>
      </c>
    </row>
    <row r="24" customFormat="false" ht="15" hidden="false" customHeight="false" outlineLevel="0" collapsed="false">
      <c r="A24" s="15"/>
      <c r="B24" s="15"/>
      <c r="C24" s="15"/>
      <c r="D24" s="15"/>
      <c r="E24" s="15"/>
      <c r="F24" s="15"/>
      <c r="G24" s="15"/>
      <c r="H24" s="15"/>
      <c r="I24" s="15"/>
      <c r="J24" s="15"/>
      <c r="K24" s="15"/>
      <c r="L24" s="15"/>
      <c r="M24" s="15"/>
      <c r="N24" s="20" t="n">
        <f aca="false">IF(TRIM(F24)="",0,LEN(TRIM(F24))-LEN(SUBSTITUTE(TRIM(F24),";",""))+1)</f>
        <v>0</v>
      </c>
      <c r="O24" s="20" t="str">
        <f aca="false">IF($A24="","",IF(N24=0,"Unassigned",IF(N24=1,"Single point","Staffed")))</f>
        <v/>
      </c>
      <c r="P24" s="21" t="str">
        <f aca="false">IF(OR(J24="",J24=0),"",K24/J24)</f>
        <v/>
      </c>
      <c r="Q24" s="20" t="n">
        <f aca="false">IF($A24="",0,COUNTIF('Full Register'!$J$6:$J$279,$A24))</f>
        <v>0</v>
      </c>
      <c r="R24" s="20" t="str">
        <f aca="false">IF($A24="","",IF(COUNTIFS('Full Register'!$J$6:$J$279,$A24,'Full Register'!$H$6:$H$279,"Full")&gt;0,"Full","Screen"))</f>
        <v/>
      </c>
    </row>
    <row r="25" customFormat="false" ht="15" hidden="false" customHeight="false" outlineLevel="0" collapsed="false">
      <c r="A25" s="15"/>
      <c r="B25" s="15"/>
      <c r="C25" s="15"/>
      <c r="D25" s="15"/>
      <c r="E25" s="15"/>
      <c r="F25" s="15"/>
      <c r="G25" s="15"/>
      <c r="H25" s="15"/>
      <c r="I25" s="15"/>
      <c r="J25" s="15"/>
      <c r="K25" s="15"/>
      <c r="L25" s="15"/>
      <c r="M25" s="15"/>
      <c r="N25" s="20" t="n">
        <f aca="false">IF(TRIM(F25)="",0,LEN(TRIM(F25))-LEN(SUBSTITUTE(TRIM(F25),";",""))+1)</f>
        <v>0</v>
      </c>
      <c r="O25" s="20" t="str">
        <f aca="false">IF($A25="","",IF(N25=0,"Unassigned",IF(N25=1,"Single point","Staffed")))</f>
        <v/>
      </c>
      <c r="P25" s="21" t="str">
        <f aca="false">IF(OR(J25="",J25=0),"",K25/J25)</f>
        <v/>
      </c>
      <c r="Q25" s="20" t="n">
        <f aca="false">IF($A25="",0,COUNTIF('Full Register'!$J$6:$J$279,$A25))</f>
        <v>0</v>
      </c>
      <c r="R25" s="20" t="str">
        <f aca="false">IF($A25="","",IF(COUNTIFS('Full Register'!$J$6:$J$279,$A25,'Full Register'!$H$6:$H$279,"Full")&gt;0,"Full","Screen"))</f>
        <v/>
      </c>
    </row>
    <row r="26" customFormat="false" ht="15" hidden="false" customHeight="false" outlineLevel="0" collapsed="false">
      <c r="A26" s="15"/>
      <c r="B26" s="15"/>
      <c r="C26" s="15"/>
      <c r="D26" s="15"/>
      <c r="E26" s="15"/>
      <c r="F26" s="15"/>
      <c r="G26" s="15"/>
      <c r="H26" s="15"/>
      <c r="I26" s="15"/>
      <c r="J26" s="15"/>
      <c r="K26" s="15"/>
      <c r="L26" s="15"/>
      <c r="M26" s="15"/>
      <c r="N26" s="20" t="n">
        <f aca="false">IF(TRIM(F26)="",0,LEN(TRIM(F26))-LEN(SUBSTITUTE(TRIM(F26),";",""))+1)</f>
        <v>0</v>
      </c>
      <c r="O26" s="20" t="str">
        <f aca="false">IF($A26="","",IF(N26=0,"Unassigned",IF(N26=1,"Single point","Staffed")))</f>
        <v/>
      </c>
      <c r="P26" s="21" t="str">
        <f aca="false">IF(OR(J26="",J26=0),"",K26/J26)</f>
        <v/>
      </c>
      <c r="Q26" s="20" t="n">
        <f aca="false">IF($A26="",0,COUNTIF('Full Register'!$J$6:$J$279,$A26))</f>
        <v>0</v>
      </c>
      <c r="R26" s="20" t="str">
        <f aca="false">IF($A26="","",IF(COUNTIFS('Full Register'!$J$6:$J$279,$A26,'Full Register'!$H$6:$H$279,"Full")&gt;0,"Full","Screen"))</f>
        <v/>
      </c>
    </row>
    <row r="27" customFormat="false" ht="15" hidden="false" customHeight="false" outlineLevel="0" collapsed="false">
      <c r="A27" s="15"/>
      <c r="B27" s="15"/>
      <c r="C27" s="15"/>
      <c r="D27" s="15"/>
      <c r="E27" s="15"/>
      <c r="F27" s="15"/>
      <c r="G27" s="15"/>
      <c r="H27" s="15"/>
      <c r="I27" s="15"/>
      <c r="J27" s="15"/>
      <c r="K27" s="15"/>
      <c r="L27" s="15"/>
      <c r="M27" s="15"/>
      <c r="N27" s="20" t="n">
        <f aca="false">IF(TRIM(F27)="",0,LEN(TRIM(F27))-LEN(SUBSTITUTE(TRIM(F27),";",""))+1)</f>
        <v>0</v>
      </c>
      <c r="O27" s="20" t="str">
        <f aca="false">IF($A27="","",IF(N27=0,"Unassigned",IF(N27=1,"Single point","Staffed")))</f>
        <v/>
      </c>
      <c r="P27" s="21" t="str">
        <f aca="false">IF(OR(J27="",J27=0),"",K27/J27)</f>
        <v/>
      </c>
      <c r="Q27" s="20" t="n">
        <f aca="false">IF($A27="",0,COUNTIF('Full Register'!$J$6:$J$279,$A27))</f>
        <v>0</v>
      </c>
      <c r="R27" s="20" t="str">
        <f aca="false">IF($A27="","",IF(COUNTIFS('Full Register'!$J$6:$J$279,$A27,'Full Register'!$H$6:$H$279,"Full")&gt;0,"Full","Screen"))</f>
        <v/>
      </c>
    </row>
    <row r="28" customFormat="false" ht="15" hidden="false" customHeight="false" outlineLevel="0" collapsed="false">
      <c r="A28" s="15"/>
      <c r="B28" s="15"/>
      <c r="C28" s="15"/>
      <c r="D28" s="15"/>
      <c r="E28" s="15"/>
      <c r="F28" s="15"/>
      <c r="G28" s="15"/>
      <c r="H28" s="15"/>
      <c r="I28" s="15"/>
      <c r="J28" s="15"/>
      <c r="K28" s="15"/>
      <c r="L28" s="15"/>
      <c r="M28" s="15"/>
      <c r="N28" s="20" t="n">
        <f aca="false">IF(TRIM(F28)="",0,LEN(TRIM(F28))-LEN(SUBSTITUTE(TRIM(F28),";",""))+1)</f>
        <v>0</v>
      </c>
      <c r="O28" s="20" t="str">
        <f aca="false">IF($A28="","",IF(N28=0,"Unassigned",IF(N28=1,"Single point","Staffed")))</f>
        <v/>
      </c>
      <c r="P28" s="21" t="str">
        <f aca="false">IF(OR(J28="",J28=0),"",K28/J28)</f>
        <v/>
      </c>
      <c r="Q28" s="20" t="n">
        <f aca="false">IF($A28="",0,COUNTIF('Full Register'!$J$6:$J$279,$A28))</f>
        <v>0</v>
      </c>
      <c r="R28" s="20" t="str">
        <f aca="false">IF($A28="","",IF(COUNTIFS('Full Register'!$J$6:$J$279,$A28,'Full Register'!$H$6:$H$279,"Full")&gt;0,"Full","Screen"))</f>
        <v/>
      </c>
    </row>
    <row r="29" customFormat="false" ht="15" hidden="false" customHeight="false" outlineLevel="0" collapsed="false">
      <c r="A29" s="15"/>
      <c r="B29" s="15"/>
      <c r="C29" s="15"/>
      <c r="D29" s="15"/>
      <c r="E29" s="15"/>
      <c r="F29" s="15"/>
      <c r="G29" s="15"/>
      <c r="H29" s="15"/>
      <c r="I29" s="15"/>
      <c r="J29" s="15"/>
      <c r="K29" s="15"/>
      <c r="L29" s="15"/>
      <c r="M29" s="15"/>
      <c r="N29" s="20" t="n">
        <f aca="false">IF(TRIM(F29)="",0,LEN(TRIM(F29))-LEN(SUBSTITUTE(TRIM(F29),";",""))+1)</f>
        <v>0</v>
      </c>
      <c r="O29" s="20" t="str">
        <f aca="false">IF($A29="","",IF(N29=0,"Unassigned",IF(N29=1,"Single point","Staffed")))</f>
        <v/>
      </c>
      <c r="P29" s="21" t="str">
        <f aca="false">IF(OR(J29="",J29=0),"",K29/J29)</f>
        <v/>
      </c>
      <c r="Q29" s="20" t="n">
        <f aca="false">IF($A29="",0,COUNTIF('Full Register'!$J$6:$J$279,$A29))</f>
        <v>0</v>
      </c>
      <c r="R29" s="20" t="str">
        <f aca="false">IF($A29="","",IF(COUNTIFS('Full Register'!$J$6:$J$279,$A29,'Full Register'!$H$6:$H$279,"Full")&gt;0,"Full","Screen"))</f>
        <v/>
      </c>
    </row>
    <row r="30" customFormat="false" ht="15" hidden="false" customHeight="false" outlineLevel="0" collapsed="false">
      <c r="A30" s="15"/>
      <c r="B30" s="15"/>
      <c r="C30" s="15"/>
      <c r="D30" s="15"/>
      <c r="E30" s="15"/>
      <c r="F30" s="15"/>
      <c r="G30" s="15"/>
      <c r="H30" s="15"/>
      <c r="I30" s="15"/>
      <c r="J30" s="15"/>
      <c r="K30" s="15"/>
      <c r="L30" s="15"/>
      <c r="M30" s="15"/>
      <c r="N30" s="20" t="n">
        <f aca="false">IF(TRIM(F30)="",0,LEN(TRIM(F30))-LEN(SUBSTITUTE(TRIM(F30),";",""))+1)</f>
        <v>0</v>
      </c>
      <c r="O30" s="20" t="str">
        <f aca="false">IF($A30="","",IF(N30=0,"Unassigned",IF(N30=1,"Single point","Staffed")))</f>
        <v/>
      </c>
      <c r="P30" s="21" t="str">
        <f aca="false">IF(OR(J30="",J30=0),"",K30/J30)</f>
        <v/>
      </c>
      <c r="Q30" s="20" t="n">
        <f aca="false">IF($A30="",0,COUNTIF('Full Register'!$J$6:$J$279,$A30))</f>
        <v>0</v>
      </c>
      <c r="R30" s="20" t="str">
        <f aca="false">IF($A30="","",IF(COUNTIFS('Full Register'!$J$6:$J$279,$A30,'Full Register'!$H$6:$H$279,"Full")&gt;0,"Full","Screen"))</f>
        <v/>
      </c>
    </row>
    <row r="31" customFormat="false" ht="15" hidden="false" customHeight="false" outlineLevel="0" collapsed="false">
      <c r="A31" s="15"/>
      <c r="B31" s="15"/>
      <c r="C31" s="15"/>
      <c r="D31" s="15"/>
      <c r="E31" s="15"/>
      <c r="F31" s="15"/>
      <c r="G31" s="15"/>
      <c r="H31" s="15"/>
      <c r="I31" s="15"/>
      <c r="J31" s="15"/>
      <c r="K31" s="15"/>
      <c r="L31" s="15"/>
      <c r="M31" s="15"/>
      <c r="N31" s="20" t="n">
        <f aca="false">IF(TRIM(F31)="",0,LEN(TRIM(F31))-LEN(SUBSTITUTE(TRIM(F31),";",""))+1)</f>
        <v>0</v>
      </c>
      <c r="O31" s="20" t="str">
        <f aca="false">IF($A31="","",IF(N31=0,"Unassigned",IF(N31=1,"Single point","Staffed")))</f>
        <v/>
      </c>
      <c r="P31" s="21" t="str">
        <f aca="false">IF(OR(J31="",J31=0),"",K31/J31)</f>
        <v/>
      </c>
      <c r="Q31" s="20" t="n">
        <f aca="false">IF($A31="",0,COUNTIF('Full Register'!$J$6:$J$279,$A31))</f>
        <v>0</v>
      </c>
      <c r="R31" s="20" t="str">
        <f aca="false">IF($A31="","",IF(COUNTIFS('Full Register'!$J$6:$J$279,$A31,'Full Register'!$H$6:$H$279,"Full")&gt;0,"Full","Screen"))</f>
        <v/>
      </c>
    </row>
    <row r="32" customFormat="false" ht="15" hidden="false" customHeight="false" outlineLevel="0" collapsed="false">
      <c r="A32" s="15"/>
      <c r="B32" s="15"/>
      <c r="C32" s="15"/>
      <c r="D32" s="15"/>
      <c r="E32" s="15"/>
      <c r="F32" s="15"/>
      <c r="G32" s="15"/>
      <c r="H32" s="15"/>
      <c r="I32" s="15"/>
      <c r="J32" s="15"/>
      <c r="K32" s="15"/>
      <c r="L32" s="15"/>
      <c r="M32" s="15"/>
      <c r="N32" s="20" t="n">
        <f aca="false">IF(TRIM(F32)="",0,LEN(TRIM(F32))-LEN(SUBSTITUTE(TRIM(F32),";",""))+1)</f>
        <v>0</v>
      </c>
      <c r="O32" s="20" t="str">
        <f aca="false">IF($A32="","",IF(N32=0,"Unassigned",IF(N32=1,"Single point","Staffed")))</f>
        <v/>
      </c>
      <c r="P32" s="21" t="str">
        <f aca="false">IF(OR(J32="",J32=0),"",K32/J32)</f>
        <v/>
      </c>
      <c r="Q32" s="20" t="n">
        <f aca="false">IF($A32="",0,COUNTIF('Full Register'!$J$6:$J$279,$A32))</f>
        <v>0</v>
      </c>
      <c r="R32" s="20" t="str">
        <f aca="false">IF($A32="","",IF(COUNTIFS('Full Register'!$J$6:$J$279,$A32,'Full Register'!$H$6:$H$279,"Full")&gt;0,"Full","Screen"))</f>
        <v/>
      </c>
    </row>
    <row r="33" customFormat="false" ht="15" hidden="false" customHeight="false" outlineLevel="0" collapsed="false">
      <c r="A33" s="15"/>
      <c r="B33" s="15"/>
      <c r="C33" s="15"/>
      <c r="D33" s="15"/>
      <c r="E33" s="15"/>
      <c r="F33" s="15"/>
      <c r="G33" s="15"/>
      <c r="H33" s="15"/>
      <c r="I33" s="15"/>
      <c r="J33" s="15"/>
      <c r="K33" s="15"/>
      <c r="L33" s="15"/>
      <c r="M33" s="15"/>
      <c r="N33" s="20" t="n">
        <f aca="false">IF(TRIM(F33)="",0,LEN(TRIM(F33))-LEN(SUBSTITUTE(TRIM(F33),";",""))+1)</f>
        <v>0</v>
      </c>
      <c r="O33" s="20" t="str">
        <f aca="false">IF($A33="","",IF(N33=0,"Unassigned",IF(N33=1,"Single point","Staffed")))</f>
        <v/>
      </c>
      <c r="P33" s="21" t="str">
        <f aca="false">IF(OR(J33="",J33=0),"",K33/J33)</f>
        <v/>
      </c>
      <c r="Q33" s="20" t="n">
        <f aca="false">IF($A33="",0,COUNTIF('Full Register'!$J$6:$J$279,$A33))</f>
        <v>0</v>
      </c>
      <c r="R33" s="20" t="str">
        <f aca="false">IF($A33="","",IF(COUNTIFS('Full Register'!$J$6:$J$279,$A33,'Full Register'!$H$6:$H$279,"Full")&gt;0,"Full","Screen"))</f>
        <v/>
      </c>
    </row>
    <row r="34" customFormat="false" ht="15" hidden="false" customHeight="false" outlineLevel="0" collapsed="false">
      <c r="A34" s="15"/>
      <c r="B34" s="15"/>
      <c r="C34" s="15"/>
      <c r="D34" s="15"/>
      <c r="E34" s="15"/>
      <c r="F34" s="15"/>
      <c r="G34" s="15"/>
      <c r="H34" s="15"/>
      <c r="I34" s="15"/>
      <c r="J34" s="15"/>
      <c r="K34" s="15"/>
      <c r="L34" s="15"/>
      <c r="M34" s="15"/>
      <c r="N34" s="20" t="n">
        <f aca="false">IF(TRIM(F34)="",0,LEN(TRIM(F34))-LEN(SUBSTITUTE(TRIM(F34),";",""))+1)</f>
        <v>0</v>
      </c>
      <c r="O34" s="20" t="str">
        <f aca="false">IF($A34="","",IF(N34=0,"Unassigned",IF(N34=1,"Single point","Staffed")))</f>
        <v/>
      </c>
      <c r="P34" s="21" t="str">
        <f aca="false">IF(OR(J34="",J34=0),"",K34/J34)</f>
        <v/>
      </c>
      <c r="Q34" s="20" t="n">
        <f aca="false">IF($A34="",0,COUNTIF('Full Register'!$J$6:$J$279,$A34))</f>
        <v>0</v>
      </c>
      <c r="R34" s="20" t="str">
        <f aca="false">IF($A34="","",IF(COUNTIFS('Full Register'!$J$6:$J$279,$A34,'Full Register'!$H$6:$H$279,"Full")&gt;0,"Full","Screen"))</f>
        <v/>
      </c>
    </row>
    <row r="35" customFormat="false" ht="15" hidden="false" customHeight="false" outlineLevel="0" collapsed="false">
      <c r="A35" s="15"/>
      <c r="B35" s="15"/>
      <c r="C35" s="15"/>
      <c r="D35" s="15"/>
      <c r="E35" s="15"/>
      <c r="F35" s="15"/>
      <c r="G35" s="15"/>
      <c r="H35" s="15"/>
      <c r="I35" s="15"/>
      <c r="J35" s="15"/>
      <c r="K35" s="15"/>
      <c r="L35" s="15"/>
      <c r="M35" s="15"/>
      <c r="N35" s="20" t="n">
        <f aca="false">IF(TRIM(F35)="",0,LEN(TRIM(F35))-LEN(SUBSTITUTE(TRIM(F35),";",""))+1)</f>
        <v>0</v>
      </c>
      <c r="O35" s="20" t="str">
        <f aca="false">IF($A35="","",IF(N35=0,"Unassigned",IF(N35=1,"Single point","Staffed")))</f>
        <v/>
      </c>
      <c r="P35" s="21" t="str">
        <f aca="false">IF(OR(J35="",J35=0),"",K35/J35)</f>
        <v/>
      </c>
      <c r="Q35" s="20" t="n">
        <f aca="false">IF($A35="",0,COUNTIF('Full Register'!$J$6:$J$279,$A35))</f>
        <v>0</v>
      </c>
      <c r="R35" s="20" t="str">
        <f aca="false">IF($A35="","",IF(COUNTIFS('Full Register'!$J$6:$J$279,$A35,'Full Register'!$H$6:$H$279,"Full")&gt;0,"Full","Screen"))</f>
        <v/>
      </c>
    </row>
    <row r="36" customFormat="false" ht="15" hidden="false" customHeight="false" outlineLevel="0" collapsed="false">
      <c r="A36" s="15"/>
      <c r="B36" s="15"/>
      <c r="C36" s="15"/>
      <c r="D36" s="15"/>
      <c r="E36" s="15"/>
      <c r="F36" s="15"/>
      <c r="G36" s="15"/>
      <c r="H36" s="15"/>
      <c r="I36" s="15"/>
      <c r="J36" s="15"/>
      <c r="K36" s="15"/>
      <c r="L36" s="15"/>
      <c r="M36" s="15"/>
      <c r="N36" s="20" t="n">
        <f aca="false">IF(TRIM(F36)="",0,LEN(TRIM(F36))-LEN(SUBSTITUTE(TRIM(F36),";",""))+1)</f>
        <v>0</v>
      </c>
      <c r="O36" s="20" t="str">
        <f aca="false">IF($A36="","",IF(N36=0,"Unassigned",IF(N36=1,"Single point","Staffed")))</f>
        <v/>
      </c>
      <c r="P36" s="21" t="str">
        <f aca="false">IF(OR(J36="",J36=0),"",K36/J36)</f>
        <v/>
      </c>
      <c r="Q36" s="20" t="n">
        <f aca="false">IF($A36="",0,COUNTIF('Full Register'!$J$6:$J$279,$A36))</f>
        <v>0</v>
      </c>
      <c r="R36" s="20" t="str">
        <f aca="false">IF($A36="","",IF(COUNTIFS('Full Register'!$J$6:$J$279,$A36,'Full Register'!$H$6:$H$279,"Full")&gt;0,"Full","Screen"))</f>
        <v/>
      </c>
    </row>
    <row r="37" customFormat="false" ht="15" hidden="false" customHeight="false" outlineLevel="0" collapsed="false">
      <c r="A37" s="15"/>
      <c r="B37" s="15"/>
      <c r="C37" s="15"/>
      <c r="D37" s="15"/>
      <c r="E37" s="15"/>
      <c r="F37" s="15"/>
      <c r="G37" s="15"/>
      <c r="H37" s="15"/>
      <c r="I37" s="15"/>
      <c r="J37" s="15"/>
      <c r="K37" s="15"/>
      <c r="L37" s="15"/>
      <c r="M37" s="15"/>
      <c r="N37" s="20" t="n">
        <f aca="false">IF(TRIM(F37)="",0,LEN(TRIM(F37))-LEN(SUBSTITUTE(TRIM(F37),";",""))+1)</f>
        <v>0</v>
      </c>
      <c r="O37" s="20" t="str">
        <f aca="false">IF($A37="","",IF(N37=0,"Unassigned",IF(N37=1,"Single point","Staffed")))</f>
        <v/>
      </c>
      <c r="P37" s="21" t="str">
        <f aca="false">IF(OR(J37="",J37=0),"",K37/J37)</f>
        <v/>
      </c>
      <c r="Q37" s="20" t="n">
        <f aca="false">IF($A37="",0,COUNTIF('Full Register'!$J$6:$J$279,$A37))</f>
        <v>0</v>
      </c>
      <c r="R37" s="20" t="str">
        <f aca="false">IF($A37="","",IF(COUNTIFS('Full Register'!$J$6:$J$279,$A37,'Full Register'!$H$6:$H$279,"Full")&gt;0,"Full","Screen"))</f>
        <v/>
      </c>
    </row>
    <row r="38" customFormat="false" ht="15" hidden="false" customHeight="false" outlineLevel="0" collapsed="false">
      <c r="A38" s="15"/>
      <c r="B38" s="15"/>
      <c r="C38" s="15"/>
      <c r="D38" s="15"/>
      <c r="E38" s="15"/>
      <c r="F38" s="15"/>
      <c r="G38" s="15"/>
      <c r="H38" s="15"/>
      <c r="I38" s="15"/>
      <c r="J38" s="15"/>
      <c r="K38" s="15"/>
      <c r="L38" s="15"/>
      <c r="M38" s="15"/>
      <c r="N38" s="20" t="n">
        <f aca="false">IF(TRIM(F38)="",0,LEN(TRIM(F38))-LEN(SUBSTITUTE(TRIM(F38),";",""))+1)</f>
        <v>0</v>
      </c>
      <c r="O38" s="20" t="str">
        <f aca="false">IF($A38="","",IF(N38=0,"Unassigned",IF(N38=1,"Single point","Staffed")))</f>
        <v/>
      </c>
      <c r="P38" s="21" t="str">
        <f aca="false">IF(OR(J38="",J38=0),"",K38/J38)</f>
        <v/>
      </c>
      <c r="Q38" s="20" t="n">
        <f aca="false">IF($A38="",0,COUNTIF('Full Register'!$J$6:$J$279,$A38))</f>
        <v>0</v>
      </c>
      <c r="R38" s="20" t="str">
        <f aca="false">IF($A38="","",IF(COUNTIFS('Full Register'!$J$6:$J$279,$A38,'Full Register'!$H$6:$H$279,"Full")&gt;0,"Full","Screen"))</f>
        <v/>
      </c>
    </row>
    <row r="39" customFormat="false" ht="15" hidden="false" customHeight="false" outlineLevel="0" collapsed="false">
      <c r="A39" s="15"/>
      <c r="B39" s="15"/>
      <c r="C39" s="15"/>
      <c r="D39" s="15"/>
      <c r="E39" s="15"/>
      <c r="F39" s="15"/>
      <c r="G39" s="15"/>
      <c r="H39" s="15"/>
      <c r="I39" s="15"/>
      <c r="J39" s="15"/>
      <c r="K39" s="15"/>
      <c r="L39" s="15"/>
      <c r="M39" s="15"/>
      <c r="N39" s="20" t="n">
        <f aca="false">IF(TRIM(F39)="",0,LEN(TRIM(F39))-LEN(SUBSTITUTE(TRIM(F39),";",""))+1)</f>
        <v>0</v>
      </c>
      <c r="O39" s="20" t="str">
        <f aca="false">IF($A39="","",IF(N39=0,"Unassigned",IF(N39=1,"Single point","Staffed")))</f>
        <v/>
      </c>
      <c r="P39" s="21" t="str">
        <f aca="false">IF(OR(J39="",J39=0),"",K39/J39)</f>
        <v/>
      </c>
      <c r="Q39" s="20" t="n">
        <f aca="false">IF($A39="",0,COUNTIF('Full Register'!$J$6:$J$279,$A39))</f>
        <v>0</v>
      </c>
      <c r="R39" s="20" t="str">
        <f aca="false">IF($A39="","",IF(COUNTIFS('Full Register'!$J$6:$J$279,$A39,'Full Register'!$H$6:$H$279,"Full")&gt;0,"Full","Screen"))</f>
        <v/>
      </c>
    </row>
    <row r="40" customFormat="false" ht="15" hidden="false" customHeight="false" outlineLevel="0" collapsed="false">
      <c r="A40" s="15"/>
      <c r="B40" s="15"/>
      <c r="C40" s="15"/>
      <c r="D40" s="15"/>
      <c r="E40" s="15"/>
      <c r="F40" s="15"/>
      <c r="G40" s="15"/>
      <c r="H40" s="15"/>
      <c r="I40" s="15"/>
      <c r="J40" s="15"/>
      <c r="K40" s="15"/>
      <c r="L40" s="15"/>
      <c r="M40" s="15"/>
      <c r="N40" s="20" t="n">
        <f aca="false">IF(TRIM(F40)="",0,LEN(TRIM(F40))-LEN(SUBSTITUTE(TRIM(F40),";",""))+1)</f>
        <v>0</v>
      </c>
      <c r="O40" s="20" t="str">
        <f aca="false">IF($A40="","",IF(N40=0,"Unassigned",IF(N40=1,"Single point","Staffed")))</f>
        <v/>
      </c>
      <c r="P40" s="21" t="str">
        <f aca="false">IF(OR(J40="",J40=0),"",K40/J40)</f>
        <v/>
      </c>
      <c r="Q40" s="20" t="n">
        <f aca="false">IF($A40="",0,COUNTIF('Full Register'!$J$6:$J$279,$A40))</f>
        <v>0</v>
      </c>
      <c r="R40" s="20" t="str">
        <f aca="false">IF($A40="","",IF(COUNTIFS('Full Register'!$J$6:$J$279,$A40,'Full Register'!$H$6:$H$279,"Full")&gt;0,"Full","Screen"))</f>
        <v/>
      </c>
    </row>
    <row r="41" customFormat="false" ht="15" hidden="false" customHeight="false" outlineLevel="0" collapsed="false">
      <c r="A41" s="15"/>
      <c r="B41" s="15"/>
      <c r="C41" s="15"/>
      <c r="D41" s="15"/>
      <c r="E41" s="15"/>
      <c r="F41" s="15"/>
      <c r="G41" s="15"/>
      <c r="H41" s="15"/>
      <c r="I41" s="15"/>
      <c r="J41" s="15"/>
      <c r="K41" s="15"/>
      <c r="L41" s="15"/>
      <c r="M41" s="15"/>
      <c r="N41" s="20" t="n">
        <f aca="false">IF(TRIM(F41)="",0,LEN(TRIM(F41))-LEN(SUBSTITUTE(TRIM(F41),";",""))+1)</f>
        <v>0</v>
      </c>
      <c r="O41" s="20" t="str">
        <f aca="false">IF($A41="","",IF(N41=0,"Unassigned",IF(N41=1,"Single point","Staffed")))</f>
        <v/>
      </c>
      <c r="P41" s="21" t="str">
        <f aca="false">IF(OR(J41="",J41=0),"",K41/J41)</f>
        <v/>
      </c>
      <c r="Q41" s="20" t="n">
        <f aca="false">IF($A41="",0,COUNTIF('Full Register'!$J$6:$J$279,$A41))</f>
        <v>0</v>
      </c>
      <c r="R41" s="20" t="str">
        <f aca="false">IF($A41="","",IF(COUNTIFS('Full Register'!$J$6:$J$279,$A41,'Full Register'!$H$6:$H$279,"Full")&gt;0,"Full","Screen"))</f>
        <v/>
      </c>
    </row>
    <row r="42" customFormat="false" ht="15" hidden="false" customHeight="false" outlineLevel="0" collapsed="false">
      <c r="A42" s="15"/>
      <c r="B42" s="15"/>
      <c r="C42" s="15"/>
      <c r="D42" s="15"/>
      <c r="E42" s="15"/>
      <c r="F42" s="15"/>
      <c r="G42" s="15"/>
      <c r="H42" s="15"/>
      <c r="I42" s="15"/>
      <c r="J42" s="15"/>
      <c r="K42" s="15"/>
      <c r="L42" s="15"/>
      <c r="M42" s="15"/>
      <c r="N42" s="20" t="n">
        <f aca="false">IF(TRIM(F42)="",0,LEN(TRIM(F42))-LEN(SUBSTITUTE(TRIM(F42),";",""))+1)</f>
        <v>0</v>
      </c>
      <c r="O42" s="20" t="str">
        <f aca="false">IF($A42="","",IF(N42=0,"Unassigned",IF(N42=1,"Single point","Staffed")))</f>
        <v/>
      </c>
      <c r="P42" s="21" t="str">
        <f aca="false">IF(OR(J42="",J42=0),"",K42/J42)</f>
        <v/>
      </c>
      <c r="Q42" s="20" t="n">
        <f aca="false">IF($A42="",0,COUNTIF('Full Register'!$J$6:$J$279,$A42))</f>
        <v>0</v>
      </c>
      <c r="R42" s="20" t="str">
        <f aca="false">IF($A42="","",IF(COUNTIFS('Full Register'!$J$6:$J$279,$A42,'Full Register'!$H$6:$H$279,"Full")&gt;0,"Full","Screen"))</f>
        <v/>
      </c>
    </row>
    <row r="43" customFormat="false" ht="15" hidden="false" customHeight="false" outlineLevel="0" collapsed="false">
      <c r="A43" s="15"/>
      <c r="B43" s="15"/>
      <c r="C43" s="15"/>
      <c r="D43" s="15"/>
      <c r="E43" s="15"/>
      <c r="F43" s="15"/>
      <c r="G43" s="15"/>
      <c r="H43" s="15"/>
      <c r="I43" s="15"/>
      <c r="J43" s="15"/>
      <c r="K43" s="15"/>
      <c r="L43" s="15"/>
      <c r="M43" s="15"/>
      <c r="N43" s="20" t="n">
        <f aca="false">IF(TRIM(F43)="",0,LEN(TRIM(F43))-LEN(SUBSTITUTE(TRIM(F43),";",""))+1)</f>
        <v>0</v>
      </c>
      <c r="O43" s="20" t="str">
        <f aca="false">IF($A43="","",IF(N43=0,"Unassigned",IF(N43=1,"Single point","Staffed")))</f>
        <v/>
      </c>
      <c r="P43" s="21" t="str">
        <f aca="false">IF(OR(J43="",J43=0),"",K43/J43)</f>
        <v/>
      </c>
      <c r="Q43" s="20" t="n">
        <f aca="false">IF($A43="",0,COUNTIF('Full Register'!$J$6:$J$279,$A43))</f>
        <v>0</v>
      </c>
      <c r="R43" s="20" t="str">
        <f aca="false">IF($A43="","",IF(COUNTIFS('Full Register'!$J$6:$J$279,$A43,'Full Register'!$H$6:$H$279,"Full")&gt;0,"Full","Screen"))</f>
        <v/>
      </c>
    </row>
    <row r="44" customFormat="false" ht="15" hidden="false" customHeight="false" outlineLevel="0" collapsed="false">
      <c r="A44" s="15"/>
      <c r="B44" s="15"/>
      <c r="C44" s="15"/>
      <c r="D44" s="15"/>
      <c r="E44" s="15"/>
      <c r="F44" s="15"/>
      <c r="G44" s="15"/>
      <c r="H44" s="15"/>
      <c r="I44" s="15"/>
      <c r="J44" s="15"/>
      <c r="K44" s="15"/>
      <c r="L44" s="15"/>
      <c r="M44" s="15"/>
      <c r="N44" s="20" t="n">
        <f aca="false">IF(TRIM(F44)="",0,LEN(TRIM(F44))-LEN(SUBSTITUTE(TRIM(F44),";",""))+1)</f>
        <v>0</v>
      </c>
      <c r="O44" s="20" t="str">
        <f aca="false">IF($A44="","",IF(N44=0,"Unassigned",IF(N44=1,"Single point","Staffed")))</f>
        <v/>
      </c>
      <c r="P44" s="21" t="str">
        <f aca="false">IF(OR(J44="",J44=0),"",K44/J44)</f>
        <v/>
      </c>
      <c r="Q44" s="20" t="n">
        <f aca="false">IF($A44="",0,COUNTIF('Full Register'!$J$6:$J$279,$A44))</f>
        <v>0</v>
      </c>
      <c r="R44" s="20" t="str">
        <f aca="false">IF($A44="","",IF(COUNTIFS('Full Register'!$J$6:$J$279,$A44,'Full Register'!$H$6:$H$279,"Full")&gt;0,"Full","Screen"))</f>
        <v/>
      </c>
    </row>
    <row r="45" customFormat="false" ht="15" hidden="false" customHeight="false" outlineLevel="0" collapsed="false">
      <c r="A45" s="15"/>
      <c r="B45" s="15"/>
      <c r="C45" s="15"/>
      <c r="D45" s="15"/>
      <c r="E45" s="15"/>
      <c r="F45" s="15"/>
      <c r="G45" s="15"/>
      <c r="H45" s="15"/>
      <c r="I45" s="15"/>
      <c r="J45" s="15"/>
      <c r="K45" s="15"/>
      <c r="L45" s="15"/>
      <c r="M45" s="15"/>
      <c r="N45" s="20" t="n">
        <f aca="false">IF(TRIM(F45)="",0,LEN(TRIM(F45))-LEN(SUBSTITUTE(TRIM(F45),";",""))+1)</f>
        <v>0</v>
      </c>
      <c r="O45" s="20" t="str">
        <f aca="false">IF($A45="","",IF(N45=0,"Unassigned",IF(N45=1,"Single point","Staffed")))</f>
        <v/>
      </c>
      <c r="P45" s="21" t="str">
        <f aca="false">IF(OR(J45="",J45=0),"",K45/J45)</f>
        <v/>
      </c>
      <c r="Q45" s="20" t="n">
        <f aca="false">IF($A45="",0,COUNTIF('Full Register'!$J$6:$J$279,$A45))</f>
        <v>0</v>
      </c>
      <c r="R45" s="20" t="str">
        <f aca="false">IF($A45="","",IF(COUNTIFS('Full Register'!$J$6:$J$279,$A45,'Full Register'!$H$6:$H$279,"Full")&gt;0,"Full","Screen"))</f>
        <v/>
      </c>
    </row>
    <row r="46" customFormat="false" ht="15" hidden="false" customHeight="false" outlineLevel="0" collapsed="false">
      <c r="A46" s="15"/>
      <c r="B46" s="15"/>
      <c r="C46" s="15"/>
      <c r="D46" s="15"/>
      <c r="E46" s="15"/>
      <c r="F46" s="15"/>
      <c r="G46" s="15"/>
      <c r="H46" s="15"/>
      <c r="I46" s="15"/>
      <c r="J46" s="15"/>
      <c r="K46" s="15"/>
      <c r="L46" s="15"/>
      <c r="M46" s="15"/>
      <c r="N46" s="20" t="n">
        <f aca="false">IF(TRIM(F46)="",0,LEN(TRIM(F46))-LEN(SUBSTITUTE(TRIM(F46),";",""))+1)</f>
        <v>0</v>
      </c>
      <c r="O46" s="20" t="str">
        <f aca="false">IF($A46="","",IF(N46=0,"Unassigned",IF(N46=1,"Single point","Staffed")))</f>
        <v/>
      </c>
      <c r="P46" s="21" t="str">
        <f aca="false">IF(OR(J46="",J46=0),"",K46/J46)</f>
        <v/>
      </c>
      <c r="Q46" s="20" t="n">
        <f aca="false">IF($A46="",0,COUNTIF('Full Register'!$J$6:$J$279,$A46))</f>
        <v>0</v>
      </c>
      <c r="R46" s="20" t="str">
        <f aca="false">IF($A46="","",IF(COUNTIFS('Full Register'!$J$6:$J$279,$A46,'Full Register'!$H$6:$H$279,"Full")&gt;0,"Full","Screen"))</f>
        <v/>
      </c>
    </row>
    <row r="47" customFormat="false" ht="15" hidden="false" customHeight="false" outlineLevel="0" collapsed="false">
      <c r="A47" s="15"/>
      <c r="B47" s="15"/>
      <c r="C47" s="15"/>
      <c r="D47" s="15"/>
      <c r="E47" s="15"/>
      <c r="F47" s="15"/>
      <c r="G47" s="15"/>
      <c r="H47" s="15"/>
      <c r="I47" s="15"/>
      <c r="J47" s="15"/>
      <c r="K47" s="15"/>
      <c r="L47" s="15"/>
      <c r="M47" s="15"/>
      <c r="N47" s="20" t="n">
        <f aca="false">IF(TRIM(F47)="",0,LEN(TRIM(F47))-LEN(SUBSTITUTE(TRIM(F47),";",""))+1)</f>
        <v>0</v>
      </c>
      <c r="O47" s="20" t="str">
        <f aca="false">IF($A47="","",IF(N47=0,"Unassigned",IF(N47=1,"Single point","Staffed")))</f>
        <v/>
      </c>
      <c r="P47" s="21" t="str">
        <f aca="false">IF(OR(J47="",J47=0),"",K47/J47)</f>
        <v/>
      </c>
      <c r="Q47" s="20" t="n">
        <f aca="false">IF($A47="",0,COUNTIF('Full Register'!$J$6:$J$279,$A47))</f>
        <v>0</v>
      </c>
      <c r="R47" s="20" t="str">
        <f aca="false">IF($A47="","",IF(COUNTIFS('Full Register'!$J$6:$J$279,$A47,'Full Register'!$H$6:$H$279,"Full")&gt;0,"Full","Screen"))</f>
        <v/>
      </c>
    </row>
    <row r="48" customFormat="false" ht="15" hidden="false" customHeight="false" outlineLevel="0" collapsed="false">
      <c r="A48" s="15"/>
      <c r="B48" s="15"/>
      <c r="C48" s="15"/>
      <c r="D48" s="15"/>
      <c r="E48" s="15"/>
      <c r="F48" s="15"/>
      <c r="G48" s="15"/>
      <c r="H48" s="15"/>
      <c r="I48" s="15"/>
      <c r="J48" s="15"/>
      <c r="K48" s="15"/>
      <c r="L48" s="15"/>
      <c r="M48" s="15"/>
      <c r="N48" s="20" t="n">
        <f aca="false">IF(TRIM(F48)="",0,LEN(TRIM(F48))-LEN(SUBSTITUTE(TRIM(F48),";",""))+1)</f>
        <v>0</v>
      </c>
      <c r="O48" s="20" t="str">
        <f aca="false">IF($A48="","",IF(N48=0,"Unassigned",IF(N48=1,"Single point","Staffed")))</f>
        <v/>
      </c>
      <c r="P48" s="21" t="str">
        <f aca="false">IF(OR(J48="",J48=0),"",K48/J48)</f>
        <v/>
      </c>
      <c r="Q48" s="20" t="n">
        <f aca="false">IF($A48="",0,COUNTIF('Full Register'!$J$6:$J$279,$A48))</f>
        <v>0</v>
      </c>
      <c r="R48" s="20" t="str">
        <f aca="false">IF($A48="","",IF(COUNTIFS('Full Register'!$J$6:$J$279,$A48,'Full Register'!$H$6:$H$279,"Full")&gt;0,"Full","Screen"))</f>
        <v/>
      </c>
    </row>
    <row r="49" customFormat="false" ht="15" hidden="false" customHeight="false" outlineLevel="0" collapsed="false">
      <c r="A49" s="15"/>
      <c r="B49" s="15"/>
      <c r="C49" s="15"/>
      <c r="D49" s="15"/>
      <c r="E49" s="15"/>
      <c r="F49" s="15"/>
      <c r="G49" s="15"/>
      <c r="H49" s="15"/>
      <c r="I49" s="15"/>
      <c r="J49" s="15"/>
      <c r="K49" s="15"/>
      <c r="L49" s="15"/>
      <c r="M49" s="15"/>
      <c r="N49" s="20" t="n">
        <f aca="false">IF(TRIM(F49)="",0,LEN(TRIM(F49))-LEN(SUBSTITUTE(TRIM(F49),";",""))+1)</f>
        <v>0</v>
      </c>
      <c r="O49" s="20" t="str">
        <f aca="false">IF($A49="","",IF(N49=0,"Unassigned",IF(N49=1,"Single point","Staffed")))</f>
        <v/>
      </c>
      <c r="P49" s="21" t="str">
        <f aca="false">IF(OR(J49="",J49=0),"",K49/J49)</f>
        <v/>
      </c>
      <c r="Q49" s="20" t="n">
        <f aca="false">IF($A49="",0,COUNTIF('Full Register'!$J$6:$J$279,$A49))</f>
        <v>0</v>
      </c>
      <c r="R49" s="20" t="str">
        <f aca="false">IF($A49="","",IF(COUNTIFS('Full Register'!$J$6:$J$279,$A49,'Full Register'!$H$6:$H$279,"Full")&gt;0,"Full","Screen"))</f>
        <v/>
      </c>
    </row>
    <row r="50" customFormat="false" ht="15" hidden="false" customHeight="false" outlineLevel="0" collapsed="false">
      <c r="A50" s="15"/>
      <c r="B50" s="15"/>
      <c r="C50" s="15"/>
      <c r="D50" s="15"/>
      <c r="E50" s="15"/>
      <c r="F50" s="15"/>
      <c r="G50" s="15"/>
      <c r="H50" s="15"/>
      <c r="I50" s="15"/>
      <c r="J50" s="15"/>
      <c r="K50" s="15"/>
      <c r="L50" s="15"/>
      <c r="M50" s="15"/>
      <c r="N50" s="20" t="n">
        <f aca="false">IF(TRIM(F50)="",0,LEN(TRIM(F50))-LEN(SUBSTITUTE(TRIM(F50),";",""))+1)</f>
        <v>0</v>
      </c>
      <c r="O50" s="20" t="str">
        <f aca="false">IF($A50="","",IF(N50=0,"Unassigned",IF(N50=1,"Single point","Staffed")))</f>
        <v/>
      </c>
      <c r="P50" s="21" t="str">
        <f aca="false">IF(OR(J50="",J50=0),"",K50/J50)</f>
        <v/>
      </c>
      <c r="Q50" s="20" t="n">
        <f aca="false">IF($A50="",0,COUNTIF('Full Register'!$J$6:$J$279,$A50))</f>
        <v>0</v>
      </c>
      <c r="R50" s="20" t="str">
        <f aca="false">IF($A50="","",IF(COUNTIFS('Full Register'!$J$6:$J$279,$A50,'Full Register'!$H$6:$H$279,"Full")&gt;0,"Full","Screen"))</f>
        <v/>
      </c>
    </row>
    <row r="51" customFormat="false" ht="15" hidden="false" customHeight="false" outlineLevel="0" collapsed="false">
      <c r="A51" s="15"/>
      <c r="B51" s="15"/>
      <c r="C51" s="15"/>
      <c r="D51" s="15"/>
      <c r="E51" s="15"/>
      <c r="F51" s="15"/>
      <c r="G51" s="15"/>
      <c r="H51" s="15"/>
      <c r="I51" s="15"/>
      <c r="J51" s="15"/>
      <c r="K51" s="15"/>
      <c r="L51" s="15"/>
      <c r="M51" s="15"/>
      <c r="N51" s="20" t="n">
        <f aca="false">IF(TRIM(F51)="",0,LEN(TRIM(F51))-LEN(SUBSTITUTE(TRIM(F51),";",""))+1)</f>
        <v>0</v>
      </c>
      <c r="O51" s="20" t="str">
        <f aca="false">IF($A51="","",IF(N51=0,"Unassigned",IF(N51=1,"Single point","Staffed")))</f>
        <v/>
      </c>
      <c r="P51" s="21" t="str">
        <f aca="false">IF(OR(J51="",J51=0),"",K51/J51)</f>
        <v/>
      </c>
      <c r="Q51" s="20" t="n">
        <f aca="false">IF($A51="",0,COUNTIF('Full Register'!$J$6:$J$279,$A51))</f>
        <v>0</v>
      </c>
      <c r="R51" s="20" t="str">
        <f aca="false">IF($A51="","",IF(COUNTIFS('Full Register'!$J$6:$J$279,$A51,'Full Register'!$H$6:$H$279,"Full")&gt;0,"Full","Screen"))</f>
        <v/>
      </c>
    </row>
    <row r="52" customFormat="false" ht="15" hidden="false" customHeight="false" outlineLevel="0" collapsed="false">
      <c r="A52" s="15"/>
      <c r="B52" s="15"/>
      <c r="C52" s="15"/>
      <c r="D52" s="15"/>
      <c r="E52" s="15"/>
      <c r="F52" s="15"/>
      <c r="G52" s="15"/>
      <c r="H52" s="15"/>
      <c r="I52" s="15"/>
      <c r="J52" s="15"/>
      <c r="K52" s="15"/>
      <c r="L52" s="15"/>
      <c r="M52" s="15"/>
      <c r="N52" s="20" t="n">
        <f aca="false">IF(TRIM(F52)="",0,LEN(TRIM(F52))-LEN(SUBSTITUTE(TRIM(F52),";",""))+1)</f>
        <v>0</v>
      </c>
      <c r="O52" s="20" t="str">
        <f aca="false">IF($A52="","",IF(N52=0,"Unassigned",IF(N52=1,"Single point","Staffed")))</f>
        <v/>
      </c>
      <c r="P52" s="21" t="str">
        <f aca="false">IF(OR(J52="",J52=0),"",K52/J52)</f>
        <v/>
      </c>
      <c r="Q52" s="20" t="n">
        <f aca="false">IF($A52="",0,COUNTIF('Full Register'!$J$6:$J$279,$A52))</f>
        <v>0</v>
      </c>
      <c r="R52" s="20" t="str">
        <f aca="false">IF($A52="","",IF(COUNTIFS('Full Register'!$J$6:$J$279,$A52,'Full Register'!$H$6:$H$279,"Full")&gt;0,"Full","Screen"))</f>
        <v/>
      </c>
    </row>
    <row r="53" customFormat="false" ht="15" hidden="false" customHeight="false" outlineLevel="0" collapsed="false">
      <c r="A53" s="15"/>
      <c r="B53" s="15"/>
      <c r="C53" s="15"/>
      <c r="D53" s="15"/>
      <c r="E53" s="15"/>
      <c r="F53" s="15"/>
      <c r="G53" s="15"/>
      <c r="H53" s="15"/>
      <c r="I53" s="15"/>
      <c r="J53" s="15"/>
      <c r="K53" s="15"/>
      <c r="L53" s="15"/>
      <c r="M53" s="15"/>
      <c r="N53" s="20" t="n">
        <f aca="false">IF(TRIM(F53)="",0,LEN(TRIM(F53))-LEN(SUBSTITUTE(TRIM(F53),";",""))+1)</f>
        <v>0</v>
      </c>
      <c r="O53" s="20" t="str">
        <f aca="false">IF($A53="","",IF(N53=0,"Unassigned",IF(N53=1,"Single point","Staffed")))</f>
        <v/>
      </c>
      <c r="P53" s="21" t="str">
        <f aca="false">IF(OR(J53="",J53=0),"",K53/J53)</f>
        <v/>
      </c>
      <c r="Q53" s="20" t="n">
        <f aca="false">IF($A53="",0,COUNTIF('Full Register'!$J$6:$J$279,$A53))</f>
        <v>0</v>
      </c>
      <c r="R53" s="20" t="str">
        <f aca="false">IF($A53="","",IF(COUNTIFS('Full Register'!$J$6:$J$279,$A53,'Full Register'!$H$6:$H$279,"Full")&gt;0,"Full","Screen"))</f>
        <v/>
      </c>
    </row>
    <row r="54" customFormat="false" ht="15" hidden="false" customHeight="false" outlineLevel="0" collapsed="false">
      <c r="A54" s="15"/>
      <c r="B54" s="15"/>
      <c r="C54" s="15"/>
      <c r="D54" s="15"/>
      <c r="E54" s="15"/>
      <c r="F54" s="15"/>
      <c r="G54" s="15"/>
      <c r="H54" s="15"/>
      <c r="I54" s="15"/>
      <c r="J54" s="15"/>
      <c r="K54" s="15"/>
      <c r="L54" s="15"/>
      <c r="M54" s="15"/>
      <c r="N54" s="20" t="n">
        <f aca="false">IF(TRIM(F54)="",0,LEN(TRIM(F54))-LEN(SUBSTITUTE(TRIM(F54),";",""))+1)</f>
        <v>0</v>
      </c>
      <c r="O54" s="20" t="str">
        <f aca="false">IF($A54="","",IF(N54=0,"Unassigned",IF(N54=1,"Single point","Staffed")))</f>
        <v/>
      </c>
      <c r="P54" s="21" t="str">
        <f aca="false">IF(OR(J54="",J54=0),"",K54/J54)</f>
        <v/>
      </c>
      <c r="Q54" s="20" t="n">
        <f aca="false">IF($A54="",0,COUNTIF('Full Register'!$J$6:$J$279,$A54))</f>
        <v>0</v>
      </c>
      <c r="R54" s="20" t="str">
        <f aca="false">IF($A54="","",IF(COUNTIFS('Full Register'!$J$6:$J$279,$A54,'Full Register'!$H$6:$H$279,"Full")&gt;0,"Full","Screen"))</f>
        <v/>
      </c>
    </row>
    <row r="55" customFormat="false" ht="15" hidden="false" customHeight="false" outlineLevel="0" collapsed="false">
      <c r="A55" s="15"/>
      <c r="B55" s="15"/>
      <c r="C55" s="15"/>
      <c r="D55" s="15"/>
      <c r="E55" s="15"/>
      <c r="F55" s="15"/>
      <c r="G55" s="15"/>
      <c r="H55" s="15"/>
      <c r="I55" s="15"/>
      <c r="J55" s="15"/>
      <c r="K55" s="15"/>
      <c r="L55" s="15"/>
      <c r="M55" s="15"/>
      <c r="N55" s="20" t="n">
        <f aca="false">IF(TRIM(F55)="",0,LEN(TRIM(F55))-LEN(SUBSTITUTE(TRIM(F55),";",""))+1)</f>
        <v>0</v>
      </c>
      <c r="O55" s="20" t="str">
        <f aca="false">IF($A55="","",IF(N55=0,"Unassigned",IF(N55=1,"Single point","Staffed")))</f>
        <v/>
      </c>
      <c r="P55" s="21" t="str">
        <f aca="false">IF(OR(J55="",J55=0),"",K55/J55)</f>
        <v/>
      </c>
      <c r="Q55" s="20" t="n">
        <f aca="false">IF($A55="",0,COUNTIF('Full Register'!$J$6:$J$279,$A55))</f>
        <v>0</v>
      </c>
      <c r="R55" s="20" t="str">
        <f aca="false">IF($A55="","",IF(COUNTIFS('Full Register'!$J$6:$J$279,$A55,'Full Register'!$H$6:$H$279,"Full")&gt;0,"Full","Screen"))</f>
        <v/>
      </c>
    </row>
    <row r="56" customFormat="false" ht="15" hidden="false" customHeight="false" outlineLevel="0" collapsed="false">
      <c r="A56" s="15"/>
      <c r="B56" s="15"/>
      <c r="C56" s="15"/>
      <c r="D56" s="15"/>
      <c r="E56" s="15"/>
      <c r="F56" s="15"/>
      <c r="G56" s="15"/>
      <c r="H56" s="15"/>
      <c r="I56" s="15"/>
      <c r="J56" s="15"/>
      <c r="K56" s="15"/>
      <c r="L56" s="15"/>
      <c r="M56" s="15"/>
      <c r="N56" s="20" t="n">
        <f aca="false">IF(TRIM(F56)="",0,LEN(TRIM(F56))-LEN(SUBSTITUTE(TRIM(F56),";",""))+1)</f>
        <v>0</v>
      </c>
      <c r="O56" s="20" t="str">
        <f aca="false">IF($A56="","",IF(N56=0,"Unassigned",IF(N56=1,"Single point","Staffed")))</f>
        <v/>
      </c>
      <c r="P56" s="21" t="str">
        <f aca="false">IF(OR(J56="",J56=0),"",K56/J56)</f>
        <v/>
      </c>
      <c r="Q56" s="20" t="n">
        <f aca="false">IF($A56="",0,COUNTIF('Full Register'!$J$6:$J$279,$A56))</f>
        <v>0</v>
      </c>
      <c r="R56" s="20" t="str">
        <f aca="false">IF($A56="","",IF(COUNTIFS('Full Register'!$J$6:$J$279,$A56,'Full Register'!$H$6:$H$279,"Full")&gt;0,"Full","Screen"))</f>
        <v/>
      </c>
    </row>
    <row r="57" customFormat="false" ht="15" hidden="false" customHeight="false" outlineLevel="0" collapsed="false">
      <c r="A57" s="15"/>
      <c r="B57" s="15"/>
      <c r="C57" s="15"/>
      <c r="D57" s="15"/>
      <c r="E57" s="15"/>
      <c r="F57" s="15"/>
      <c r="G57" s="15"/>
      <c r="H57" s="15"/>
      <c r="I57" s="15"/>
      <c r="J57" s="15"/>
      <c r="K57" s="15"/>
      <c r="L57" s="15"/>
      <c r="M57" s="15"/>
      <c r="N57" s="20" t="n">
        <f aca="false">IF(TRIM(F57)="",0,LEN(TRIM(F57))-LEN(SUBSTITUTE(TRIM(F57),";",""))+1)</f>
        <v>0</v>
      </c>
      <c r="O57" s="20" t="str">
        <f aca="false">IF($A57="","",IF(N57=0,"Unassigned",IF(N57=1,"Single point","Staffed")))</f>
        <v/>
      </c>
      <c r="P57" s="21" t="str">
        <f aca="false">IF(OR(J57="",J57=0),"",K57/J57)</f>
        <v/>
      </c>
      <c r="Q57" s="20" t="n">
        <f aca="false">IF($A57="",0,COUNTIF('Full Register'!$J$6:$J$279,$A57))</f>
        <v>0</v>
      </c>
      <c r="R57" s="20" t="str">
        <f aca="false">IF($A57="","",IF(COUNTIFS('Full Register'!$J$6:$J$279,$A57,'Full Register'!$H$6:$H$279,"Full")&gt;0,"Full","Screen"))</f>
        <v/>
      </c>
    </row>
    <row r="58" customFormat="false" ht="15" hidden="false" customHeight="false" outlineLevel="0" collapsed="false">
      <c r="A58" s="15"/>
      <c r="B58" s="15"/>
      <c r="C58" s="15"/>
      <c r="D58" s="15"/>
      <c r="E58" s="15"/>
      <c r="F58" s="15"/>
      <c r="G58" s="15"/>
      <c r="H58" s="15"/>
      <c r="I58" s="15"/>
      <c r="J58" s="15"/>
      <c r="K58" s="15"/>
      <c r="L58" s="15"/>
      <c r="M58" s="15"/>
      <c r="N58" s="20" t="n">
        <f aca="false">IF(TRIM(F58)="",0,LEN(TRIM(F58))-LEN(SUBSTITUTE(TRIM(F58),";",""))+1)</f>
        <v>0</v>
      </c>
      <c r="O58" s="20" t="str">
        <f aca="false">IF($A58="","",IF(N58=0,"Unassigned",IF(N58=1,"Single point","Staffed")))</f>
        <v/>
      </c>
      <c r="P58" s="21" t="str">
        <f aca="false">IF(OR(J58="",J58=0),"",K58/J58)</f>
        <v/>
      </c>
      <c r="Q58" s="20" t="n">
        <f aca="false">IF($A58="",0,COUNTIF('Full Register'!$J$6:$J$279,$A58))</f>
        <v>0</v>
      </c>
      <c r="R58" s="20" t="str">
        <f aca="false">IF($A58="","",IF(COUNTIFS('Full Register'!$J$6:$J$279,$A58,'Full Register'!$H$6:$H$279,"Full")&gt;0,"Full","Screen"))</f>
        <v/>
      </c>
    </row>
    <row r="59" customFormat="false" ht="15" hidden="false" customHeight="false" outlineLevel="0" collapsed="false">
      <c r="A59" s="15"/>
      <c r="B59" s="15"/>
      <c r="C59" s="15"/>
      <c r="D59" s="15"/>
      <c r="E59" s="15"/>
      <c r="F59" s="15"/>
      <c r="G59" s="15"/>
      <c r="H59" s="15"/>
      <c r="I59" s="15"/>
      <c r="J59" s="15"/>
      <c r="K59" s="15"/>
      <c r="L59" s="15"/>
      <c r="M59" s="15"/>
      <c r="N59" s="20" t="n">
        <f aca="false">IF(TRIM(F59)="",0,LEN(TRIM(F59))-LEN(SUBSTITUTE(TRIM(F59),";",""))+1)</f>
        <v>0</v>
      </c>
      <c r="O59" s="20" t="str">
        <f aca="false">IF($A59="","",IF(N59=0,"Unassigned",IF(N59=1,"Single point","Staffed")))</f>
        <v/>
      </c>
      <c r="P59" s="21" t="str">
        <f aca="false">IF(OR(J59="",J59=0),"",K59/J59)</f>
        <v/>
      </c>
      <c r="Q59" s="20" t="n">
        <f aca="false">IF($A59="",0,COUNTIF('Full Register'!$J$6:$J$279,$A59))</f>
        <v>0</v>
      </c>
      <c r="R59" s="20" t="str">
        <f aca="false">IF($A59="","",IF(COUNTIFS('Full Register'!$J$6:$J$279,$A59,'Full Register'!$H$6:$H$279,"Full")&gt;0,"Full","Screen"))</f>
        <v/>
      </c>
    </row>
    <row r="60" customFormat="false" ht="15" hidden="false" customHeight="false" outlineLevel="0" collapsed="false">
      <c r="A60" s="15"/>
      <c r="B60" s="15"/>
      <c r="C60" s="15"/>
      <c r="D60" s="15"/>
      <c r="E60" s="15"/>
      <c r="F60" s="15"/>
      <c r="G60" s="15"/>
      <c r="H60" s="15"/>
      <c r="I60" s="15"/>
      <c r="J60" s="15"/>
      <c r="K60" s="15"/>
      <c r="L60" s="15"/>
      <c r="M60" s="15"/>
      <c r="N60" s="20" t="n">
        <f aca="false">IF(TRIM(F60)="",0,LEN(TRIM(F60))-LEN(SUBSTITUTE(TRIM(F60),";",""))+1)</f>
        <v>0</v>
      </c>
      <c r="O60" s="20" t="str">
        <f aca="false">IF($A60="","",IF(N60=0,"Unassigned",IF(N60=1,"Single point","Staffed")))</f>
        <v/>
      </c>
      <c r="P60" s="21" t="str">
        <f aca="false">IF(OR(J60="",J60=0),"",K60/J60)</f>
        <v/>
      </c>
      <c r="Q60" s="20" t="n">
        <f aca="false">IF($A60="",0,COUNTIF('Full Register'!$J$6:$J$279,$A60))</f>
        <v>0</v>
      </c>
      <c r="R60" s="20" t="str">
        <f aca="false">IF($A60="","",IF(COUNTIFS('Full Register'!$J$6:$J$279,$A60,'Full Register'!$H$6:$H$279,"Full")&gt;0,"Full","Screen"))</f>
        <v/>
      </c>
    </row>
    <row r="61" customFormat="false" ht="15" hidden="false" customHeight="false" outlineLevel="0" collapsed="false">
      <c r="A61" s="15"/>
      <c r="B61" s="15"/>
      <c r="C61" s="15"/>
      <c r="D61" s="15"/>
      <c r="E61" s="15"/>
      <c r="F61" s="15"/>
      <c r="G61" s="15"/>
      <c r="H61" s="15"/>
      <c r="I61" s="15"/>
      <c r="J61" s="15"/>
      <c r="K61" s="15"/>
      <c r="L61" s="15"/>
      <c r="M61" s="15"/>
      <c r="N61" s="20" t="n">
        <f aca="false">IF(TRIM(F61)="",0,LEN(TRIM(F61))-LEN(SUBSTITUTE(TRIM(F61),";",""))+1)</f>
        <v>0</v>
      </c>
      <c r="O61" s="20" t="str">
        <f aca="false">IF($A61="","",IF(N61=0,"Unassigned",IF(N61=1,"Single point","Staffed")))</f>
        <v/>
      </c>
      <c r="P61" s="21" t="str">
        <f aca="false">IF(OR(J61="",J61=0),"",K61/J61)</f>
        <v/>
      </c>
      <c r="Q61" s="20" t="n">
        <f aca="false">IF($A61="",0,COUNTIF('Full Register'!$J$6:$J$279,$A61))</f>
        <v>0</v>
      </c>
      <c r="R61" s="20" t="str">
        <f aca="false">IF($A61="","",IF(COUNTIFS('Full Register'!$J$6:$J$279,$A61,'Full Register'!$H$6:$H$279,"Full")&gt;0,"Full","Screen"))</f>
        <v/>
      </c>
    </row>
    <row r="62" customFormat="false" ht="15" hidden="false" customHeight="false" outlineLevel="0" collapsed="false">
      <c r="A62" s="15"/>
      <c r="B62" s="15"/>
      <c r="C62" s="15"/>
      <c r="D62" s="15"/>
      <c r="E62" s="15"/>
      <c r="F62" s="15"/>
      <c r="G62" s="15"/>
      <c r="H62" s="15"/>
      <c r="I62" s="15"/>
      <c r="J62" s="15"/>
      <c r="K62" s="15"/>
      <c r="L62" s="15"/>
      <c r="M62" s="15"/>
      <c r="N62" s="20" t="n">
        <f aca="false">IF(TRIM(F62)="",0,LEN(TRIM(F62))-LEN(SUBSTITUTE(TRIM(F62),";",""))+1)</f>
        <v>0</v>
      </c>
      <c r="O62" s="20" t="str">
        <f aca="false">IF($A62="","",IF(N62=0,"Unassigned",IF(N62=1,"Single point","Staffed")))</f>
        <v/>
      </c>
      <c r="P62" s="21" t="str">
        <f aca="false">IF(OR(J62="",J62=0),"",K62/J62)</f>
        <v/>
      </c>
      <c r="Q62" s="20" t="n">
        <f aca="false">IF($A62="",0,COUNTIF('Full Register'!$J$6:$J$279,$A62))</f>
        <v>0</v>
      </c>
      <c r="R62" s="20" t="str">
        <f aca="false">IF($A62="","",IF(COUNTIFS('Full Register'!$J$6:$J$279,$A62,'Full Register'!$H$6:$H$279,"Full")&gt;0,"Full","Screen"))</f>
        <v/>
      </c>
    </row>
    <row r="63" customFormat="false" ht="15" hidden="false" customHeight="false" outlineLevel="0" collapsed="false">
      <c r="A63" s="15"/>
      <c r="B63" s="15"/>
      <c r="C63" s="15"/>
      <c r="D63" s="15"/>
      <c r="E63" s="15"/>
      <c r="F63" s="15"/>
      <c r="G63" s="15"/>
      <c r="H63" s="15"/>
      <c r="I63" s="15"/>
      <c r="J63" s="15"/>
      <c r="K63" s="15"/>
      <c r="L63" s="15"/>
      <c r="M63" s="15"/>
      <c r="N63" s="20" t="n">
        <f aca="false">IF(TRIM(F63)="",0,LEN(TRIM(F63))-LEN(SUBSTITUTE(TRIM(F63),";",""))+1)</f>
        <v>0</v>
      </c>
      <c r="O63" s="20" t="str">
        <f aca="false">IF($A63="","",IF(N63=0,"Unassigned",IF(N63=1,"Single point","Staffed")))</f>
        <v/>
      </c>
      <c r="P63" s="21" t="str">
        <f aca="false">IF(OR(J63="",J63=0),"",K63/J63)</f>
        <v/>
      </c>
      <c r="Q63" s="20" t="n">
        <f aca="false">IF($A63="",0,COUNTIF('Full Register'!$J$6:$J$279,$A63))</f>
        <v>0</v>
      </c>
      <c r="R63" s="20" t="str">
        <f aca="false">IF($A63="","",IF(COUNTIFS('Full Register'!$J$6:$J$279,$A63,'Full Register'!$H$6:$H$279,"Full")&gt;0,"Full","Screen"))</f>
        <v/>
      </c>
    </row>
    <row r="64" customFormat="false" ht="15" hidden="false" customHeight="false" outlineLevel="0" collapsed="false">
      <c r="A64" s="15"/>
      <c r="B64" s="15"/>
      <c r="C64" s="15"/>
      <c r="D64" s="15"/>
      <c r="E64" s="15"/>
      <c r="F64" s="15"/>
      <c r="G64" s="15"/>
      <c r="H64" s="15"/>
      <c r="I64" s="15"/>
      <c r="J64" s="15"/>
      <c r="K64" s="15"/>
      <c r="L64" s="15"/>
      <c r="M64" s="15"/>
      <c r="N64" s="20" t="n">
        <f aca="false">IF(TRIM(F64)="",0,LEN(TRIM(F64))-LEN(SUBSTITUTE(TRIM(F64),";",""))+1)</f>
        <v>0</v>
      </c>
      <c r="O64" s="20" t="str">
        <f aca="false">IF($A64="","",IF(N64=0,"Unassigned",IF(N64=1,"Single point","Staffed")))</f>
        <v/>
      </c>
      <c r="P64" s="21" t="str">
        <f aca="false">IF(OR(J64="",J64=0),"",K64/J64)</f>
        <v/>
      </c>
      <c r="Q64" s="20" t="n">
        <f aca="false">IF($A64="",0,COUNTIF('Full Register'!$J$6:$J$279,$A64))</f>
        <v>0</v>
      </c>
      <c r="R64" s="20" t="str">
        <f aca="false">IF($A64="","",IF(COUNTIFS('Full Register'!$J$6:$J$279,$A64,'Full Register'!$H$6:$H$279,"Full")&gt;0,"Full","Screen"))</f>
        <v/>
      </c>
    </row>
    <row r="65" customFormat="false" ht="15" hidden="false" customHeight="false" outlineLevel="0" collapsed="false">
      <c r="A65" s="15"/>
      <c r="B65" s="15"/>
      <c r="C65" s="15"/>
      <c r="D65" s="15"/>
      <c r="E65" s="15"/>
      <c r="F65" s="15"/>
      <c r="G65" s="15"/>
      <c r="H65" s="15"/>
      <c r="I65" s="15"/>
      <c r="J65" s="15"/>
      <c r="K65" s="15"/>
      <c r="L65" s="15"/>
      <c r="M65" s="15"/>
      <c r="N65" s="20" t="n">
        <f aca="false">IF(TRIM(F65)="",0,LEN(TRIM(F65))-LEN(SUBSTITUTE(TRIM(F65),";",""))+1)</f>
        <v>0</v>
      </c>
      <c r="O65" s="20" t="str">
        <f aca="false">IF($A65="","",IF(N65=0,"Unassigned",IF(N65=1,"Single point","Staffed")))</f>
        <v/>
      </c>
      <c r="P65" s="21" t="str">
        <f aca="false">IF(OR(J65="",J65=0),"",K65/J65)</f>
        <v/>
      </c>
      <c r="Q65" s="20" t="n">
        <f aca="false">IF($A65="",0,COUNTIF('Full Register'!$J$6:$J$279,$A65))</f>
        <v>0</v>
      </c>
      <c r="R65" s="20" t="str">
        <f aca="false">IF($A65="","",IF(COUNTIFS('Full Register'!$J$6:$J$279,$A65,'Full Register'!$H$6:$H$279,"Full")&gt;0,"Full","Screen"))</f>
        <v/>
      </c>
    </row>
    <row r="66" customFormat="false" ht="15" hidden="false" customHeight="false" outlineLevel="0" collapsed="false">
      <c r="A66" s="15"/>
      <c r="B66" s="15"/>
      <c r="C66" s="15"/>
      <c r="D66" s="15"/>
      <c r="E66" s="15"/>
      <c r="F66" s="15"/>
      <c r="G66" s="15"/>
      <c r="H66" s="15"/>
      <c r="I66" s="15"/>
      <c r="J66" s="15"/>
      <c r="K66" s="15"/>
      <c r="L66" s="15"/>
      <c r="M66" s="15"/>
      <c r="N66" s="20" t="n">
        <f aca="false">IF(TRIM(F66)="",0,LEN(TRIM(F66))-LEN(SUBSTITUTE(TRIM(F66),";",""))+1)</f>
        <v>0</v>
      </c>
      <c r="O66" s="20" t="str">
        <f aca="false">IF($A66="","",IF(N66=0,"Unassigned",IF(N66=1,"Single point","Staffed")))</f>
        <v/>
      </c>
      <c r="P66" s="21" t="str">
        <f aca="false">IF(OR(J66="",J66=0),"",K66/J66)</f>
        <v/>
      </c>
      <c r="Q66" s="20" t="n">
        <f aca="false">IF($A66="",0,COUNTIF('Full Register'!$J$6:$J$279,$A66))</f>
        <v>0</v>
      </c>
      <c r="R66" s="20" t="str">
        <f aca="false">IF($A66="","",IF(COUNTIFS('Full Register'!$J$6:$J$279,$A66,'Full Register'!$H$6:$H$279,"Full")&gt;0,"Full","Screen"))</f>
        <v/>
      </c>
    </row>
    <row r="67" customFormat="false" ht="15" hidden="false" customHeight="false" outlineLevel="0" collapsed="false">
      <c r="A67" s="15"/>
      <c r="B67" s="15"/>
      <c r="C67" s="15"/>
      <c r="D67" s="15"/>
      <c r="E67" s="15"/>
      <c r="F67" s="15"/>
      <c r="G67" s="15"/>
      <c r="H67" s="15"/>
      <c r="I67" s="15"/>
      <c r="J67" s="15"/>
      <c r="K67" s="15"/>
      <c r="L67" s="15"/>
      <c r="M67" s="15"/>
      <c r="N67" s="20" t="n">
        <f aca="false">IF(TRIM(F67)="",0,LEN(TRIM(F67))-LEN(SUBSTITUTE(TRIM(F67),";",""))+1)</f>
        <v>0</v>
      </c>
      <c r="O67" s="20" t="str">
        <f aca="false">IF($A67="","",IF(N67=0,"Unassigned",IF(N67=1,"Single point","Staffed")))</f>
        <v/>
      </c>
      <c r="P67" s="21" t="str">
        <f aca="false">IF(OR(J67="",J67=0),"",K67/J67)</f>
        <v/>
      </c>
      <c r="Q67" s="20" t="n">
        <f aca="false">IF($A67="",0,COUNTIF('Full Register'!$J$6:$J$279,$A67))</f>
        <v>0</v>
      </c>
      <c r="R67" s="20" t="str">
        <f aca="false">IF($A67="","",IF(COUNTIFS('Full Register'!$J$6:$J$279,$A67,'Full Register'!$H$6:$H$279,"Full")&gt;0,"Full","Screen"))</f>
        <v/>
      </c>
    </row>
    <row r="68" customFormat="false" ht="15" hidden="false" customHeight="false" outlineLevel="0" collapsed="false">
      <c r="A68" s="15"/>
      <c r="B68" s="15"/>
      <c r="C68" s="15"/>
      <c r="D68" s="15"/>
      <c r="E68" s="15"/>
      <c r="F68" s="15"/>
      <c r="G68" s="15"/>
      <c r="H68" s="15"/>
      <c r="I68" s="15"/>
      <c r="J68" s="15"/>
      <c r="K68" s="15"/>
      <c r="L68" s="15"/>
      <c r="M68" s="15"/>
      <c r="N68" s="20" t="n">
        <f aca="false">IF(TRIM(F68)="",0,LEN(TRIM(F68))-LEN(SUBSTITUTE(TRIM(F68),";",""))+1)</f>
        <v>0</v>
      </c>
      <c r="O68" s="20" t="str">
        <f aca="false">IF($A68="","",IF(N68=0,"Unassigned",IF(N68=1,"Single point","Staffed")))</f>
        <v/>
      </c>
      <c r="P68" s="21" t="str">
        <f aca="false">IF(OR(J68="",J68=0),"",K68/J68)</f>
        <v/>
      </c>
      <c r="Q68" s="20" t="n">
        <f aca="false">IF($A68="",0,COUNTIF('Full Register'!$J$6:$J$279,$A68))</f>
        <v>0</v>
      </c>
      <c r="R68" s="20" t="str">
        <f aca="false">IF($A68="","",IF(COUNTIFS('Full Register'!$J$6:$J$279,$A68,'Full Register'!$H$6:$H$279,"Full")&gt;0,"Full","Screen"))</f>
        <v/>
      </c>
    </row>
    <row r="69" customFormat="false" ht="15" hidden="false" customHeight="false" outlineLevel="0" collapsed="false">
      <c r="A69" s="15"/>
      <c r="B69" s="15"/>
      <c r="C69" s="15"/>
      <c r="D69" s="15"/>
      <c r="E69" s="15"/>
      <c r="F69" s="15"/>
      <c r="G69" s="15"/>
      <c r="H69" s="15"/>
      <c r="I69" s="15"/>
      <c r="J69" s="15"/>
      <c r="K69" s="15"/>
      <c r="L69" s="15"/>
      <c r="M69" s="15"/>
      <c r="N69" s="20" t="n">
        <f aca="false">IF(TRIM(F69)="",0,LEN(TRIM(F69))-LEN(SUBSTITUTE(TRIM(F69),";",""))+1)</f>
        <v>0</v>
      </c>
      <c r="O69" s="20" t="str">
        <f aca="false">IF($A69="","",IF(N69=0,"Unassigned",IF(N69=1,"Single point","Staffed")))</f>
        <v/>
      </c>
      <c r="P69" s="21" t="str">
        <f aca="false">IF(OR(J69="",J69=0),"",K69/J69)</f>
        <v/>
      </c>
      <c r="Q69" s="20" t="n">
        <f aca="false">IF($A69="",0,COUNTIF('Full Register'!$J$6:$J$279,$A69))</f>
        <v>0</v>
      </c>
      <c r="R69" s="20" t="str">
        <f aca="false">IF($A69="","",IF(COUNTIFS('Full Register'!$J$6:$J$279,$A69,'Full Register'!$H$6:$H$279,"Full")&gt;0,"Full","Screen"))</f>
        <v/>
      </c>
    </row>
    <row r="70" customFormat="false" ht="15" hidden="false" customHeight="false" outlineLevel="0" collapsed="false">
      <c r="A70" s="15"/>
      <c r="B70" s="15"/>
      <c r="C70" s="15"/>
      <c r="D70" s="15"/>
      <c r="E70" s="15"/>
      <c r="F70" s="15"/>
      <c r="G70" s="15"/>
      <c r="H70" s="15"/>
      <c r="I70" s="15"/>
      <c r="J70" s="15"/>
      <c r="K70" s="15"/>
      <c r="L70" s="15"/>
      <c r="M70" s="15"/>
      <c r="N70" s="20" t="n">
        <f aca="false">IF(TRIM(F70)="",0,LEN(TRIM(F70))-LEN(SUBSTITUTE(TRIM(F70),";",""))+1)</f>
        <v>0</v>
      </c>
      <c r="O70" s="20" t="str">
        <f aca="false">IF($A70="","",IF(N70=0,"Unassigned",IF(N70=1,"Single point","Staffed")))</f>
        <v/>
      </c>
      <c r="P70" s="21" t="str">
        <f aca="false">IF(OR(J70="",J70=0),"",K70/J70)</f>
        <v/>
      </c>
      <c r="Q70" s="20" t="n">
        <f aca="false">IF($A70="",0,COUNTIF('Full Register'!$J$6:$J$279,$A70))</f>
        <v>0</v>
      </c>
      <c r="R70" s="20" t="str">
        <f aca="false">IF($A70="","",IF(COUNTIFS('Full Register'!$J$6:$J$279,$A70,'Full Register'!$H$6:$H$279,"Full")&gt;0,"Full","Screen"))</f>
        <v/>
      </c>
    </row>
    <row r="71" customFormat="false" ht="15" hidden="false" customHeight="false" outlineLevel="0" collapsed="false">
      <c r="A71" s="15"/>
      <c r="B71" s="15"/>
      <c r="C71" s="15"/>
      <c r="D71" s="15"/>
      <c r="E71" s="15"/>
      <c r="F71" s="15"/>
      <c r="G71" s="15"/>
      <c r="H71" s="15"/>
      <c r="I71" s="15"/>
      <c r="J71" s="15"/>
      <c r="K71" s="15"/>
      <c r="L71" s="15"/>
      <c r="M71" s="15"/>
      <c r="N71" s="20" t="n">
        <f aca="false">IF(TRIM(F71)="",0,LEN(TRIM(F71))-LEN(SUBSTITUTE(TRIM(F71),";",""))+1)</f>
        <v>0</v>
      </c>
      <c r="O71" s="20" t="str">
        <f aca="false">IF($A71="","",IF(N71=0,"Unassigned",IF(N71=1,"Single point","Staffed")))</f>
        <v/>
      </c>
      <c r="P71" s="21" t="str">
        <f aca="false">IF(OR(J71="",J71=0),"",K71/J71)</f>
        <v/>
      </c>
      <c r="Q71" s="20" t="n">
        <f aca="false">IF($A71="",0,COUNTIF('Full Register'!$J$6:$J$279,$A71))</f>
        <v>0</v>
      </c>
      <c r="R71" s="20" t="str">
        <f aca="false">IF($A71="","",IF(COUNTIFS('Full Register'!$J$6:$J$279,$A71,'Full Register'!$H$6:$H$279,"Full")&gt;0,"Full","Screen"))</f>
        <v/>
      </c>
    </row>
    <row r="72" customFormat="false" ht="15" hidden="false" customHeight="false" outlineLevel="0" collapsed="false">
      <c r="A72" s="15"/>
      <c r="B72" s="15"/>
      <c r="C72" s="15"/>
      <c r="D72" s="15"/>
      <c r="E72" s="15"/>
      <c r="F72" s="15"/>
      <c r="G72" s="15"/>
      <c r="H72" s="15"/>
      <c r="I72" s="15"/>
      <c r="J72" s="15"/>
      <c r="K72" s="15"/>
      <c r="L72" s="15"/>
      <c r="M72" s="15"/>
      <c r="N72" s="20" t="n">
        <f aca="false">IF(TRIM(F72)="",0,LEN(TRIM(F72))-LEN(SUBSTITUTE(TRIM(F72),";",""))+1)</f>
        <v>0</v>
      </c>
      <c r="O72" s="20" t="str">
        <f aca="false">IF($A72="","",IF(N72=0,"Unassigned",IF(N72=1,"Single point","Staffed")))</f>
        <v/>
      </c>
      <c r="P72" s="21" t="str">
        <f aca="false">IF(OR(J72="",J72=0),"",K72/J72)</f>
        <v/>
      </c>
      <c r="Q72" s="20" t="n">
        <f aca="false">IF($A72="",0,COUNTIF('Full Register'!$J$6:$J$279,$A72))</f>
        <v>0</v>
      </c>
      <c r="R72" s="20" t="str">
        <f aca="false">IF($A72="","",IF(COUNTIFS('Full Register'!$J$6:$J$279,$A72,'Full Register'!$H$6:$H$279,"Full")&gt;0,"Full","Screen"))</f>
        <v/>
      </c>
    </row>
    <row r="73" customFormat="false" ht="15" hidden="false" customHeight="false" outlineLevel="0" collapsed="false">
      <c r="A73" s="15"/>
      <c r="B73" s="15"/>
      <c r="C73" s="15"/>
      <c r="D73" s="15"/>
      <c r="E73" s="15"/>
      <c r="F73" s="15"/>
      <c r="G73" s="15"/>
      <c r="H73" s="15"/>
      <c r="I73" s="15"/>
      <c r="J73" s="15"/>
      <c r="K73" s="15"/>
      <c r="L73" s="15"/>
      <c r="M73" s="15"/>
      <c r="N73" s="20" t="n">
        <f aca="false">IF(TRIM(F73)="",0,LEN(TRIM(F73))-LEN(SUBSTITUTE(TRIM(F73),";",""))+1)</f>
        <v>0</v>
      </c>
      <c r="O73" s="20" t="str">
        <f aca="false">IF($A73="","",IF(N73=0,"Unassigned",IF(N73=1,"Single point","Staffed")))</f>
        <v/>
      </c>
      <c r="P73" s="21" t="str">
        <f aca="false">IF(OR(J73="",J73=0),"",K73/J73)</f>
        <v/>
      </c>
      <c r="Q73" s="20" t="n">
        <f aca="false">IF($A73="",0,COUNTIF('Full Register'!$J$6:$J$279,$A73))</f>
        <v>0</v>
      </c>
      <c r="R73" s="20" t="str">
        <f aca="false">IF($A73="","",IF(COUNTIFS('Full Register'!$J$6:$J$279,$A73,'Full Register'!$H$6:$H$279,"Full")&gt;0,"Full","Screen"))</f>
        <v/>
      </c>
    </row>
    <row r="74" customFormat="false" ht="15" hidden="false" customHeight="false" outlineLevel="0" collapsed="false">
      <c r="A74" s="15"/>
      <c r="B74" s="15"/>
      <c r="C74" s="15"/>
      <c r="D74" s="15"/>
      <c r="E74" s="15"/>
      <c r="F74" s="15"/>
      <c r="G74" s="15"/>
      <c r="H74" s="15"/>
      <c r="I74" s="15"/>
      <c r="J74" s="15"/>
      <c r="K74" s="15"/>
      <c r="L74" s="15"/>
      <c r="M74" s="15"/>
      <c r="N74" s="20" t="n">
        <f aca="false">IF(TRIM(F74)="",0,LEN(TRIM(F74))-LEN(SUBSTITUTE(TRIM(F74),";",""))+1)</f>
        <v>0</v>
      </c>
      <c r="O74" s="20" t="str">
        <f aca="false">IF($A74="","",IF(N74=0,"Unassigned",IF(N74=1,"Single point","Staffed")))</f>
        <v/>
      </c>
      <c r="P74" s="21" t="str">
        <f aca="false">IF(OR(J74="",J74=0),"",K74/J74)</f>
        <v/>
      </c>
      <c r="Q74" s="20" t="n">
        <f aca="false">IF($A74="",0,COUNTIF('Full Register'!$J$6:$J$279,$A74))</f>
        <v>0</v>
      </c>
      <c r="R74" s="20" t="str">
        <f aca="false">IF($A74="","",IF(COUNTIFS('Full Register'!$J$6:$J$279,$A74,'Full Register'!$H$6:$H$279,"Full")&gt;0,"Full","Screen"))</f>
        <v/>
      </c>
    </row>
    <row r="75" customFormat="false" ht="15" hidden="false" customHeight="false" outlineLevel="0" collapsed="false">
      <c r="A75" s="15"/>
      <c r="B75" s="15"/>
      <c r="C75" s="15"/>
      <c r="D75" s="15"/>
      <c r="E75" s="15"/>
      <c r="F75" s="15"/>
      <c r="G75" s="15"/>
      <c r="H75" s="15"/>
      <c r="I75" s="15"/>
      <c r="J75" s="15"/>
      <c r="K75" s="15"/>
      <c r="L75" s="15"/>
      <c r="M75" s="15"/>
      <c r="N75" s="20" t="n">
        <f aca="false">IF(TRIM(F75)="",0,LEN(TRIM(F75))-LEN(SUBSTITUTE(TRIM(F75),";",""))+1)</f>
        <v>0</v>
      </c>
      <c r="O75" s="20" t="str">
        <f aca="false">IF($A75="","",IF(N75=0,"Unassigned",IF(N75=1,"Single point","Staffed")))</f>
        <v/>
      </c>
      <c r="P75" s="21" t="str">
        <f aca="false">IF(OR(J75="",J75=0),"",K75/J75)</f>
        <v/>
      </c>
      <c r="Q75" s="20" t="n">
        <f aca="false">IF($A75="",0,COUNTIF('Full Register'!$J$6:$J$279,$A75))</f>
        <v>0</v>
      </c>
      <c r="R75" s="20" t="str">
        <f aca="false">IF($A75="","",IF(COUNTIFS('Full Register'!$J$6:$J$279,$A75,'Full Register'!$H$6:$H$279,"Full")&gt;0,"Full","Screen"))</f>
        <v/>
      </c>
    </row>
    <row r="76" customFormat="false" ht="15" hidden="false" customHeight="false" outlineLevel="0" collapsed="false">
      <c r="A76" s="15"/>
      <c r="B76" s="15"/>
      <c r="C76" s="15"/>
      <c r="D76" s="15"/>
      <c r="E76" s="15"/>
      <c r="F76" s="15"/>
      <c r="G76" s="15"/>
      <c r="H76" s="15"/>
      <c r="I76" s="15"/>
      <c r="J76" s="15"/>
      <c r="K76" s="15"/>
      <c r="L76" s="15"/>
      <c r="M76" s="15"/>
      <c r="N76" s="20" t="n">
        <f aca="false">IF(TRIM(F76)="",0,LEN(TRIM(F76))-LEN(SUBSTITUTE(TRIM(F76),";",""))+1)</f>
        <v>0</v>
      </c>
      <c r="O76" s="20" t="str">
        <f aca="false">IF($A76="","",IF(N76=0,"Unassigned",IF(N76=1,"Single point","Staffed")))</f>
        <v/>
      </c>
      <c r="P76" s="21" t="str">
        <f aca="false">IF(OR(J76="",J76=0),"",K76/J76)</f>
        <v/>
      </c>
      <c r="Q76" s="20" t="n">
        <f aca="false">IF($A76="",0,COUNTIF('Full Register'!$J$6:$J$279,$A76))</f>
        <v>0</v>
      </c>
      <c r="R76" s="20" t="str">
        <f aca="false">IF($A76="","",IF(COUNTIFS('Full Register'!$J$6:$J$279,$A76,'Full Register'!$H$6:$H$279,"Full")&gt;0,"Full","Screen"))</f>
        <v/>
      </c>
    </row>
    <row r="77" customFormat="false" ht="15" hidden="false" customHeight="false" outlineLevel="0" collapsed="false">
      <c r="A77" s="15"/>
      <c r="B77" s="15"/>
      <c r="C77" s="15"/>
      <c r="D77" s="15"/>
      <c r="E77" s="15"/>
      <c r="F77" s="15"/>
      <c r="G77" s="15"/>
      <c r="H77" s="15"/>
      <c r="I77" s="15"/>
      <c r="J77" s="15"/>
      <c r="K77" s="15"/>
      <c r="L77" s="15"/>
      <c r="M77" s="15"/>
      <c r="N77" s="20" t="n">
        <f aca="false">IF(TRIM(F77)="",0,LEN(TRIM(F77))-LEN(SUBSTITUTE(TRIM(F77),";",""))+1)</f>
        <v>0</v>
      </c>
      <c r="O77" s="20" t="str">
        <f aca="false">IF($A77="","",IF(N77=0,"Unassigned",IF(N77=1,"Single point","Staffed")))</f>
        <v/>
      </c>
      <c r="P77" s="21" t="str">
        <f aca="false">IF(OR(J77="",J77=0),"",K77/J77)</f>
        <v/>
      </c>
      <c r="Q77" s="20" t="n">
        <f aca="false">IF($A77="",0,COUNTIF('Full Register'!$J$6:$J$279,$A77))</f>
        <v>0</v>
      </c>
      <c r="R77" s="20" t="str">
        <f aca="false">IF($A77="","",IF(COUNTIFS('Full Register'!$J$6:$J$279,$A77,'Full Register'!$H$6:$H$279,"Full")&gt;0,"Full","Screen"))</f>
        <v/>
      </c>
    </row>
    <row r="78" customFormat="false" ht="15" hidden="false" customHeight="false" outlineLevel="0" collapsed="false">
      <c r="A78" s="15"/>
      <c r="B78" s="15"/>
      <c r="C78" s="15"/>
      <c r="D78" s="15"/>
      <c r="E78" s="15"/>
      <c r="F78" s="15"/>
      <c r="G78" s="15"/>
      <c r="H78" s="15"/>
      <c r="I78" s="15"/>
      <c r="J78" s="15"/>
      <c r="K78" s="15"/>
      <c r="L78" s="15"/>
      <c r="M78" s="15"/>
      <c r="N78" s="20" t="n">
        <f aca="false">IF(TRIM(F78)="",0,LEN(TRIM(F78))-LEN(SUBSTITUTE(TRIM(F78),";",""))+1)</f>
        <v>0</v>
      </c>
      <c r="O78" s="20" t="str">
        <f aca="false">IF($A78="","",IF(N78=0,"Unassigned",IF(N78=1,"Single point","Staffed")))</f>
        <v/>
      </c>
      <c r="P78" s="21" t="str">
        <f aca="false">IF(OR(J78="",J78=0),"",K78/J78)</f>
        <v/>
      </c>
      <c r="Q78" s="20" t="n">
        <f aca="false">IF($A78="",0,COUNTIF('Full Register'!$J$6:$J$279,$A78))</f>
        <v>0</v>
      </c>
      <c r="R78" s="20" t="str">
        <f aca="false">IF($A78="","",IF(COUNTIFS('Full Register'!$J$6:$J$279,$A78,'Full Register'!$H$6:$H$279,"Full")&gt;0,"Full","Screen"))</f>
        <v/>
      </c>
    </row>
    <row r="79" customFormat="false" ht="15" hidden="false" customHeight="false" outlineLevel="0" collapsed="false">
      <c r="A79" s="15"/>
      <c r="B79" s="15"/>
      <c r="C79" s="15"/>
      <c r="D79" s="15"/>
      <c r="E79" s="15"/>
      <c r="F79" s="15"/>
      <c r="G79" s="15"/>
      <c r="H79" s="15"/>
      <c r="I79" s="15"/>
      <c r="J79" s="15"/>
      <c r="K79" s="15"/>
      <c r="L79" s="15"/>
      <c r="M79" s="15"/>
      <c r="N79" s="20" t="n">
        <f aca="false">IF(TRIM(F79)="",0,LEN(TRIM(F79))-LEN(SUBSTITUTE(TRIM(F79),";",""))+1)</f>
        <v>0</v>
      </c>
      <c r="O79" s="20" t="str">
        <f aca="false">IF($A79="","",IF(N79=0,"Unassigned",IF(N79=1,"Single point","Staffed")))</f>
        <v/>
      </c>
      <c r="P79" s="21" t="str">
        <f aca="false">IF(OR(J79="",J79=0),"",K79/J79)</f>
        <v/>
      </c>
      <c r="Q79" s="20" t="n">
        <f aca="false">IF($A79="",0,COUNTIF('Full Register'!$J$6:$J$279,$A79))</f>
        <v>0</v>
      </c>
      <c r="R79" s="20" t="str">
        <f aca="false">IF($A79="","",IF(COUNTIFS('Full Register'!$J$6:$J$279,$A79,'Full Register'!$H$6:$H$279,"Full")&gt;0,"Full","Screen"))</f>
        <v/>
      </c>
    </row>
    <row r="80" customFormat="false" ht="15" hidden="false" customHeight="false" outlineLevel="0" collapsed="false">
      <c r="A80" s="15"/>
      <c r="B80" s="15"/>
      <c r="C80" s="15"/>
      <c r="D80" s="15"/>
      <c r="E80" s="15"/>
      <c r="F80" s="15"/>
      <c r="G80" s="15"/>
      <c r="H80" s="15"/>
      <c r="I80" s="15"/>
      <c r="J80" s="15"/>
      <c r="K80" s="15"/>
      <c r="L80" s="15"/>
      <c r="M80" s="15"/>
      <c r="N80" s="20" t="n">
        <f aca="false">IF(TRIM(F80)="",0,LEN(TRIM(F80))-LEN(SUBSTITUTE(TRIM(F80),";",""))+1)</f>
        <v>0</v>
      </c>
      <c r="O80" s="20" t="str">
        <f aca="false">IF($A80="","",IF(N80=0,"Unassigned",IF(N80=1,"Single point","Staffed")))</f>
        <v/>
      </c>
      <c r="P80" s="21" t="str">
        <f aca="false">IF(OR(J80="",J80=0),"",K80/J80)</f>
        <v/>
      </c>
      <c r="Q80" s="20" t="n">
        <f aca="false">IF($A80="",0,COUNTIF('Full Register'!$J$6:$J$279,$A80))</f>
        <v>0</v>
      </c>
      <c r="R80" s="20" t="str">
        <f aca="false">IF($A80="","",IF(COUNTIFS('Full Register'!$J$6:$J$279,$A80,'Full Register'!$H$6:$H$279,"Full")&gt;0,"Full","Screen"))</f>
        <v/>
      </c>
    </row>
    <row r="81" customFormat="false" ht="15" hidden="false" customHeight="false" outlineLevel="0" collapsed="false">
      <c r="A81" s="15"/>
      <c r="B81" s="15"/>
      <c r="C81" s="15"/>
      <c r="D81" s="15"/>
      <c r="E81" s="15"/>
      <c r="F81" s="15"/>
      <c r="G81" s="15"/>
      <c r="H81" s="15"/>
      <c r="I81" s="15"/>
      <c r="J81" s="15"/>
      <c r="K81" s="15"/>
      <c r="L81" s="15"/>
      <c r="M81" s="15"/>
      <c r="N81" s="20" t="n">
        <f aca="false">IF(TRIM(F81)="",0,LEN(TRIM(F81))-LEN(SUBSTITUTE(TRIM(F81),";",""))+1)</f>
        <v>0</v>
      </c>
      <c r="O81" s="20" t="str">
        <f aca="false">IF($A81="","",IF(N81=0,"Unassigned",IF(N81=1,"Single point","Staffed")))</f>
        <v/>
      </c>
      <c r="P81" s="21" t="str">
        <f aca="false">IF(OR(J81="",J81=0),"",K81/J81)</f>
        <v/>
      </c>
      <c r="Q81" s="20" t="n">
        <f aca="false">IF($A81="",0,COUNTIF('Full Register'!$J$6:$J$279,$A81))</f>
        <v>0</v>
      </c>
      <c r="R81" s="20" t="str">
        <f aca="false">IF($A81="","",IF(COUNTIFS('Full Register'!$J$6:$J$279,$A81,'Full Register'!$H$6:$H$279,"Full")&gt;0,"Full","Screen"))</f>
        <v/>
      </c>
    </row>
    <row r="82" customFormat="false" ht="15" hidden="false" customHeight="false" outlineLevel="0" collapsed="false">
      <c r="A82" s="15"/>
      <c r="B82" s="15"/>
      <c r="C82" s="15"/>
      <c r="D82" s="15"/>
      <c r="E82" s="15"/>
      <c r="F82" s="15"/>
      <c r="G82" s="15"/>
      <c r="H82" s="15"/>
      <c r="I82" s="15"/>
      <c r="J82" s="15"/>
      <c r="K82" s="15"/>
      <c r="L82" s="15"/>
      <c r="M82" s="15"/>
      <c r="N82" s="20" t="n">
        <f aca="false">IF(TRIM(F82)="",0,LEN(TRIM(F82))-LEN(SUBSTITUTE(TRIM(F82),";",""))+1)</f>
        <v>0</v>
      </c>
      <c r="O82" s="20" t="str">
        <f aca="false">IF($A82="","",IF(N82=0,"Unassigned",IF(N82=1,"Single point","Staffed")))</f>
        <v/>
      </c>
      <c r="P82" s="21" t="str">
        <f aca="false">IF(OR(J82="",J82=0),"",K82/J82)</f>
        <v/>
      </c>
      <c r="Q82" s="20" t="n">
        <f aca="false">IF($A82="",0,COUNTIF('Full Register'!$J$6:$J$279,$A82))</f>
        <v>0</v>
      </c>
      <c r="R82" s="20" t="str">
        <f aca="false">IF($A82="","",IF(COUNTIFS('Full Register'!$J$6:$J$279,$A82,'Full Register'!$H$6:$H$279,"Full")&gt;0,"Full","Screen"))</f>
        <v/>
      </c>
    </row>
    <row r="83" customFormat="false" ht="15" hidden="false" customHeight="false" outlineLevel="0" collapsed="false">
      <c r="A83" s="15"/>
      <c r="B83" s="15"/>
      <c r="C83" s="15"/>
      <c r="D83" s="15"/>
      <c r="E83" s="15"/>
      <c r="F83" s="15"/>
      <c r="G83" s="15"/>
      <c r="H83" s="15"/>
      <c r="I83" s="15"/>
      <c r="J83" s="15"/>
      <c r="K83" s="15"/>
      <c r="L83" s="15"/>
      <c r="M83" s="15"/>
      <c r="N83" s="20" t="n">
        <f aca="false">IF(TRIM(F83)="",0,LEN(TRIM(F83))-LEN(SUBSTITUTE(TRIM(F83),";",""))+1)</f>
        <v>0</v>
      </c>
      <c r="O83" s="20" t="str">
        <f aca="false">IF($A83="","",IF(N83=0,"Unassigned",IF(N83=1,"Single point","Staffed")))</f>
        <v/>
      </c>
      <c r="P83" s="21" t="str">
        <f aca="false">IF(OR(J83="",J83=0),"",K83/J83)</f>
        <v/>
      </c>
      <c r="Q83" s="20" t="n">
        <f aca="false">IF($A83="",0,COUNTIF('Full Register'!$J$6:$J$279,$A83))</f>
        <v>0</v>
      </c>
      <c r="R83" s="20" t="str">
        <f aca="false">IF($A83="","",IF(COUNTIFS('Full Register'!$J$6:$J$279,$A83,'Full Register'!$H$6:$H$279,"Full")&gt;0,"Full","Screen"))</f>
        <v/>
      </c>
    </row>
    <row r="84" customFormat="false" ht="15" hidden="false" customHeight="false" outlineLevel="0" collapsed="false">
      <c r="A84" s="15"/>
      <c r="B84" s="15"/>
      <c r="C84" s="15"/>
      <c r="D84" s="15"/>
      <c r="E84" s="15"/>
      <c r="F84" s="15"/>
      <c r="G84" s="15"/>
      <c r="H84" s="15"/>
      <c r="I84" s="15"/>
      <c r="J84" s="15"/>
      <c r="K84" s="15"/>
      <c r="L84" s="15"/>
      <c r="M84" s="15"/>
      <c r="N84" s="20" t="n">
        <f aca="false">IF(TRIM(F84)="",0,LEN(TRIM(F84))-LEN(SUBSTITUTE(TRIM(F84),";",""))+1)</f>
        <v>0</v>
      </c>
      <c r="O84" s="20" t="str">
        <f aca="false">IF($A84="","",IF(N84=0,"Unassigned",IF(N84=1,"Single point","Staffed")))</f>
        <v/>
      </c>
      <c r="P84" s="21" t="str">
        <f aca="false">IF(OR(J84="",J84=0),"",K84/J84)</f>
        <v/>
      </c>
      <c r="Q84" s="20" t="n">
        <f aca="false">IF($A84="",0,COUNTIF('Full Register'!$J$6:$J$279,$A84))</f>
        <v>0</v>
      </c>
      <c r="R84" s="20" t="str">
        <f aca="false">IF($A84="","",IF(COUNTIFS('Full Register'!$J$6:$J$279,$A84,'Full Register'!$H$6:$H$279,"Full")&gt;0,"Full","Screen"))</f>
        <v/>
      </c>
    </row>
    <row r="85" customFormat="false" ht="15" hidden="false" customHeight="false" outlineLevel="0" collapsed="false">
      <c r="A85" s="15"/>
      <c r="B85" s="15"/>
      <c r="C85" s="15"/>
      <c r="D85" s="15"/>
      <c r="E85" s="15"/>
      <c r="F85" s="15"/>
      <c r="G85" s="15"/>
      <c r="H85" s="15"/>
      <c r="I85" s="15"/>
      <c r="J85" s="15"/>
      <c r="K85" s="15"/>
      <c r="L85" s="15"/>
      <c r="M85" s="15"/>
      <c r="N85" s="20" t="n">
        <f aca="false">IF(TRIM(F85)="",0,LEN(TRIM(F85))-LEN(SUBSTITUTE(TRIM(F85),";",""))+1)</f>
        <v>0</v>
      </c>
      <c r="O85" s="20" t="str">
        <f aca="false">IF($A85="","",IF(N85=0,"Unassigned",IF(N85=1,"Single point","Staffed")))</f>
        <v/>
      </c>
      <c r="P85" s="21" t="str">
        <f aca="false">IF(OR(J85="",J85=0),"",K85/J85)</f>
        <v/>
      </c>
      <c r="Q85" s="20" t="n">
        <f aca="false">IF($A85="",0,COUNTIF('Full Register'!$J$6:$J$279,$A85))</f>
        <v>0</v>
      </c>
      <c r="R85" s="20" t="str">
        <f aca="false">IF($A85="","",IF(COUNTIFS('Full Register'!$J$6:$J$279,$A85,'Full Register'!$H$6:$H$279,"Full")&gt;0,"Full","Screen"))</f>
        <v/>
      </c>
    </row>
    <row r="86" customFormat="false" ht="15" hidden="false" customHeight="false" outlineLevel="0" collapsed="false">
      <c r="A86" s="15"/>
      <c r="B86" s="15"/>
      <c r="C86" s="15"/>
      <c r="D86" s="15"/>
      <c r="E86" s="15"/>
      <c r="F86" s="15"/>
      <c r="G86" s="15"/>
      <c r="H86" s="15"/>
      <c r="I86" s="15"/>
      <c r="J86" s="15"/>
      <c r="K86" s="15"/>
      <c r="L86" s="15"/>
      <c r="M86" s="15"/>
      <c r="N86" s="20" t="n">
        <f aca="false">IF(TRIM(F86)="",0,LEN(TRIM(F86))-LEN(SUBSTITUTE(TRIM(F86),";",""))+1)</f>
        <v>0</v>
      </c>
      <c r="O86" s="20" t="str">
        <f aca="false">IF($A86="","",IF(N86=0,"Unassigned",IF(N86=1,"Single point","Staffed")))</f>
        <v/>
      </c>
      <c r="P86" s="21" t="str">
        <f aca="false">IF(OR(J86="",J86=0),"",K86/J86)</f>
        <v/>
      </c>
      <c r="Q86" s="20" t="n">
        <f aca="false">IF($A86="",0,COUNTIF('Full Register'!$J$6:$J$279,$A86))</f>
        <v>0</v>
      </c>
      <c r="R86" s="20" t="str">
        <f aca="false">IF($A86="","",IF(COUNTIFS('Full Register'!$J$6:$J$279,$A86,'Full Register'!$H$6:$H$279,"Full")&gt;0,"Full","Screen"))</f>
        <v/>
      </c>
    </row>
    <row r="87" customFormat="false" ht="15" hidden="false" customHeight="false" outlineLevel="0" collapsed="false">
      <c r="A87" s="15"/>
      <c r="B87" s="15"/>
      <c r="C87" s="15"/>
      <c r="D87" s="15"/>
      <c r="E87" s="15"/>
      <c r="F87" s="15"/>
      <c r="G87" s="15"/>
      <c r="H87" s="15"/>
      <c r="I87" s="15"/>
      <c r="J87" s="15"/>
      <c r="K87" s="15"/>
      <c r="L87" s="15"/>
      <c r="M87" s="15"/>
      <c r="N87" s="20" t="n">
        <f aca="false">IF(TRIM(F87)="",0,LEN(TRIM(F87))-LEN(SUBSTITUTE(TRIM(F87),";",""))+1)</f>
        <v>0</v>
      </c>
      <c r="O87" s="20" t="str">
        <f aca="false">IF($A87="","",IF(N87=0,"Unassigned",IF(N87=1,"Single point","Staffed")))</f>
        <v/>
      </c>
      <c r="P87" s="21" t="str">
        <f aca="false">IF(OR(J87="",J87=0),"",K87/J87)</f>
        <v/>
      </c>
      <c r="Q87" s="20" t="n">
        <f aca="false">IF($A87="",0,COUNTIF('Full Register'!$J$6:$J$279,$A87))</f>
        <v>0</v>
      </c>
      <c r="R87" s="20" t="str">
        <f aca="false">IF($A87="","",IF(COUNTIFS('Full Register'!$J$6:$J$279,$A87,'Full Register'!$H$6:$H$279,"Full")&gt;0,"Full","Screen"))</f>
        <v/>
      </c>
    </row>
    <row r="88" customFormat="false" ht="15" hidden="false" customHeight="false" outlineLevel="0" collapsed="false">
      <c r="A88" s="15"/>
      <c r="B88" s="15"/>
      <c r="C88" s="15"/>
      <c r="D88" s="15"/>
      <c r="E88" s="15"/>
      <c r="F88" s="15"/>
      <c r="G88" s="15"/>
      <c r="H88" s="15"/>
      <c r="I88" s="15"/>
      <c r="J88" s="15"/>
      <c r="K88" s="15"/>
      <c r="L88" s="15"/>
      <c r="M88" s="15"/>
      <c r="N88" s="20" t="n">
        <f aca="false">IF(TRIM(F88)="",0,LEN(TRIM(F88))-LEN(SUBSTITUTE(TRIM(F88),";",""))+1)</f>
        <v>0</v>
      </c>
      <c r="O88" s="20" t="str">
        <f aca="false">IF($A88="","",IF(N88=0,"Unassigned",IF(N88=1,"Single point","Staffed")))</f>
        <v/>
      </c>
      <c r="P88" s="21" t="str">
        <f aca="false">IF(OR(J88="",J88=0),"",K88/J88)</f>
        <v/>
      </c>
      <c r="Q88" s="20" t="n">
        <f aca="false">IF($A88="",0,COUNTIF('Full Register'!$J$6:$J$279,$A88))</f>
        <v>0</v>
      </c>
      <c r="R88" s="20" t="str">
        <f aca="false">IF($A88="","",IF(COUNTIFS('Full Register'!$J$6:$J$279,$A88,'Full Register'!$H$6:$H$279,"Full")&gt;0,"Full","Screen"))</f>
        <v/>
      </c>
    </row>
    <row r="89" customFormat="false" ht="15" hidden="false" customHeight="false" outlineLevel="0" collapsed="false">
      <c r="A89" s="15"/>
      <c r="B89" s="15"/>
      <c r="C89" s="15"/>
      <c r="D89" s="15"/>
      <c r="E89" s="15"/>
      <c r="F89" s="15"/>
      <c r="G89" s="15"/>
      <c r="H89" s="15"/>
      <c r="I89" s="15"/>
      <c r="J89" s="15"/>
      <c r="K89" s="15"/>
      <c r="L89" s="15"/>
      <c r="M89" s="15"/>
      <c r="N89" s="20" t="n">
        <f aca="false">IF(TRIM(F89)="",0,LEN(TRIM(F89))-LEN(SUBSTITUTE(TRIM(F89),";",""))+1)</f>
        <v>0</v>
      </c>
      <c r="O89" s="20" t="str">
        <f aca="false">IF($A89="","",IF(N89=0,"Unassigned",IF(N89=1,"Single point","Staffed")))</f>
        <v/>
      </c>
      <c r="P89" s="21" t="str">
        <f aca="false">IF(OR(J89="",J89=0),"",K89/J89)</f>
        <v/>
      </c>
      <c r="Q89" s="20" t="n">
        <f aca="false">IF($A89="",0,COUNTIF('Full Register'!$J$6:$J$279,$A89))</f>
        <v>0</v>
      </c>
      <c r="R89" s="20" t="str">
        <f aca="false">IF($A89="","",IF(COUNTIFS('Full Register'!$J$6:$J$279,$A89,'Full Register'!$H$6:$H$279,"Full")&gt;0,"Full","Screen"))</f>
        <v/>
      </c>
    </row>
    <row r="90" customFormat="false" ht="15" hidden="false" customHeight="false" outlineLevel="0" collapsed="false">
      <c r="A90" s="15"/>
      <c r="B90" s="15"/>
      <c r="C90" s="15"/>
      <c r="D90" s="15"/>
      <c r="E90" s="15"/>
      <c r="F90" s="15"/>
      <c r="G90" s="15"/>
      <c r="H90" s="15"/>
      <c r="I90" s="15"/>
      <c r="J90" s="15"/>
      <c r="K90" s="15"/>
      <c r="L90" s="15"/>
      <c r="M90" s="15"/>
      <c r="N90" s="20" t="n">
        <f aca="false">IF(TRIM(F90)="",0,LEN(TRIM(F90))-LEN(SUBSTITUTE(TRIM(F90),";",""))+1)</f>
        <v>0</v>
      </c>
      <c r="O90" s="20" t="str">
        <f aca="false">IF($A90="","",IF(N90=0,"Unassigned",IF(N90=1,"Single point","Staffed")))</f>
        <v/>
      </c>
      <c r="P90" s="21" t="str">
        <f aca="false">IF(OR(J90="",J90=0),"",K90/J90)</f>
        <v/>
      </c>
      <c r="Q90" s="20" t="n">
        <f aca="false">IF($A90="",0,COUNTIF('Full Register'!$J$6:$J$279,$A90))</f>
        <v>0</v>
      </c>
      <c r="R90" s="20" t="str">
        <f aca="false">IF($A90="","",IF(COUNTIFS('Full Register'!$J$6:$J$279,$A90,'Full Register'!$H$6:$H$279,"Full")&gt;0,"Full","Screen"))</f>
        <v/>
      </c>
    </row>
    <row r="91" customFormat="false" ht="15" hidden="false" customHeight="false" outlineLevel="0" collapsed="false">
      <c r="A91" s="15"/>
      <c r="B91" s="15"/>
      <c r="C91" s="15"/>
      <c r="D91" s="15"/>
      <c r="E91" s="15"/>
      <c r="F91" s="15"/>
      <c r="G91" s="15"/>
      <c r="H91" s="15"/>
      <c r="I91" s="15"/>
      <c r="J91" s="15"/>
      <c r="K91" s="15"/>
      <c r="L91" s="15"/>
      <c r="M91" s="15"/>
      <c r="N91" s="20" t="n">
        <f aca="false">IF(TRIM(F91)="",0,LEN(TRIM(F91))-LEN(SUBSTITUTE(TRIM(F91),";",""))+1)</f>
        <v>0</v>
      </c>
      <c r="O91" s="20" t="str">
        <f aca="false">IF($A91="","",IF(N91=0,"Unassigned",IF(N91=1,"Single point","Staffed")))</f>
        <v/>
      </c>
      <c r="P91" s="21" t="str">
        <f aca="false">IF(OR(J91="",J91=0),"",K91/J91)</f>
        <v/>
      </c>
      <c r="Q91" s="20" t="n">
        <f aca="false">IF($A91="",0,COUNTIF('Full Register'!$J$6:$J$279,$A91))</f>
        <v>0</v>
      </c>
      <c r="R91" s="20" t="str">
        <f aca="false">IF($A91="","",IF(COUNTIFS('Full Register'!$J$6:$J$279,$A91,'Full Register'!$H$6:$H$279,"Full")&gt;0,"Full","Screen"))</f>
        <v/>
      </c>
    </row>
    <row r="92" customFormat="false" ht="15" hidden="false" customHeight="false" outlineLevel="0" collapsed="false">
      <c r="A92" s="15"/>
      <c r="B92" s="15"/>
      <c r="C92" s="15"/>
      <c r="D92" s="15"/>
      <c r="E92" s="15"/>
      <c r="F92" s="15"/>
      <c r="G92" s="15"/>
      <c r="H92" s="15"/>
      <c r="I92" s="15"/>
      <c r="J92" s="15"/>
      <c r="K92" s="15"/>
      <c r="L92" s="15"/>
      <c r="M92" s="15"/>
      <c r="N92" s="20" t="n">
        <f aca="false">IF(TRIM(F92)="",0,LEN(TRIM(F92))-LEN(SUBSTITUTE(TRIM(F92),";",""))+1)</f>
        <v>0</v>
      </c>
      <c r="O92" s="20" t="str">
        <f aca="false">IF($A92="","",IF(N92=0,"Unassigned",IF(N92=1,"Single point","Staffed")))</f>
        <v/>
      </c>
      <c r="P92" s="21" t="str">
        <f aca="false">IF(OR(J92="",J92=0),"",K92/J92)</f>
        <v/>
      </c>
      <c r="Q92" s="20" t="n">
        <f aca="false">IF($A92="",0,COUNTIF('Full Register'!$J$6:$J$279,$A92))</f>
        <v>0</v>
      </c>
      <c r="R92" s="20" t="str">
        <f aca="false">IF($A92="","",IF(COUNTIFS('Full Register'!$J$6:$J$279,$A92,'Full Register'!$H$6:$H$279,"Full")&gt;0,"Full","Screen"))</f>
        <v/>
      </c>
    </row>
    <row r="93" customFormat="false" ht="15" hidden="false" customHeight="false" outlineLevel="0" collapsed="false">
      <c r="A93" s="15"/>
      <c r="B93" s="15"/>
      <c r="C93" s="15"/>
      <c r="D93" s="15"/>
      <c r="E93" s="15"/>
      <c r="F93" s="15"/>
      <c r="G93" s="15"/>
      <c r="H93" s="15"/>
      <c r="I93" s="15"/>
      <c r="J93" s="15"/>
      <c r="K93" s="15"/>
      <c r="L93" s="15"/>
      <c r="M93" s="15"/>
      <c r="N93" s="20" t="n">
        <f aca="false">IF(TRIM(F93)="",0,LEN(TRIM(F93))-LEN(SUBSTITUTE(TRIM(F93),";",""))+1)</f>
        <v>0</v>
      </c>
      <c r="O93" s="20" t="str">
        <f aca="false">IF($A93="","",IF(N93=0,"Unassigned",IF(N93=1,"Single point","Staffed")))</f>
        <v/>
      </c>
      <c r="P93" s="21" t="str">
        <f aca="false">IF(OR(J93="",J93=0),"",K93/J93)</f>
        <v/>
      </c>
      <c r="Q93" s="20" t="n">
        <f aca="false">IF($A93="",0,COUNTIF('Full Register'!$J$6:$J$279,$A93))</f>
        <v>0</v>
      </c>
      <c r="R93" s="20" t="str">
        <f aca="false">IF($A93="","",IF(COUNTIFS('Full Register'!$J$6:$J$279,$A93,'Full Register'!$H$6:$H$279,"Full")&gt;0,"Full","Screen"))</f>
        <v/>
      </c>
    </row>
    <row r="94" customFormat="false" ht="15" hidden="false" customHeight="false" outlineLevel="0" collapsed="false">
      <c r="A94" s="15"/>
      <c r="B94" s="15"/>
      <c r="C94" s="15"/>
      <c r="D94" s="15"/>
      <c r="E94" s="15"/>
      <c r="F94" s="15"/>
      <c r="G94" s="15"/>
      <c r="H94" s="15"/>
      <c r="I94" s="15"/>
      <c r="J94" s="15"/>
      <c r="K94" s="15"/>
      <c r="L94" s="15"/>
      <c r="M94" s="15"/>
      <c r="N94" s="20" t="n">
        <f aca="false">IF(TRIM(F94)="",0,LEN(TRIM(F94))-LEN(SUBSTITUTE(TRIM(F94),";",""))+1)</f>
        <v>0</v>
      </c>
      <c r="O94" s="20" t="str">
        <f aca="false">IF($A94="","",IF(N94=0,"Unassigned",IF(N94=1,"Single point","Staffed")))</f>
        <v/>
      </c>
      <c r="P94" s="21" t="str">
        <f aca="false">IF(OR(J94="",J94=0),"",K94/J94)</f>
        <v/>
      </c>
      <c r="Q94" s="20" t="n">
        <f aca="false">IF($A94="",0,COUNTIF('Full Register'!$J$6:$J$279,$A94))</f>
        <v>0</v>
      </c>
      <c r="R94" s="20" t="str">
        <f aca="false">IF($A94="","",IF(COUNTIFS('Full Register'!$J$6:$J$279,$A94,'Full Register'!$H$6:$H$279,"Full")&gt;0,"Full","Screen"))</f>
        <v/>
      </c>
    </row>
    <row r="95" customFormat="false" ht="15" hidden="false" customHeight="false" outlineLevel="0" collapsed="false">
      <c r="A95" s="15"/>
      <c r="B95" s="15"/>
      <c r="C95" s="15"/>
      <c r="D95" s="15"/>
      <c r="E95" s="15"/>
      <c r="F95" s="15"/>
      <c r="G95" s="15"/>
      <c r="H95" s="15"/>
      <c r="I95" s="15"/>
      <c r="J95" s="15"/>
      <c r="K95" s="15"/>
      <c r="L95" s="15"/>
      <c r="M95" s="15"/>
      <c r="N95" s="20" t="n">
        <f aca="false">IF(TRIM(F95)="",0,LEN(TRIM(F95))-LEN(SUBSTITUTE(TRIM(F95),";",""))+1)</f>
        <v>0</v>
      </c>
      <c r="O95" s="20" t="str">
        <f aca="false">IF($A95="","",IF(N95=0,"Unassigned",IF(N95=1,"Single point","Staffed")))</f>
        <v/>
      </c>
      <c r="P95" s="21" t="str">
        <f aca="false">IF(OR(J95="",J95=0),"",K95/J95)</f>
        <v/>
      </c>
      <c r="Q95" s="20" t="n">
        <f aca="false">IF($A95="",0,COUNTIF('Full Register'!$J$6:$J$279,$A95))</f>
        <v>0</v>
      </c>
      <c r="R95" s="20" t="str">
        <f aca="false">IF($A95="","",IF(COUNTIFS('Full Register'!$J$6:$J$279,$A95,'Full Register'!$H$6:$H$279,"Full")&gt;0,"Full","Screen"))</f>
        <v/>
      </c>
    </row>
    <row r="96" customFormat="false" ht="15" hidden="false" customHeight="false" outlineLevel="0" collapsed="false">
      <c r="A96" s="15"/>
      <c r="B96" s="15"/>
      <c r="C96" s="15"/>
      <c r="D96" s="15"/>
      <c r="E96" s="15"/>
      <c r="F96" s="15"/>
      <c r="G96" s="15"/>
      <c r="H96" s="15"/>
      <c r="I96" s="15"/>
      <c r="J96" s="15"/>
      <c r="K96" s="15"/>
      <c r="L96" s="15"/>
      <c r="M96" s="15"/>
      <c r="N96" s="20" t="n">
        <f aca="false">IF(TRIM(F96)="",0,LEN(TRIM(F96))-LEN(SUBSTITUTE(TRIM(F96),";",""))+1)</f>
        <v>0</v>
      </c>
      <c r="O96" s="20" t="str">
        <f aca="false">IF($A96="","",IF(N96=0,"Unassigned",IF(N96=1,"Single point","Staffed")))</f>
        <v/>
      </c>
      <c r="P96" s="21" t="str">
        <f aca="false">IF(OR(J96="",J96=0),"",K96/J96)</f>
        <v/>
      </c>
      <c r="Q96" s="20" t="n">
        <f aca="false">IF($A96="",0,COUNTIF('Full Register'!$J$6:$J$279,$A96))</f>
        <v>0</v>
      </c>
      <c r="R96" s="20" t="str">
        <f aca="false">IF($A96="","",IF(COUNTIFS('Full Register'!$J$6:$J$279,$A96,'Full Register'!$H$6:$H$279,"Full")&gt;0,"Full","Screen"))</f>
        <v/>
      </c>
    </row>
    <row r="97" customFormat="false" ht="15" hidden="false" customHeight="false" outlineLevel="0" collapsed="false">
      <c r="A97" s="15"/>
      <c r="B97" s="15"/>
      <c r="C97" s="15"/>
      <c r="D97" s="15"/>
      <c r="E97" s="15"/>
      <c r="F97" s="15"/>
      <c r="G97" s="15"/>
      <c r="H97" s="15"/>
      <c r="I97" s="15"/>
      <c r="J97" s="15"/>
      <c r="K97" s="15"/>
      <c r="L97" s="15"/>
      <c r="M97" s="15"/>
      <c r="N97" s="20" t="n">
        <f aca="false">IF(TRIM(F97)="",0,LEN(TRIM(F97))-LEN(SUBSTITUTE(TRIM(F97),";",""))+1)</f>
        <v>0</v>
      </c>
      <c r="O97" s="20" t="str">
        <f aca="false">IF($A97="","",IF(N97=0,"Unassigned",IF(N97=1,"Single point","Staffed")))</f>
        <v/>
      </c>
      <c r="P97" s="21" t="str">
        <f aca="false">IF(OR(J97="",J97=0),"",K97/J97)</f>
        <v/>
      </c>
      <c r="Q97" s="20" t="n">
        <f aca="false">IF($A97="",0,COUNTIF('Full Register'!$J$6:$J$279,$A97))</f>
        <v>0</v>
      </c>
      <c r="R97" s="20" t="str">
        <f aca="false">IF($A97="","",IF(COUNTIFS('Full Register'!$J$6:$J$279,$A97,'Full Register'!$H$6:$H$279,"Full")&gt;0,"Full","Screen"))</f>
        <v/>
      </c>
    </row>
    <row r="98" customFormat="false" ht="15" hidden="false" customHeight="false" outlineLevel="0" collapsed="false">
      <c r="A98" s="15"/>
      <c r="B98" s="15"/>
      <c r="C98" s="15"/>
      <c r="D98" s="15"/>
      <c r="E98" s="15"/>
      <c r="F98" s="15"/>
      <c r="G98" s="15"/>
      <c r="H98" s="15"/>
      <c r="I98" s="15"/>
      <c r="J98" s="15"/>
      <c r="K98" s="15"/>
      <c r="L98" s="15"/>
      <c r="M98" s="15"/>
      <c r="N98" s="20" t="n">
        <f aca="false">IF(TRIM(F98)="",0,LEN(TRIM(F98))-LEN(SUBSTITUTE(TRIM(F98),";",""))+1)</f>
        <v>0</v>
      </c>
      <c r="O98" s="20" t="str">
        <f aca="false">IF($A98="","",IF(N98=0,"Unassigned",IF(N98=1,"Single point","Staffed")))</f>
        <v/>
      </c>
      <c r="P98" s="21" t="str">
        <f aca="false">IF(OR(J98="",J98=0),"",K98/J98)</f>
        <v/>
      </c>
      <c r="Q98" s="20" t="n">
        <f aca="false">IF($A98="",0,COUNTIF('Full Register'!$J$6:$J$279,$A98))</f>
        <v>0</v>
      </c>
      <c r="R98" s="20" t="str">
        <f aca="false">IF($A98="","",IF(COUNTIFS('Full Register'!$J$6:$J$279,$A98,'Full Register'!$H$6:$H$279,"Full")&gt;0,"Full","Screen"))</f>
        <v/>
      </c>
    </row>
    <row r="99" customFormat="false" ht="15" hidden="false" customHeight="false" outlineLevel="0" collapsed="false">
      <c r="A99" s="15"/>
      <c r="B99" s="15"/>
      <c r="C99" s="15"/>
      <c r="D99" s="15"/>
      <c r="E99" s="15"/>
      <c r="F99" s="15"/>
      <c r="G99" s="15"/>
      <c r="H99" s="15"/>
      <c r="I99" s="15"/>
      <c r="J99" s="15"/>
      <c r="K99" s="15"/>
      <c r="L99" s="15"/>
      <c r="M99" s="15"/>
      <c r="N99" s="20" t="n">
        <f aca="false">IF(TRIM(F99)="",0,LEN(TRIM(F99))-LEN(SUBSTITUTE(TRIM(F99),";",""))+1)</f>
        <v>0</v>
      </c>
      <c r="O99" s="20" t="str">
        <f aca="false">IF($A99="","",IF(N99=0,"Unassigned",IF(N99=1,"Single point","Staffed")))</f>
        <v/>
      </c>
      <c r="P99" s="21" t="str">
        <f aca="false">IF(OR(J99="",J99=0),"",K99/J99)</f>
        <v/>
      </c>
      <c r="Q99" s="20" t="n">
        <f aca="false">IF($A99="",0,COUNTIF('Full Register'!$J$6:$J$279,$A99))</f>
        <v>0</v>
      </c>
      <c r="R99" s="20" t="str">
        <f aca="false">IF($A99="","",IF(COUNTIFS('Full Register'!$J$6:$J$279,$A99,'Full Register'!$H$6:$H$279,"Full")&gt;0,"Full","Screen"))</f>
        <v/>
      </c>
    </row>
    <row r="100" customFormat="false" ht="15" hidden="false" customHeight="false" outlineLevel="0" collapsed="false">
      <c r="A100" s="15"/>
      <c r="B100" s="15"/>
      <c r="C100" s="15"/>
      <c r="D100" s="15"/>
      <c r="E100" s="15"/>
      <c r="F100" s="15"/>
      <c r="G100" s="15"/>
      <c r="H100" s="15"/>
      <c r="I100" s="15"/>
      <c r="J100" s="15"/>
      <c r="K100" s="15"/>
      <c r="L100" s="15"/>
      <c r="M100" s="15"/>
      <c r="N100" s="20" t="n">
        <f aca="false">IF(TRIM(F100)="",0,LEN(TRIM(F100))-LEN(SUBSTITUTE(TRIM(F100),";",""))+1)</f>
        <v>0</v>
      </c>
      <c r="O100" s="20" t="str">
        <f aca="false">IF($A100="","",IF(N100=0,"Unassigned",IF(N100=1,"Single point","Staffed")))</f>
        <v/>
      </c>
      <c r="P100" s="21" t="str">
        <f aca="false">IF(OR(J100="",J100=0),"",K100/J100)</f>
        <v/>
      </c>
      <c r="Q100" s="20" t="n">
        <f aca="false">IF($A100="",0,COUNTIF('Full Register'!$J$6:$J$279,$A100))</f>
        <v>0</v>
      </c>
      <c r="R100" s="20" t="str">
        <f aca="false">IF($A100="","",IF(COUNTIFS('Full Register'!$J$6:$J$279,$A100,'Full Register'!$H$6:$H$279,"Full")&gt;0,"Full","Screen"))</f>
        <v/>
      </c>
    </row>
    <row r="101" customFormat="false" ht="15" hidden="false" customHeight="false" outlineLevel="0" collapsed="false">
      <c r="A101" s="15"/>
      <c r="B101" s="15"/>
      <c r="C101" s="15"/>
      <c r="D101" s="15"/>
      <c r="E101" s="15"/>
      <c r="F101" s="15"/>
      <c r="G101" s="15"/>
      <c r="H101" s="15"/>
      <c r="I101" s="15"/>
      <c r="J101" s="15"/>
      <c r="K101" s="15"/>
      <c r="L101" s="15"/>
      <c r="M101" s="15"/>
      <c r="N101" s="20" t="n">
        <f aca="false">IF(TRIM(F101)="",0,LEN(TRIM(F101))-LEN(SUBSTITUTE(TRIM(F101),";",""))+1)</f>
        <v>0</v>
      </c>
      <c r="O101" s="20" t="str">
        <f aca="false">IF($A101="","",IF(N101=0,"Unassigned",IF(N101=1,"Single point","Staffed")))</f>
        <v/>
      </c>
      <c r="P101" s="21" t="str">
        <f aca="false">IF(OR(J101="",J101=0),"",K101/J101)</f>
        <v/>
      </c>
      <c r="Q101" s="20" t="n">
        <f aca="false">IF($A101="",0,COUNTIF('Full Register'!$J$6:$J$279,$A101))</f>
        <v>0</v>
      </c>
      <c r="R101" s="20" t="str">
        <f aca="false">IF($A101="","",IF(COUNTIFS('Full Register'!$J$6:$J$279,$A101,'Full Register'!$H$6:$H$279,"Full")&gt;0,"Full","Screen"))</f>
        <v/>
      </c>
    </row>
    <row r="102" customFormat="false" ht="15" hidden="false" customHeight="false" outlineLevel="0" collapsed="false">
      <c r="A102" s="15"/>
      <c r="B102" s="15"/>
      <c r="C102" s="15"/>
      <c r="D102" s="15"/>
      <c r="E102" s="15"/>
      <c r="F102" s="15"/>
      <c r="G102" s="15"/>
      <c r="H102" s="15"/>
      <c r="I102" s="15"/>
      <c r="J102" s="15"/>
      <c r="K102" s="15"/>
      <c r="L102" s="15"/>
      <c r="M102" s="15"/>
      <c r="N102" s="20" t="n">
        <f aca="false">IF(TRIM(F102)="",0,LEN(TRIM(F102))-LEN(SUBSTITUTE(TRIM(F102),";",""))+1)</f>
        <v>0</v>
      </c>
      <c r="O102" s="20" t="str">
        <f aca="false">IF($A102="","",IF(N102=0,"Unassigned",IF(N102=1,"Single point","Staffed")))</f>
        <v/>
      </c>
      <c r="P102" s="21" t="str">
        <f aca="false">IF(OR(J102="",J102=0),"",K102/J102)</f>
        <v/>
      </c>
      <c r="Q102" s="20" t="n">
        <f aca="false">IF($A102="",0,COUNTIF('Full Register'!$J$6:$J$279,$A102))</f>
        <v>0</v>
      </c>
      <c r="R102" s="20" t="str">
        <f aca="false">IF($A102="","",IF(COUNTIFS('Full Register'!$J$6:$J$279,$A102,'Full Register'!$H$6:$H$279,"Full")&gt;0,"Full","Screen"))</f>
        <v/>
      </c>
    </row>
    <row r="103" customFormat="false" ht="15" hidden="false" customHeight="false" outlineLevel="0" collapsed="false">
      <c r="A103" s="15"/>
      <c r="B103" s="15"/>
      <c r="C103" s="15"/>
      <c r="D103" s="15"/>
      <c r="E103" s="15"/>
      <c r="F103" s="15"/>
      <c r="G103" s="15"/>
      <c r="H103" s="15"/>
      <c r="I103" s="15"/>
      <c r="J103" s="15"/>
      <c r="K103" s="15"/>
      <c r="L103" s="15"/>
      <c r="M103" s="15"/>
      <c r="N103" s="20" t="n">
        <f aca="false">IF(TRIM(F103)="",0,LEN(TRIM(F103))-LEN(SUBSTITUTE(TRIM(F103),";",""))+1)</f>
        <v>0</v>
      </c>
      <c r="O103" s="20" t="str">
        <f aca="false">IF($A103="","",IF(N103=0,"Unassigned",IF(N103=1,"Single point","Staffed")))</f>
        <v/>
      </c>
      <c r="P103" s="21" t="str">
        <f aca="false">IF(OR(J103="",J103=0),"",K103/J103)</f>
        <v/>
      </c>
      <c r="Q103" s="20" t="n">
        <f aca="false">IF($A103="",0,COUNTIF('Full Register'!$J$6:$J$279,$A103))</f>
        <v>0</v>
      </c>
      <c r="R103" s="20" t="str">
        <f aca="false">IF($A103="","",IF(COUNTIFS('Full Register'!$J$6:$J$279,$A103,'Full Register'!$H$6:$H$279,"Full")&gt;0,"Full","Screen"))</f>
        <v/>
      </c>
    </row>
    <row r="104" customFormat="false" ht="15" hidden="false" customHeight="false" outlineLevel="0" collapsed="false">
      <c r="A104" s="15"/>
      <c r="B104" s="15"/>
      <c r="C104" s="15"/>
      <c r="D104" s="15"/>
      <c r="E104" s="15"/>
      <c r="F104" s="15"/>
      <c r="G104" s="15"/>
      <c r="H104" s="15"/>
      <c r="I104" s="15"/>
      <c r="J104" s="15"/>
      <c r="K104" s="15"/>
      <c r="L104" s="15"/>
      <c r="M104" s="15"/>
      <c r="N104" s="20" t="n">
        <f aca="false">IF(TRIM(F104)="",0,LEN(TRIM(F104))-LEN(SUBSTITUTE(TRIM(F104),";",""))+1)</f>
        <v>0</v>
      </c>
      <c r="O104" s="20" t="str">
        <f aca="false">IF($A104="","",IF(N104=0,"Unassigned",IF(N104=1,"Single point","Staffed")))</f>
        <v/>
      </c>
      <c r="P104" s="21" t="str">
        <f aca="false">IF(OR(J104="",J104=0),"",K104/J104)</f>
        <v/>
      </c>
      <c r="Q104" s="20" t="n">
        <f aca="false">IF($A104="",0,COUNTIF('Full Register'!$J$6:$J$279,$A104))</f>
        <v>0</v>
      </c>
      <c r="R104" s="20" t="str">
        <f aca="false">IF($A104="","",IF(COUNTIFS('Full Register'!$J$6:$J$279,$A104,'Full Register'!$H$6:$H$279,"Full")&gt;0,"Full","Screen"))</f>
        <v/>
      </c>
    </row>
    <row r="105" customFormat="false" ht="15" hidden="false" customHeight="false" outlineLevel="0" collapsed="false">
      <c r="A105" s="15"/>
      <c r="B105" s="15"/>
      <c r="C105" s="15"/>
      <c r="D105" s="15"/>
      <c r="E105" s="15"/>
      <c r="F105" s="15"/>
      <c r="G105" s="15"/>
      <c r="H105" s="15"/>
      <c r="I105" s="15"/>
      <c r="J105" s="15"/>
      <c r="K105" s="15"/>
      <c r="L105" s="15"/>
      <c r="M105" s="15"/>
      <c r="N105" s="20" t="n">
        <f aca="false">IF(TRIM(F105)="",0,LEN(TRIM(F105))-LEN(SUBSTITUTE(TRIM(F105),";",""))+1)</f>
        <v>0</v>
      </c>
      <c r="O105" s="20" t="str">
        <f aca="false">IF($A105="","",IF(N105=0,"Unassigned",IF(N105=1,"Single point","Staffed")))</f>
        <v/>
      </c>
      <c r="P105" s="21" t="str">
        <f aca="false">IF(OR(J105="",J105=0),"",K105/J105)</f>
        <v/>
      </c>
      <c r="Q105" s="20" t="n">
        <f aca="false">IF($A105="",0,COUNTIF('Full Register'!$J$6:$J$279,$A105))</f>
        <v>0</v>
      </c>
      <c r="R105" s="20" t="str">
        <f aca="false">IF($A105="","",IF(COUNTIFS('Full Register'!$J$6:$J$279,$A105,'Full Register'!$H$6:$H$279,"Full")&gt;0,"Full","Screen"))</f>
        <v/>
      </c>
    </row>
    <row r="106" customFormat="false" ht="15" hidden="false" customHeight="false" outlineLevel="0" collapsed="false">
      <c r="A106" s="15"/>
      <c r="B106" s="15"/>
      <c r="C106" s="15"/>
      <c r="D106" s="15"/>
      <c r="E106" s="15"/>
      <c r="F106" s="15"/>
      <c r="G106" s="15"/>
      <c r="H106" s="15"/>
      <c r="I106" s="15"/>
      <c r="J106" s="15"/>
      <c r="K106" s="15"/>
      <c r="L106" s="15"/>
      <c r="M106" s="15"/>
      <c r="N106" s="20" t="n">
        <f aca="false">IF(TRIM(F106)="",0,LEN(TRIM(F106))-LEN(SUBSTITUTE(TRIM(F106),";",""))+1)</f>
        <v>0</v>
      </c>
      <c r="O106" s="20" t="str">
        <f aca="false">IF($A106="","",IF(N106=0,"Unassigned",IF(N106=1,"Single point","Staffed")))</f>
        <v/>
      </c>
      <c r="P106" s="21" t="str">
        <f aca="false">IF(OR(J106="",J106=0),"",K106/J106)</f>
        <v/>
      </c>
      <c r="Q106" s="20" t="n">
        <f aca="false">IF($A106="",0,COUNTIF('Full Register'!$J$6:$J$279,$A106))</f>
        <v>0</v>
      </c>
      <c r="R106" s="20" t="str">
        <f aca="false">IF($A106="","",IF(COUNTIFS('Full Register'!$J$6:$J$279,$A106,'Full Register'!$H$6:$H$279,"Full")&gt;0,"Full","Screen"))</f>
        <v/>
      </c>
    </row>
    <row r="107" customFormat="false" ht="15" hidden="false" customHeight="false" outlineLevel="0" collapsed="false">
      <c r="A107" s="15"/>
      <c r="B107" s="15"/>
      <c r="C107" s="15"/>
      <c r="D107" s="15"/>
      <c r="E107" s="15"/>
      <c r="F107" s="15"/>
      <c r="G107" s="15"/>
      <c r="H107" s="15"/>
      <c r="I107" s="15"/>
      <c r="J107" s="15"/>
      <c r="K107" s="15"/>
      <c r="L107" s="15"/>
      <c r="M107" s="15"/>
      <c r="N107" s="20" t="n">
        <f aca="false">IF(TRIM(F107)="",0,LEN(TRIM(F107))-LEN(SUBSTITUTE(TRIM(F107),";",""))+1)</f>
        <v>0</v>
      </c>
      <c r="O107" s="20" t="str">
        <f aca="false">IF($A107="","",IF(N107=0,"Unassigned",IF(N107=1,"Single point","Staffed")))</f>
        <v/>
      </c>
      <c r="P107" s="21" t="str">
        <f aca="false">IF(OR(J107="",J107=0),"",K107/J107)</f>
        <v/>
      </c>
      <c r="Q107" s="20" t="n">
        <f aca="false">IF($A107="",0,COUNTIF('Full Register'!$J$6:$J$279,$A107))</f>
        <v>0</v>
      </c>
      <c r="R107" s="20" t="str">
        <f aca="false">IF($A107="","",IF(COUNTIFS('Full Register'!$J$6:$J$279,$A107,'Full Register'!$H$6:$H$279,"Full")&gt;0,"Full","Screen"))</f>
        <v/>
      </c>
    </row>
    <row r="108" customFormat="false" ht="15" hidden="false" customHeight="false" outlineLevel="0" collapsed="false">
      <c r="A108" s="15"/>
      <c r="B108" s="15"/>
      <c r="C108" s="15"/>
      <c r="D108" s="15"/>
      <c r="E108" s="15"/>
      <c r="F108" s="15"/>
      <c r="G108" s="15"/>
      <c r="H108" s="15"/>
      <c r="I108" s="15"/>
      <c r="J108" s="15"/>
      <c r="K108" s="15"/>
      <c r="L108" s="15"/>
      <c r="M108" s="15"/>
      <c r="N108" s="20" t="n">
        <f aca="false">IF(TRIM(F108)="",0,LEN(TRIM(F108))-LEN(SUBSTITUTE(TRIM(F108),";",""))+1)</f>
        <v>0</v>
      </c>
      <c r="O108" s="20" t="str">
        <f aca="false">IF($A108="","",IF(N108=0,"Unassigned",IF(N108=1,"Single point","Staffed")))</f>
        <v/>
      </c>
      <c r="P108" s="21" t="str">
        <f aca="false">IF(OR(J108="",J108=0),"",K108/J108)</f>
        <v/>
      </c>
      <c r="Q108" s="20" t="n">
        <f aca="false">IF($A108="",0,COUNTIF('Full Register'!$J$6:$J$279,$A108))</f>
        <v>0</v>
      </c>
      <c r="R108" s="20" t="str">
        <f aca="false">IF($A108="","",IF(COUNTIFS('Full Register'!$J$6:$J$279,$A108,'Full Register'!$H$6:$H$279,"Full")&gt;0,"Full","Screen"))</f>
        <v/>
      </c>
    </row>
    <row r="109" customFormat="false" ht="15" hidden="false" customHeight="false" outlineLevel="0" collapsed="false">
      <c r="A109" s="15"/>
      <c r="B109" s="15"/>
      <c r="C109" s="15"/>
      <c r="D109" s="15"/>
      <c r="E109" s="15"/>
      <c r="F109" s="15"/>
      <c r="G109" s="15"/>
      <c r="H109" s="15"/>
      <c r="I109" s="15"/>
      <c r="J109" s="15"/>
      <c r="K109" s="15"/>
      <c r="L109" s="15"/>
      <c r="M109" s="15"/>
      <c r="N109" s="20" t="n">
        <f aca="false">IF(TRIM(F109)="",0,LEN(TRIM(F109))-LEN(SUBSTITUTE(TRIM(F109),";",""))+1)</f>
        <v>0</v>
      </c>
      <c r="O109" s="20" t="str">
        <f aca="false">IF($A109="","",IF(N109=0,"Unassigned",IF(N109=1,"Single point","Staffed")))</f>
        <v/>
      </c>
      <c r="P109" s="21" t="str">
        <f aca="false">IF(OR(J109="",J109=0),"",K109/J109)</f>
        <v/>
      </c>
      <c r="Q109" s="20" t="n">
        <f aca="false">IF($A109="",0,COUNTIF('Full Register'!$J$6:$J$279,$A109))</f>
        <v>0</v>
      </c>
      <c r="R109" s="20" t="str">
        <f aca="false">IF($A109="","",IF(COUNTIFS('Full Register'!$J$6:$J$279,$A109,'Full Register'!$H$6:$H$279,"Full")&gt;0,"Full","Screen"))</f>
        <v/>
      </c>
    </row>
    <row r="110" customFormat="false" ht="15" hidden="false" customHeight="false" outlineLevel="0" collapsed="false">
      <c r="A110" s="15"/>
      <c r="B110" s="15"/>
      <c r="C110" s="15"/>
      <c r="D110" s="15"/>
      <c r="E110" s="15"/>
      <c r="F110" s="15"/>
      <c r="G110" s="15"/>
      <c r="H110" s="15"/>
      <c r="I110" s="15"/>
      <c r="J110" s="15"/>
      <c r="K110" s="15"/>
      <c r="L110" s="15"/>
      <c r="M110" s="15"/>
      <c r="N110" s="20" t="n">
        <f aca="false">IF(TRIM(F110)="",0,LEN(TRIM(F110))-LEN(SUBSTITUTE(TRIM(F110),";",""))+1)</f>
        <v>0</v>
      </c>
      <c r="O110" s="20" t="str">
        <f aca="false">IF($A110="","",IF(N110=0,"Unassigned",IF(N110=1,"Single point","Staffed")))</f>
        <v/>
      </c>
      <c r="P110" s="21" t="str">
        <f aca="false">IF(OR(J110="",J110=0),"",K110/J110)</f>
        <v/>
      </c>
      <c r="Q110" s="20" t="n">
        <f aca="false">IF($A110="",0,COUNTIF('Full Register'!$J$6:$J$279,$A110))</f>
        <v>0</v>
      </c>
      <c r="R110" s="20" t="str">
        <f aca="false">IF($A110="","",IF(COUNTIFS('Full Register'!$J$6:$J$279,$A110,'Full Register'!$H$6:$H$279,"Full")&gt;0,"Full","Screen"))</f>
        <v/>
      </c>
    </row>
    <row r="111" customFormat="false" ht="15" hidden="false" customHeight="false" outlineLevel="0" collapsed="false">
      <c r="A111" s="15"/>
      <c r="B111" s="15"/>
      <c r="C111" s="15"/>
      <c r="D111" s="15"/>
      <c r="E111" s="15"/>
      <c r="F111" s="15"/>
      <c r="G111" s="15"/>
      <c r="H111" s="15"/>
      <c r="I111" s="15"/>
      <c r="J111" s="15"/>
      <c r="K111" s="15"/>
      <c r="L111" s="15"/>
      <c r="M111" s="15"/>
      <c r="N111" s="20" t="n">
        <f aca="false">IF(TRIM(F111)="",0,LEN(TRIM(F111))-LEN(SUBSTITUTE(TRIM(F111),";",""))+1)</f>
        <v>0</v>
      </c>
      <c r="O111" s="20" t="str">
        <f aca="false">IF($A111="","",IF(N111=0,"Unassigned",IF(N111=1,"Single point","Staffed")))</f>
        <v/>
      </c>
      <c r="P111" s="21" t="str">
        <f aca="false">IF(OR(J111="",J111=0),"",K111/J111)</f>
        <v/>
      </c>
      <c r="Q111" s="20" t="n">
        <f aca="false">IF($A111="",0,COUNTIF('Full Register'!$J$6:$J$279,$A111))</f>
        <v>0</v>
      </c>
      <c r="R111" s="20" t="str">
        <f aca="false">IF($A111="","",IF(COUNTIFS('Full Register'!$J$6:$J$279,$A111,'Full Register'!$H$6:$H$279,"Full")&gt;0,"Full","Screen"))</f>
        <v/>
      </c>
    </row>
    <row r="112" customFormat="false" ht="15" hidden="false" customHeight="false" outlineLevel="0" collapsed="false">
      <c r="A112" s="15"/>
      <c r="B112" s="15"/>
      <c r="C112" s="15"/>
      <c r="D112" s="15"/>
      <c r="E112" s="15"/>
      <c r="F112" s="15"/>
      <c r="G112" s="15"/>
      <c r="H112" s="15"/>
      <c r="I112" s="15"/>
      <c r="J112" s="15"/>
      <c r="K112" s="15"/>
      <c r="L112" s="15"/>
      <c r="M112" s="15"/>
      <c r="N112" s="20" t="n">
        <f aca="false">IF(TRIM(F112)="",0,LEN(TRIM(F112))-LEN(SUBSTITUTE(TRIM(F112),";",""))+1)</f>
        <v>0</v>
      </c>
      <c r="O112" s="20" t="str">
        <f aca="false">IF($A112="","",IF(N112=0,"Unassigned",IF(N112=1,"Single point","Staffed")))</f>
        <v/>
      </c>
      <c r="P112" s="21" t="str">
        <f aca="false">IF(OR(J112="",J112=0),"",K112/J112)</f>
        <v/>
      </c>
      <c r="Q112" s="20" t="n">
        <f aca="false">IF($A112="",0,COUNTIF('Full Register'!$J$6:$J$279,$A112))</f>
        <v>0</v>
      </c>
      <c r="R112" s="20" t="str">
        <f aca="false">IF($A112="","",IF(COUNTIFS('Full Register'!$J$6:$J$279,$A112,'Full Register'!$H$6:$H$279,"Full")&gt;0,"Full","Screen"))</f>
        <v/>
      </c>
    </row>
    <row r="113" customFormat="false" ht="15" hidden="false" customHeight="false" outlineLevel="0" collapsed="false">
      <c r="A113" s="15"/>
      <c r="B113" s="15"/>
      <c r="C113" s="15"/>
      <c r="D113" s="15"/>
      <c r="E113" s="15"/>
      <c r="F113" s="15"/>
      <c r="G113" s="15"/>
      <c r="H113" s="15"/>
      <c r="I113" s="15"/>
      <c r="J113" s="15"/>
      <c r="K113" s="15"/>
      <c r="L113" s="15"/>
      <c r="M113" s="15"/>
      <c r="N113" s="20" t="n">
        <f aca="false">IF(TRIM(F113)="",0,LEN(TRIM(F113))-LEN(SUBSTITUTE(TRIM(F113),";",""))+1)</f>
        <v>0</v>
      </c>
      <c r="O113" s="20" t="str">
        <f aca="false">IF($A113="","",IF(N113=0,"Unassigned",IF(N113=1,"Single point","Staffed")))</f>
        <v/>
      </c>
      <c r="P113" s="21" t="str">
        <f aca="false">IF(OR(J113="",J113=0),"",K113/J113)</f>
        <v/>
      </c>
      <c r="Q113" s="20" t="n">
        <f aca="false">IF($A113="",0,COUNTIF('Full Register'!$J$6:$J$279,$A113))</f>
        <v>0</v>
      </c>
      <c r="R113" s="20" t="str">
        <f aca="false">IF($A113="","",IF(COUNTIFS('Full Register'!$J$6:$J$279,$A113,'Full Register'!$H$6:$H$279,"Full")&gt;0,"Full","Screen"))</f>
        <v/>
      </c>
    </row>
    <row r="114" customFormat="false" ht="15" hidden="false" customHeight="false" outlineLevel="0" collapsed="false">
      <c r="A114" s="15"/>
      <c r="B114" s="15"/>
      <c r="C114" s="15"/>
      <c r="D114" s="15"/>
      <c r="E114" s="15"/>
      <c r="F114" s="15"/>
      <c r="G114" s="15"/>
      <c r="H114" s="15"/>
      <c r="I114" s="15"/>
      <c r="J114" s="15"/>
      <c r="K114" s="15"/>
      <c r="L114" s="15"/>
      <c r="M114" s="15"/>
      <c r="N114" s="20" t="n">
        <f aca="false">IF(TRIM(F114)="",0,LEN(TRIM(F114))-LEN(SUBSTITUTE(TRIM(F114),";",""))+1)</f>
        <v>0</v>
      </c>
      <c r="O114" s="20" t="str">
        <f aca="false">IF($A114="","",IF(N114=0,"Unassigned",IF(N114=1,"Single point","Staffed")))</f>
        <v/>
      </c>
      <c r="P114" s="21" t="str">
        <f aca="false">IF(OR(J114="",J114=0),"",K114/J114)</f>
        <v/>
      </c>
      <c r="Q114" s="20" t="n">
        <f aca="false">IF($A114="",0,COUNTIF('Full Register'!$J$6:$J$279,$A114))</f>
        <v>0</v>
      </c>
      <c r="R114" s="20" t="str">
        <f aca="false">IF($A114="","",IF(COUNTIFS('Full Register'!$J$6:$J$279,$A114,'Full Register'!$H$6:$H$279,"Full")&gt;0,"Full","Screen"))</f>
        <v/>
      </c>
    </row>
    <row r="115" customFormat="false" ht="15" hidden="false" customHeight="false" outlineLevel="0" collapsed="false">
      <c r="A115" s="15"/>
      <c r="B115" s="15"/>
      <c r="C115" s="15"/>
      <c r="D115" s="15"/>
      <c r="E115" s="15"/>
      <c r="F115" s="15"/>
      <c r="G115" s="15"/>
      <c r="H115" s="15"/>
      <c r="I115" s="15"/>
      <c r="J115" s="15"/>
      <c r="K115" s="15"/>
      <c r="L115" s="15"/>
      <c r="M115" s="15"/>
      <c r="N115" s="20" t="n">
        <f aca="false">IF(TRIM(F115)="",0,LEN(TRIM(F115))-LEN(SUBSTITUTE(TRIM(F115),";",""))+1)</f>
        <v>0</v>
      </c>
      <c r="O115" s="20" t="str">
        <f aca="false">IF($A115="","",IF(N115=0,"Unassigned",IF(N115=1,"Single point","Staffed")))</f>
        <v/>
      </c>
      <c r="P115" s="21" t="str">
        <f aca="false">IF(OR(J115="",J115=0),"",K115/J115)</f>
        <v/>
      </c>
      <c r="Q115" s="20" t="n">
        <f aca="false">IF($A115="",0,COUNTIF('Full Register'!$J$6:$J$279,$A115))</f>
        <v>0</v>
      </c>
      <c r="R115" s="20" t="str">
        <f aca="false">IF($A115="","",IF(COUNTIFS('Full Register'!$J$6:$J$279,$A115,'Full Register'!$H$6:$H$279,"Full")&gt;0,"Full","Screen"))</f>
        <v/>
      </c>
    </row>
    <row r="116" customFormat="false" ht="15" hidden="false" customHeight="false" outlineLevel="0" collapsed="false">
      <c r="A116" s="15"/>
      <c r="B116" s="15"/>
      <c r="C116" s="15"/>
      <c r="D116" s="15"/>
      <c r="E116" s="15"/>
      <c r="F116" s="15"/>
      <c r="G116" s="15"/>
      <c r="H116" s="15"/>
      <c r="I116" s="15"/>
      <c r="J116" s="15"/>
      <c r="K116" s="15"/>
      <c r="L116" s="15"/>
      <c r="M116" s="15"/>
      <c r="N116" s="20" t="n">
        <f aca="false">IF(TRIM(F116)="",0,LEN(TRIM(F116))-LEN(SUBSTITUTE(TRIM(F116),";",""))+1)</f>
        <v>0</v>
      </c>
      <c r="O116" s="20" t="str">
        <f aca="false">IF($A116="","",IF(N116=0,"Unassigned",IF(N116=1,"Single point","Staffed")))</f>
        <v/>
      </c>
      <c r="P116" s="21" t="str">
        <f aca="false">IF(OR(J116="",J116=0),"",K116/J116)</f>
        <v/>
      </c>
      <c r="Q116" s="20" t="n">
        <f aca="false">IF($A116="",0,COUNTIF('Full Register'!$J$6:$J$279,$A116))</f>
        <v>0</v>
      </c>
      <c r="R116" s="20" t="str">
        <f aca="false">IF($A116="","",IF(COUNTIFS('Full Register'!$J$6:$J$279,$A116,'Full Register'!$H$6:$H$279,"Full")&gt;0,"Full","Screen"))</f>
        <v/>
      </c>
    </row>
    <row r="117" customFormat="false" ht="15" hidden="false" customHeight="false" outlineLevel="0" collapsed="false">
      <c r="A117" s="15"/>
      <c r="B117" s="15"/>
      <c r="C117" s="15"/>
      <c r="D117" s="15"/>
      <c r="E117" s="15"/>
      <c r="F117" s="15"/>
      <c r="G117" s="15"/>
      <c r="H117" s="15"/>
      <c r="I117" s="15"/>
      <c r="J117" s="15"/>
      <c r="K117" s="15"/>
      <c r="L117" s="15"/>
      <c r="M117" s="15"/>
      <c r="N117" s="20" t="n">
        <f aca="false">IF(TRIM(F117)="",0,LEN(TRIM(F117))-LEN(SUBSTITUTE(TRIM(F117),";",""))+1)</f>
        <v>0</v>
      </c>
      <c r="O117" s="20" t="str">
        <f aca="false">IF($A117="","",IF(N117=0,"Unassigned",IF(N117=1,"Single point","Staffed")))</f>
        <v/>
      </c>
      <c r="P117" s="21" t="str">
        <f aca="false">IF(OR(J117="",J117=0),"",K117/J117)</f>
        <v/>
      </c>
      <c r="Q117" s="20" t="n">
        <f aca="false">IF($A117="",0,COUNTIF('Full Register'!$J$6:$J$279,$A117))</f>
        <v>0</v>
      </c>
      <c r="R117" s="20" t="str">
        <f aca="false">IF($A117="","",IF(COUNTIFS('Full Register'!$J$6:$J$279,$A117,'Full Register'!$H$6:$H$279,"Full")&gt;0,"Full","Screen"))</f>
        <v/>
      </c>
    </row>
    <row r="118" customFormat="false" ht="15" hidden="false" customHeight="false" outlineLevel="0" collapsed="false">
      <c r="A118" s="15"/>
      <c r="B118" s="15"/>
      <c r="C118" s="15"/>
      <c r="D118" s="15"/>
      <c r="E118" s="15"/>
      <c r="F118" s="15"/>
      <c r="G118" s="15"/>
      <c r="H118" s="15"/>
      <c r="I118" s="15"/>
      <c r="J118" s="15"/>
      <c r="K118" s="15"/>
      <c r="L118" s="15"/>
      <c r="M118" s="15"/>
      <c r="N118" s="20" t="n">
        <f aca="false">IF(TRIM(F118)="",0,LEN(TRIM(F118))-LEN(SUBSTITUTE(TRIM(F118),";",""))+1)</f>
        <v>0</v>
      </c>
      <c r="O118" s="20" t="str">
        <f aca="false">IF($A118="","",IF(N118=0,"Unassigned",IF(N118=1,"Single point","Staffed")))</f>
        <v/>
      </c>
      <c r="P118" s="21" t="str">
        <f aca="false">IF(OR(J118="",J118=0),"",K118/J118)</f>
        <v/>
      </c>
      <c r="Q118" s="20" t="n">
        <f aca="false">IF($A118="",0,COUNTIF('Full Register'!$J$6:$J$279,$A118))</f>
        <v>0</v>
      </c>
      <c r="R118" s="20" t="str">
        <f aca="false">IF($A118="","",IF(COUNTIFS('Full Register'!$J$6:$J$279,$A118,'Full Register'!$H$6:$H$279,"Full")&gt;0,"Full","Screen"))</f>
        <v/>
      </c>
    </row>
    <row r="119" customFormat="false" ht="15" hidden="false" customHeight="false" outlineLevel="0" collapsed="false">
      <c r="A119" s="15"/>
      <c r="B119" s="15"/>
      <c r="C119" s="15"/>
      <c r="D119" s="15"/>
      <c r="E119" s="15"/>
      <c r="F119" s="15"/>
      <c r="G119" s="15"/>
      <c r="H119" s="15"/>
      <c r="I119" s="15"/>
      <c r="J119" s="15"/>
      <c r="K119" s="15"/>
      <c r="L119" s="15"/>
      <c r="M119" s="15"/>
      <c r="N119" s="20" t="n">
        <f aca="false">IF(TRIM(F119)="",0,LEN(TRIM(F119))-LEN(SUBSTITUTE(TRIM(F119),";",""))+1)</f>
        <v>0</v>
      </c>
      <c r="O119" s="20" t="str">
        <f aca="false">IF($A119="","",IF(N119=0,"Unassigned",IF(N119=1,"Single point","Staffed")))</f>
        <v/>
      </c>
      <c r="P119" s="21" t="str">
        <f aca="false">IF(OR(J119="",J119=0),"",K119/J119)</f>
        <v/>
      </c>
      <c r="Q119" s="20" t="n">
        <f aca="false">IF($A119="",0,COUNTIF('Full Register'!$J$6:$J$279,$A119))</f>
        <v>0</v>
      </c>
      <c r="R119" s="20" t="str">
        <f aca="false">IF($A119="","",IF(COUNTIFS('Full Register'!$J$6:$J$279,$A119,'Full Register'!$H$6:$H$279,"Full")&gt;0,"Full","Screen"))</f>
        <v/>
      </c>
    </row>
    <row r="120" customFormat="false" ht="15" hidden="false" customHeight="false" outlineLevel="0" collapsed="false">
      <c r="A120" s="15"/>
      <c r="B120" s="15"/>
      <c r="C120" s="15"/>
      <c r="D120" s="15"/>
      <c r="E120" s="15"/>
      <c r="F120" s="15"/>
      <c r="G120" s="15"/>
      <c r="H120" s="15"/>
      <c r="I120" s="15"/>
      <c r="J120" s="15"/>
      <c r="K120" s="15"/>
      <c r="L120" s="15"/>
      <c r="M120" s="15"/>
      <c r="N120" s="20" t="n">
        <f aca="false">IF(TRIM(F120)="",0,LEN(TRIM(F120))-LEN(SUBSTITUTE(TRIM(F120),";",""))+1)</f>
        <v>0</v>
      </c>
      <c r="O120" s="20" t="str">
        <f aca="false">IF($A120="","",IF(N120=0,"Unassigned",IF(N120=1,"Single point","Staffed")))</f>
        <v/>
      </c>
      <c r="P120" s="21" t="str">
        <f aca="false">IF(OR(J120="",J120=0),"",K120/J120)</f>
        <v/>
      </c>
      <c r="Q120" s="20" t="n">
        <f aca="false">IF($A120="",0,COUNTIF('Full Register'!$J$6:$J$279,$A120))</f>
        <v>0</v>
      </c>
      <c r="R120" s="20" t="str">
        <f aca="false">IF($A120="","",IF(COUNTIFS('Full Register'!$J$6:$J$279,$A120,'Full Register'!$H$6:$H$279,"Full")&gt;0,"Full","Screen"))</f>
        <v/>
      </c>
    </row>
    <row r="121" customFormat="false" ht="15" hidden="false" customHeight="false" outlineLevel="0" collapsed="false">
      <c r="A121" s="15"/>
      <c r="B121" s="15"/>
      <c r="C121" s="15"/>
      <c r="D121" s="15"/>
      <c r="E121" s="15"/>
      <c r="F121" s="15"/>
      <c r="G121" s="15"/>
      <c r="H121" s="15"/>
      <c r="I121" s="15"/>
      <c r="J121" s="15"/>
      <c r="K121" s="15"/>
      <c r="L121" s="15"/>
      <c r="M121" s="15"/>
      <c r="N121" s="20" t="n">
        <f aca="false">IF(TRIM(F121)="",0,LEN(TRIM(F121))-LEN(SUBSTITUTE(TRIM(F121),";",""))+1)</f>
        <v>0</v>
      </c>
      <c r="O121" s="20" t="str">
        <f aca="false">IF($A121="","",IF(N121=0,"Unassigned",IF(N121=1,"Single point","Staffed")))</f>
        <v/>
      </c>
      <c r="P121" s="21" t="str">
        <f aca="false">IF(OR(J121="",J121=0),"",K121/J121)</f>
        <v/>
      </c>
      <c r="Q121" s="20" t="n">
        <f aca="false">IF($A121="",0,COUNTIF('Full Register'!$J$6:$J$279,$A121))</f>
        <v>0</v>
      </c>
      <c r="R121" s="20" t="str">
        <f aca="false">IF($A121="","",IF(COUNTIFS('Full Register'!$J$6:$J$279,$A121,'Full Register'!$H$6:$H$279,"Full")&gt;0,"Full","Screen"))</f>
        <v/>
      </c>
    </row>
    <row r="122" customFormat="false" ht="15" hidden="false" customHeight="false" outlineLevel="0" collapsed="false">
      <c r="A122" s="15"/>
      <c r="B122" s="15"/>
      <c r="C122" s="15"/>
      <c r="D122" s="15"/>
      <c r="E122" s="15"/>
      <c r="F122" s="15"/>
      <c r="G122" s="15"/>
      <c r="H122" s="15"/>
      <c r="I122" s="15"/>
      <c r="J122" s="15"/>
      <c r="K122" s="15"/>
      <c r="L122" s="15"/>
      <c r="M122" s="15"/>
      <c r="N122" s="20" t="n">
        <f aca="false">IF(TRIM(F122)="",0,LEN(TRIM(F122))-LEN(SUBSTITUTE(TRIM(F122),";",""))+1)</f>
        <v>0</v>
      </c>
      <c r="O122" s="20" t="str">
        <f aca="false">IF($A122="","",IF(N122=0,"Unassigned",IF(N122=1,"Single point","Staffed")))</f>
        <v/>
      </c>
      <c r="P122" s="21" t="str">
        <f aca="false">IF(OR(J122="",J122=0),"",K122/J122)</f>
        <v/>
      </c>
      <c r="Q122" s="20" t="n">
        <f aca="false">IF($A122="",0,COUNTIF('Full Register'!$J$6:$J$279,$A122))</f>
        <v>0</v>
      </c>
      <c r="R122" s="20" t="str">
        <f aca="false">IF($A122="","",IF(COUNTIFS('Full Register'!$J$6:$J$279,$A122,'Full Register'!$H$6:$H$279,"Full")&gt;0,"Full","Screen"))</f>
        <v/>
      </c>
    </row>
    <row r="123" customFormat="false" ht="15" hidden="false" customHeight="false" outlineLevel="0" collapsed="false">
      <c r="A123" s="15"/>
      <c r="B123" s="15"/>
      <c r="C123" s="15"/>
      <c r="D123" s="15"/>
      <c r="E123" s="15"/>
      <c r="F123" s="15"/>
      <c r="G123" s="15"/>
      <c r="H123" s="15"/>
      <c r="I123" s="15"/>
      <c r="J123" s="15"/>
      <c r="K123" s="15"/>
      <c r="L123" s="15"/>
      <c r="M123" s="15"/>
      <c r="N123" s="20" t="n">
        <f aca="false">IF(TRIM(F123)="",0,LEN(TRIM(F123))-LEN(SUBSTITUTE(TRIM(F123),";",""))+1)</f>
        <v>0</v>
      </c>
      <c r="O123" s="20" t="str">
        <f aca="false">IF($A123="","",IF(N123=0,"Unassigned",IF(N123=1,"Single point","Staffed")))</f>
        <v/>
      </c>
      <c r="P123" s="21" t="str">
        <f aca="false">IF(OR(J123="",J123=0),"",K123/J123)</f>
        <v/>
      </c>
      <c r="Q123" s="20" t="n">
        <f aca="false">IF($A123="",0,COUNTIF('Full Register'!$J$6:$J$279,$A123))</f>
        <v>0</v>
      </c>
      <c r="R123" s="20" t="str">
        <f aca="false">IF($A123="","",IF(COUNTIFS('Full Register'!$J$6:$J$279,$A123,'Full Register'!$H$6:$H$279,"Full")&gt;0,"Full","Screen"))</f>
        <v/>
      </c>
    </row>
    <row r="124" customFormat="false" ht="15" hidden="false" customHeight="false" outlineLevel="0" collapsed="false">
      <c r="A124" s="15"/>
      <c r="B124" s="15"/>
      <c r="C124" s="15"/>
      <c r="D124" s="15"/>
      <c r="E124" s="15"/>
      <c r="F124" s="15"/>
      <c r="G124" s="15"/>
      <c r="H124" s="15"/>
      <c r="I124" s="15"/>
      <c r="J124" s="15"/>
      <c r="K124" s="15"/>
      <c r="L124" s="15"/>
      <c r="M124" s="15"/>
      <c r="N124" s="20" t="n">
        <f aca="false">IF(TRIM(F124)="",0,LEN(TRIM(F124))-LEN(SUBSTITUTE(TRIM(F124),";",""))+1)</f>
        <v>0</v>
      </c>
      <c r="O124" s="20" t="str">
        <f aca="false">IF($A124="","",IF(N124=0,"Unassigned",IF(N124=1,"Single point","Staffed")))</f>
        <v/>
      </c>
      <c r="P124" s="21" t="str">
        <f aca="false">IF(OR(J124="",J124=0),"",K124/J124)</f>
        <v/>
      </c>
      <c r="Q124" s="20" t="n">
        <f aca="false">IF($A124="",0,COUNTIF('Full Register'!$J$6:$J$279,$A124))</f>
        <v>0</v>
      </c>
      <c r="R124" s="20" t="str">
        <f aca="false">IF($A124="","",IF(COUNTIFS('Full Register'!$J$6:$J$279,$A124,'Full Register'!$H$6:$H$279,"Full")&gt;0,"Full","Screen"))</f>
        <v/>
      </c>
    </row>
    <row r="125" customFormat="false" ht="15" hidden="false" customHeight="false" outlineLevel="0" collapsed="false">
      <c r="A125" s="15"/>
      <c r="B125" s="15"/>
      <c r="C125" s="15"/>
      <c r="D125" s="15"/>
      <c r="E125" s="15"/>
      <c r="F125" s="15"/>
      <c r="G125" s="15"/>
      <c r="H125" s="15"/>
      <c r="I125" s="15"/>
      <c r="J125" s="15"/>
      <c r="K125" s="15"/>
      <c r="L125" s="15"/>
      <c r="M125" s="15"/>
      <c r="N125" s="20" t="n">
        <f aca="false">IF(TRIM(F125)="",0,LEN(TRIM(F125))-LEN(SUBSTITUTE(TRIM(F125),";",""))+1)</f>
        <v>0</v>
      </c>
      <c r="O125" s="20" t="str">
        <f aca="false">IF($A125="","",IF(N125=0,"Unassigned",IF(N125=1,"Single point","Staffed")))</f>
        <v/>
      </c>
      <c r="P125" s="21" t="str">
        <f aca="false">IF(OR(J125="",J125=0),"",K125/J125)</f>
        <v/>
      </c>
      <c r="Q125" s="20" t="n">
        <f aca="false">IF($A125="",0,COUNTIF('Full Register'!$J$6:$J$279,$A125))</f>
        <v>0</v>
      </c>
      <c r="R125" s="20" t="str">
        <f aca="false">IF($A125="","",IF(COUNTIFS('Full Register'!$J$6:$J$279,$A125,'Full Register'!$H$6:$H$279,"Full")&gt;0,"Full","Screen"))</f>
        <v/>
      </c>
    </row>
  </sheetData>
  <dataValidations count="1">
    <dataValidation allowBlank="true" errorStyle="stop" operator="between" showDropDown="false" showErrorMessage="false" showInputMessage="false" sqref="G6:G125" type="list">
      <formula1>Lists!$F$3:$F$15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8"/>
    <col collapsed="false" customWidth="true" hidden="false" outlineLevel="0" max="4" min="4" style="1" width="28"/>
    <col collapsed="false" customWidth="true" hidden="false" outlineLevel="0" max="6" min="6" style="1" width="34"/>
  </cols>
  <sheetData>
    <row r="1" customFormat="false" ht="15" hidden="false" customHeight="false" outlineLevel="0" collapsed="false">
      <c r="A1" s="4" t="s">
        <v>581</v>
      </c>
    </row>
    <row r="2" customFormat="false" ht="15" hidden="false" customHeight="false" outlineLevel="0" collapsed="false">
      <c r="A2" s="12" t="s">
        <v>50</v>
      </c>
      <c r="B2" s="12" t="s">
        <v>582</v>
      </c>
      <c r="D2" s="12" t="s">
        <v>52</v>
      </c>
      <c r="F2" s="12" t="s">
        <v>26</v>
      </c>
    </row>
    <row r="3" customFormat="false" ht="15" hidden="false" customHeight="false" outlineLevel="0" collapsed="false">
      <c r="A3" s="22" t="s">
        <v>61</v>
      </c>
      <c r="B3" s="22" t="n">
        <v>0</v>
      </c>
      <c r="D3" s="22" t="s">
        <v>583</v>
      </c>
      <c r="F3" s="22" t="s">
        <v>584</v>
      </c>
    </row>
    <row r="4" customFormat="false" ht="15" hidden="false" customHeight="false" outlineLevel="0" collapsed="false">
      <c r="A4" s="22" t="s">
        <v>64</v>
      </c>
      <c r="B4" s="22" t="n">
        <v>1</v>
      </c>
      <c r="D4" s="22" t="s">
        <v>585</v>
      </c>
      <c r="F4" s="22" t="s">
        <v>155</v>
      </c>
    </row>
    <row r="5" customFormat="false" ht="15" hidden="false" customHeight="false" outlineLevel="0" collapsed="false">
      <c r="A5" s="22" t="s">
        <v>67</v>
      </c>
      <c r="B5" s="22" t="n">
        <v>2</v>
      </c>
      <c r="D5" s="22" t="s">
        <v>586</v>
      </c>
      <c r="F5" s="22" t="s">
        <v>576</v>
      </c>
    </row>
    <row r="6" customFormat="false" ht="15" hidden="false" customHeight="false" outlineLevel="0" collapsed="false">
      <c r="A6" s="22" t="s">
        <v>70</v>
      </c>
      <c r="B6" s="22" t="n">
        <v>3</v>
      </c>
      <c r="F6" s="22" t="s">
        <v>587</v>
      </c>
    </row>
    <row r="7" customFormat="false" ht="15" hidden="false" customHeight="false" outlineLevel="0" collapsed="false">
      <c r="A7" s="22" t="s">
        <v>73</v>
      </c>
      <c r="B7" s="22" t="n">
        <v>4</v>
      </c>
      <c r="D7" s="3" t="s">
        <v>588</v>
      </c>
      <c r="F7" s="22" t="s">
        <v>589</v>
      </c>
    </row>
    <row r="8" customFormat="false" ht="15" hidden="false" customHeight="false" outlineLevel="0" collapsed="false">
      <c r="F8" s="22" t="s">
        <v>590</v>
      </c>
    </row>
    <row r="9" customFormat="false" ht="15" hidden="false" customHeight="false" outlineLevel="0" collapsed="false">
      <c r="F9" s="22" t="s">
        <v>591</v>
      </c>
    </row>
    <row r="10" customFormat="false" ht="15" hidden="false" customHeight="false" outlineLevel="0" collapsed="false">
      <c r="F10" s="22" t="s">
        <v>592</v>
      </c>
    </row>
    <row r="11" customFormat="false" ht="15" hidden="false" customHeight="false" outlineLevel="0" collapsed="false">
      <c r="F11" s="22" t="s">
        <v>593</v>
      </c>
    </row>
    <row r="12" customFormat="false" ht="15" hidden="false" customHeight="false" outlineLevel="0" collapsed="false">
      <c r="F12" s="22" t="s">
        <v>594</v>
      </c>
    </row>
    <row r="13" customFormat="false" ht="15" hidden="false" customHeight="false" outlineLevel="0" collapsed="false">
      <c r="F13" s="22" t="s">
        <v>595</v>
      </c>
    </row>
    <row r="14" customFormat="false" ht="15" hidden="false" customHeight="false" outlineLevel="0" collapsed="false">
      <c r="F14" s="22" t="s">
        <v>596</v>
      </c>
    </row>
    <row r="15" customFormat="false" ht="15" hidden="false" customHeight="false" outlineLevel="0" collapsed="false">
      <c r="F15" s="22" t="s">
        <v>597</v>
      </c>
    </row>
    <row r="17" customFormat="false" ht="15" hidden="false" customHeight="false" outlineLevel="0" collapsed="false">
      <c r="F17" s="3" t="s">
        <v>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30"/>
    <col collapsed="false" customWidth="true" hidden="false" outlineLevel="0" max="4" min="4" style="1" width="16"/>
    <col collapsed="false" customWidth="true" hidden="false" outlineLevel="0" max="5" min="5" style="1" width="20"/>
    <col collapsed="false" customWidth="true" hidden="false" outlineLevel="0" max="6" min="6" style="1" width="18"/>
    <col collapsed="false" customWidth="true" hidden="false" outlineLevel="0" max="7" min="7" style="1" width="16"/>
    <col collapsed="false" customWidth="true" hidden="false" outlineLevel="0" max="8" min="8" style="1" width="20"/>
    <col collapsed="false" customWidth="true" hidden="false" outlineLevel="0" max="9" min="9" style="1" width="30"/>
  </cols>
  <sheetData>
    <row r="1" customFormat="false" ht="17.35" hidden="false" customHeight="false" outlineLevel="0" collapsed="false">
      <c r="A1" s="2" t="s">
        <v>599</v>
      </c>
    </row>
    <row r="2" customFormat="false" ht="15" hidden="false" customHeight="false" outlineLevel="0" collapsed="false">
      <c r="A2" s="3" t="s">
        <v>600</v>
      </c>
    </row>
    <row r="4" customFormat="false" ht="33.75" hidden="false" customHeight="true" outlineLevel="0" collapsed="false">
      <c r="A4" s="9" t="s">
        <v>601</v>
      </c>
      <c r="B4" s="9" t="s">
        <v>602</v>
      </c>
      <c r="C4" s="9" t="s">
        <v>603</v>
      </c>
      <c r="D4" s="9" t="s">
        <v>604</v>
      </c>
      <c r="E4" s="9" t="s">
        <v>605</v>
      </c>
      <c r="F4" s="9" t="s">
        <v>606</v>
      </c>
      <c r="G4" s="9" t="s">
        <v>607</v>
      </c>
      <c r="H4" s="9" t="s">
        <v>608</v>
      </c>
      <c r="I4" s="9" t="s">
        <v>44</v>
      </c>
    </row>
    <row r="5" customFormat="false" ht="15" hidden="false" customHeight="false" outlineLevel="0" collapsed="false">
      <c r="A5" s="19" t="s">
        <v>609</v>
      </c>
      <c r="B5" s="19" t="s">
        <v>610</v>
      </c>
      <c r="C5" s="19" t="s">
        <v>576</v>
      </c>
      <c r="D5" s="19" t="n">
        <v>0.8</v>
      </c>
      <c r="E5" s="20" t="n">
        <f aca="false">IF($A5="","",SUMPRODUCT(--ISNUMBER(SEARCH($A5,'Evidence Pulls'!$F$6:$F$125)),'Evidence Pulls'!$Q$6:$Q$125))</f>
        <v>0</v>
      </c>
      <c r="F5" s="23" t="n">
        <f aca="false">IF(OR($A5="",$D5="",$D5=0),"",E5/D5)</f>
        <v>0</v>
      </c>
      <c r="G5" s="20" t="n">
        <f aca="false">IF($A5="","",SUMPRODUCT(--ISNUMBER(SEARCH($A5,'Evidence Pulls'!$F$6:$F$125)),--('Evidence Pulls'!$N$6:$N$125=1),'Evidence Pulls'!$Q$6:$Q$125))</f>
        <v>0</v>
      </c>
      <c r="H5" s="20" t="str">
        <f aca="false">IF(E5="","",IF(E5&gt;=40,"High concentration",IF(E5&gt;=25,"Watch","")))</f>
        <v/>
      </c>
      <c r="I5" s="24" t="s">
        <v>611</v>
      </c>
    </row>
    <row r="6" customFormat="false" ht="15" hidden="false" customHeight="false" outlineLevel="0" collapsed="false">
      <c r="A6" s="15"/>
      <c r="B6" s="15"/>
      <c r="C6" s="15"/>
      <c r="D6" s="15"/>
      <c r="E6" s="20" t="str">
        <f aca="false">IF($A6="","",SUMPRODUCT(--ISNUMBER(SEARCH($A6,'Evidence Pulls'!$F$6:$F$125)),'Evidence Pulls'!$Q$6:$Q$125))</f>
        <v/>
      </c>
      <c r="F6" s="23" t="str">
        <f aca="false">IF(OR($A6="",$D6="",$D6=0),"",E6/D6)</f>
        <v/>
      </c>
      <c r="G6" s="20" t="str">
        <f aca="false">IF($A6="","",SUMPRODUCT(--ISNUMBER(SEARCH($A6,'Evidence Pulls'!$F$6:$F$125)),--('Evidence Pulls'!$N$6:$N$125=1),'Evidence Pulls'!$Q$6:$Q$125))</f>
        <v/>
      </c>
      <c r="H6" s="20" t="str">
        <f aca="false">IF(E6="","",IF(E6&gt;=40,"High concentration",IF(E6&gt;=25,"Watch","")))</f>
        <v/>
      </c>
      <c r="I6" s="15"/>
    </row>
    <row r="7" customFormat="false" ht="15" hidden="false" customHeight="false" outlineLevel="0" collapsed="false">
      <c r="A7" s="15"/>
      <c r="B7" s="15"/>
      <c r="C7" s="15"/>
      <c r="D7" s="15"/>
      <c r="E7" s="20" t="str">
        <f aca="false">IF($A7="","",SUMPRODUCT(--ISNUMBER(SEARCH($A7,'Evidence Pulls'!$F$6:$F$125)),'Evidence Pulls'!$Q$6:$Q$125))</f>
        <v/>
      </c>
      <c r="F7" s="23" t="str">
        <f aca="false">IF(OR($A7="",$D7="",$D7=0),"",E7/D7)</f>
        <v/>
      </c>
      <c r="G7" s="20" t="str">
        <f aca="false">IF($A7="","",SUMPRODUCT(--ISNUMBER(SEARCH($A7,'Evidence Pulls'!$F$6:$F$125)),--('Evidence Pulls'!$N$6:$N$125=1),'Evidence Pulls'!$Q$6:$Q$125))</f>
        <v/>
      </c>
      <c r="H7" s="20" t="str">
        <f aca="false">IF(E7="","",IF(E7&gt;=40,"High concentration",IF(E7&gt;=25,"Watch","")))</f>
        <v/>
      </c>
      <c r="I7" s="15"/>
    </row>
    <row r="8" customFormat="false" ht="15" hidden="false" customHeight="false" outlineLevel="0" collapsed="false">
      <c r="A8" s="15"/>
      <c r="B8" s="15"/>
      <c r="C8" s="15"/>
      <c r="D8" s="15"/>
      <c r="E8" s="20" t="str">
        <f aca="false">IF($A8="","",SUMPRODUCT(--ISNUMBER(SEARCH($A8,'Evidence Pulls'!$F$6:$F$125)),'Evidence Pulls'!$Q$6:$Q$125))</f>
        <v/>
      </c>
      <c r="F8" s="23" t="str">
        <f aca="false">IF(OR($A8="",$D8="",$D8=0),"",E8/D8)</f>
        <v/>
      </c>
      <c r="G8" s="20" t="str">
        <f aca="false">IF($A8="","",SUMPRODUCT(--ISNUMBER(SEARCH($A8,'Evidence Pulls'!$F$6:$F$125)),--('Evidence Pulls'!$N$6:$N$125=1),'Evidence Pulls'!$Q$6:$Q$125))</f>
        <v/>
      </c>
      <c r="H8" s="20" t="str">
        <f aca="false">IF(E8="","",IF(E8&gt;=40,"High concentration",IF(E8&gt;=25,"Watch","")))</f>
        <v/>
      </c>
      <c r="I8" s="15"/>
    </row>
    <row r="9" customFormat="false" ht="15" hidden="false" customHeight="false" outlineLevel="0" collapsed="false">
      <c r="A9" s="15"/>
      <c r="B9" s="15"/>
      <c r="C9" s="15"/>
      <c r="D9" s="15"/>
      <c r="E9" s="20" t="str">
        <f aca="false">IF($A9="","",SUMPRODUCT(--ISNUMBER(SEARCH($A9,'Evidence Pulls'!$F$6:$F$125)),'Evidence Pulls'!$Q$6:$Q$125))</f>
        <v/>
      </c>
      <c r="F9" s="23" t="str">
        <f aca="false">IF(OR($A9="",$D9="",$D9=0),"",E9/D9)</f>
        <v/>
      </c>
      <c r="G9" s="20" t="str">
        <f aca="false">IF($A9="","",SUMPRODUCT(--ISNUMBER(SEARCH($A9,'Evidence Pulls'!$F$6:$F$125)),--('Evidence Pulls'!$N$6:$N$125=1),'Evidence Pulls'!$Q$6:$Q$125))</f>
        <v/>
      </c>
      <c r="H9" s="20" t="str">
        <f aca="false">IF(E9="","",IF(E9&gt;=40,"High concentration",IF(E9&gt;=25,"Watch","")))</f>
        <v/>
      </c>
      <c r="I9" s="15"/>
    </row>
    <row r="10" customFormat="false" ht="15" hidden="false" customHeight="false" outlineLevel="0" collapsed="false">
      <c r="A10" s="15"/>
      <c r="B10" s="15"/>
      <c r="C10" s="15"/>
      <c r="D10" s="15"/>
      <c r="E10" s="20" t="str">
        <f aca="false">IF($A10="","",SUMPRODUCT(--ISNUMBER(SEARCH($A10,'Evidence Pulls'!$F$6:$F$125)),'Evidence Pulls'!$Q$6:$Q$125))</f>
        <v/>
      </c>
      <c r="F10" s="23" t="str">
        <f aca="false">IF(OR($A10="",$D10="",$D10=0),"",E10/D10)</f>
        <v/>
      </c>
      <c r="G10" s="20" t="str">
        <f aca="false">IF($A10="","",SUMPRODUCT(--ISNUMBER(SEARCH($A10,'Evidence Pulls'!$F$6:$F$125)),--('Evidence Pulls'!$N$6:$N$125=1),'Evidence Pulls'!$Q$6:$Q$125))</f>
        <v/>
      </c>
      <c r="H10" s="20" t="str">
        <f aca="false">IF(E10="","",IF(E10&gt;=40,"High concentration",IF(E10&gt;=25,"Watch","")))</f>
        <v/>
      </c>
      <c r="I10" s="15"/>
    </row>
    <row r="11" customFormat="false" ht="15" hidden="false" customHeight="false" outlineLevel="0" collapsed="false">
      <c r="A11" s="15"/>
      <c r="B11" s="15"/>
      <c r="C11" s="15"/>
      <c r="D11" s="15"/>
      <c r="E11" s="20" t="str">
        <f aca="false">IF($A11="","",SUMPRODUCT(--ISNUMBER(SEARCH($A11,'Evidence Pulls'!$F$6:$F$125)),'Evidence Pulls'!$Q$6:$Q$125))</f>
        <v/>
      </c>
      <c r="F11" s="23" t="str">
        <f aca="false">IF(OR($A11="",$D11="",$D11=0),"",E11/D11)</f>
        <v/>
      </c>
      <c r="G11" s="20" t="str">
        <f aca="false">IF($A11="","",SUMPRODUCT(--ISNUMBER(SEARCH($A11,'Evidence Pulls'!$F$6:$F$125)),--('Evidence Pulls'!$N$6:$N$125=1),'Evidence Pulls'!$Q$6:$Q$125))</f>
        <v/>
      </c>
      <c r="H11" s="20" t="str">
        <f aca="false">IF(E11="","",IF(E11&gt;=40,"High concentration",IF(E11&gt;=25,"Watch","")))</f>
        <v/>
      </c>
      <c r="I11" s="15"/>
    </row>
    <row r="12" customFormat="false" ht="15" hidden="false" customHeight="false" outlineLevel="0" collapsed="false">
      <c r="A12" s="15"/>
      <c r="B12" s="15"/>
      <c r="C12" s="15"/>
      <c r="D12" s="15"/>
      <c r="E12" s="20" t="str">
        <f aca="false">IF($A12="","",SUMPRODUCT(--ISNUMBER(SEARCH($A12,'Evidence Pulls'!$F$6:$F$125)),'Evidence Pulls'!$Q$6:$Q$125))</f>
        <v/>
      </c>
      <c r="F12" s="23" t="str">
        <f aca="false">IF(OR($A12="",$D12="",$D12=0),"",E12/D12)</f>
        <v/>
      </c>
      <c r="G12" s="20" t="str">
        <f aca="false">IF($A12="","",SUMPRODUCT(--ISNUMBER(SEARCH($A12,'Evidence Pulls'!$F$6:$F$125)),--('Evidence Pulls'!$N$6:$N$125=1),'Evidence Pulls'!$Q$6:$Q$125))</f>
        <v/>
      </c>
      <c r="H12" s="20" t="str">
        <f aca="false">IF(E12="","",IF(E12&gt;=40,"High concentration",IF(E12&gt;=25,"Watch","")))</f>
        <v/>
      </c>
      <c r="I12" s="15"/>
    </row>
    <row r="13" customFormat="false" ht="15" hidden="false" customHeight="false" outlineLevel="0" collapsed="false">
      <c r="A13" s="15"/>
      <c r="B13" s="15"/>
      <c r="C13" s="15"/>
      <c r="D13" s="15"/>
      <c r="E13" s="20" t="str">
        <f aca="false">IF($A13="","",SUMPRODUCT(--ISNUMBER(SEARCH($A13,'Evidence Pulls'!$F$6:$F$125)),'Evidence Pulls'!$Q$6:$Q$125))</f>
        <v/>
      </c>
      <c r="F13" s="23" t="str">
        <f aca="false">IF(OR($A13="",$D13="",$D13=0),"",E13/D13)</f>
        <v/>
      </c>
      <c r="G13" s="20" t="str">
        <f aca="false">IF($A13="","",SUMPRODUCT(--ISNUMBER(SEARCH($A13,'Evidence Pulls'!$F$6:$F$125)),--('Evidence Pulls'!$N$6:$N$125=1),'Evidence Pulls'!$Q$6:$Q$125))</f>
        <v/>
      </c>
      <c r="H13" s="20" t="str">
        <f aca="false">IF(E13="","",IF(E13&gt;=40,"High concentration",IF(E13&gt;=25,"Watch","")))</f>
        <v/>
      </c>
      <c r="I13" s="15"/>
    </row>
    <row r="14" customFormat="false" ht="15" hidden="false" customHeight="false" outlineLevel="0" collapsed="false">
      <c r="A14" s="15"/>
      <c r="B14" s="15"/>
      <c r="C14" s="15"/>
      <c r="D14" s="15"/>
      <c r="E14" s="20" t="str">
        <f aca="false">IF($A14="","",SUMPRODUCT(--ISNUMBER(SEARCH($A14,'Evidence Pulls'!$F$6:$F$125)),'Evidence Pulls'!$Q$6:$Q$125))</f>
        <v/>
      </c>
      <c r="F14" s="23" t="str">
        <f aca="false">IF(OR($A14="",$D14="",$D14=0),"",E14/D14)</f>
        <v/>
      </c>
      <c r="G14" s="20" t="str">
        <f aca="false">IF($A14="","",SUMPRODUCT(--ISNUMBER(SEARCH($A14,'Evidence Pulls'!$F$6:$F$125)),--('Evidence Pulls'!$N$6:$N$125=1),'Evidence Pulls'!$Q$6:$Q$125))</f>
        <v/>
      </c>
      <c r="H14" s="20" t="str">
        <f aca="false">IF(E14="","",IF(E14&gt;=40,"High concentration",IF(E14&gt;=25,"Watch","")))</f>
        <v/>
      </c>
      <c r="I14" s="15"/>
    </row>
    <row r="15" customFormat="false" ht="15" hidden="false" customHeight="false" outlineLevel="0" collapsed="false">
      <c r="A15" s="15"/>
      <c r="B15" s="15"/>
      <c r="C15" s="15"/>
      <c r="D15" s="15"/>
      <c r="E15" s="20" t="str">
        <f aca="false">IF($A15="","",SUMPRODUCT(--ISNUMBER(SEARCH($A15,'Evidence Pulls'!$F$6:$F$125)),'Evidence Pulls'!$Q$6:$Q$125))</f>
        <v/>
      </c>
      <c r="F15" s="23" t="str">
        <f aca="false">IF(OR($A15="",$D15="",$D15=0),"",E15/D15)</f>
        <v/>
      </c>
      <c r="G15" s="20" t="str">
        <f aca="false">IF($A15="","",SUMPRODUCT(--ISNUMBER(SEARCH($A15,'Evidence Pulls'!$F$6:$F$125)),--('Evidence Pulls'!$N$6:$N$125=1),'Evidence Pulls'!$Q$6:$Q$125))</f>
        <v/>
      </c>
      <c r="H15" s="20" t="str">
        <f aca="false">IF(E15="","",IF(E15&gt;=40,"High concentration",IF(E15&gt;=25,"Watch","")))</f>
        <v/>
      </c>
      <c r="I15" s="15"/>
    </row>
    <row r="16" customFormat="false" ht="15" hidden="false" customHeight="false" outlineLevel="0" collapsed="false">
      <c r="A16" s="15"/>
      <c r="B16" s="15"/>
      <c r="C16" s="15"/>
      <c r="D16" s="15"/>
      <c r="E16" s="20" t="str">
        <f aca="false">IF($A16="","",SUMPRODUCT(--ISNUMBER(SEARCH($A16,'Evidence Pulls'!$F$6:$F$125)),'Evidence Pulls'!$Q$6:$Q$125))</f>
        <v/>
      </c>
      <c r="F16" s="23" t="str">
        <f aca="false">IF(OR($A16="",$D16="",$D16=0),"",E16/D16)</f>
        <v/>
      </c>
      <c r="G16" s="20" t="str">
        <f aca="false">IF($A16="","",SUMPRODUCT(--ISNUMBER(SEARCH($A16,'Evidence Pulls'!$F$6:$F$125)),--('Evidence Pulls'!$N$6:$N$125=1),'Evidence Pulls'!$Q$6:$Q$125))</f>
        <v/>
      </c>
      <c r="H16" s="20" t="str">
        <f aca="false">IF(E16="","",IF(E16&gt;=40,"High concentration",IF(E16&gt;=25,"Watch","")))</f>
        <v/>
      </c>
      <c r="I16" s="15"/>
    </row>
    <row r="17" customFormat="false" ht="15" hidden="false" customHeight="false" outlineLevel="0" collapsed="false">
      <c r="A17" s="15"/>
      <c r="B17" s="15"/>
      <c r="C17" s="15"/>
      <c r="D17" s="15"/>
      <c r="E17" s="20" t="str">
        <f aca="false">IF($A17="","",SUMPRODUCT(--ISNUMBER(SEARCH($A17,'Evidence Pulls'!$F$6:$F$125)),'Evidence Pulls'!$Q$6:$Q$125))</f>
        <v/>
      </c>
      <c r="F17" s="23" t="str">
        <f aca="false">IF(OR($A17="",$D17="",$D17=0),"",E17/D17)</f>
        <v/>
      </c>
      <c r="G17" s="20" t="str">
        <f aca="false">IF($A17="","",SUMPRODUCT(--ISNUMBER(SEARCH($A17,'Evidence Pulls'!$F$6:$F$125)),--('Evidence Pulls'!$N$6:$N$125=1),'Evidence Pulls'!$Q$6:$Q$125))</f>
        <v/>
      </c>
      <c r="H17" s="20" t="str">
        <f aca="false">IF(E17="","",IF(E17&gt;=40,"High concentration",IF(E17&gt;=25,"Watch","")))</f>
        <v/>
      </c>
      <c r="I17" s="15"/>
    </row>
    <row r="18" customFormat="false" ht="15" hidden="false" customHeight="false" outlineLevel="0" collapsed="false">
      <c r="A18" s="15"/>
      <c r="B18" s="15"/>
      <c r="C18" s="15"/>
      <c r="D18" s="15"/>
      <c r="E18" s="20" t="str">
        <f aca="false">IF($A18="","",SUMPRODUCT(--ISNUMBER(SEARCH($A18,'Evidence Pulls'!$F$6:$F$125)),'Evidence Pulls'!$Q$6:$Q$125))</f>
        <v/>
      </c>
      <c r="F18" s="23" t="str">
        <f aca="false">IF(OR($A18="",$D18="",$D18=0),"",E18/D18)</f>
        <v/>
      </c>
      <c r="G18" s="20" t="str">
        <f aca="false">IF($A18="","",SUMPRODUCT(--ISNUMBER(SEARCH($A18,'Evidence Pulls'!$F$6:$F$125)),--('Evidence Pulls'!$N$6:$N$125=1),'Evidence Pulls'!$Q$6:$Q$125))</f>
        <v/>
      </c>
      <c r="H18" s="20" t="str">
        <f aca="false">IF(E18="","",IF(E18&gt;=40,"High concentration",IF(E18&gt;=25,"Watch","")))</f>
        <v/>
      </c>
      <c r="I18" s="15"/>
    </row>
    <row r="19" customFormat="false" ht="15" hidden="false" customHeight="false" outlineLevel="0" collapsed="false">
      <c r="A19" s="15"/>
      <c r="B19" s="15"/>
      <c r="C19" s="15"/>
      <c r="D19" s="15"/>
      <c r="E19" s="20" t="str">
        <f aca="false">IF($A19="","",SUMPRODUCT(--ISNUMBER(SEARCH($A19,'Evidence Pulls'!$F$6:$F$125)),'Evidence Pulls'!$Q$6:$Q$125))</f>
        <v/>
      </c>
      <c r="F19" s="23" t="str">
        <f aca="false">IF(OR($A19="",$D19="",$D19=0),"",E19/D19)</f>
        <v/>
      </c>
      <c r="G19" s="20" t="str">
        <f aca="false">IF($A19="","",SUMPRODUCT(--ISNUMBER(SEARCH($A19,'Evidence Pulls'!$F$6:$F$125)),--('Evidence Pulls'!$N$6:$N$125=1),'Evidence Pulls'!$Q$6:$Q$125))</f>
        <v/>
      </c>
      <c r="H19" s="20" t="str">
        <f aca="false">IF(E19="","",IF(E19&gt;=40,"High concentration",IF(E19&gt;=25,"Watch","")))</f>
        <v/>
      </c>
      <c r="I19" s="15"/>
    </row>
    <row r="20" customFormat="false" ht="15" hidden="false" customHeight="false" outlineLevel="0" collapsed="false">
      <c r="A20" s="15"/>
      <c r="B20" s="15"/>
      <c r="C20" s="15"/>
      <c r="D20" s="15"/>
      <c r="E20" s="20" t="str">
        <f aca="false">IF($A20="","",SUMPRODUCT(--ISNUMBER(SEARCH($A20,'Evidence Pulls'!$F$6:$F$125)),'Evidence Pulls'!$Q$6:$Q$125))</f>
        <v/>
      </c>
      <c r="F20" s="23" t="str">
        <f aca="false">IF(OR($A20="",$D20="",$D20=0),"",E20/D20)</f>
        <v/>
      </c>
      <c r="G20" s="20" t="str">
        <f aca="false">IF($A20="","",SUMPRODUCT(--ISNUMBER(SEARCH($A20,'Evidence Pulls'!$F$6:$F$125)),--('Evidence Pulls'!$N$6:$N$125=1),'Evidence Pulls'!$Q$6:$Q$125))</f>
        <v/>
      </c>
      <c r="H20" s="20" t="str">
        <f aca="false">IF(E20="","",IF(E20&gt;=40,"High concentration",IF(E20&gt;=25,"Watch","")))</f>
        <v/>
      </c>
      <c r="I20" s="15"/>
    </row>
    <row r="21" customFormat="false" ht="15" hidden="false" customHeight="false" outlineLevel="0" collapsed="false">
      <c r="A21" s="15"/>
      <c r="B21" s="15"/>
      <c r="C21" s="15"/>
      <c r="D21" s="15"/>
      <c r="E21" s="20" t="str">
        <f aca="false">IF($A21="","",SUMPRODUCT(--ISNUMBER(SEARCH($A21,'Evidence Pulls'!$F$6:$F$125)),'Evidence Pulls'!$Q$6:$Q$125))</f>
        <v/>
      </c>
      <c r="F21" s="23" t="str">
        <f aca="false">IF(OR($A21="",$D21="",$D21=0),"",E21/D21)</f>
        <v/>
      </c>
      <c r="G21" s="20" t="str">
        <f aca="false">IF($A21="","",SUMPRODUCT(--ISNUMBER(SEARCH($A21,'Evidence Pulls'!$F$6:$F$125)),--('Evidence Pulls'!$N$6:$N$125=1),'Evidence Pulls'!$Q$6:$Q$125))</f>
        <v/>
      </c>
      <c r="H21" s="20" t="str">
        <f aca="false">IF(E21="","",IF(E21&gt;=40,"High concentration",IF(E21&gt;=25,"Watch","")))</f>
        <v/>
      </c>
      <c r="I21" s="15"/>
    </row>
    <row r="22" customFormat="false" ht="15" hidden="false" customHeight="false" outlineLevel="0" collapsed="false">
      <c r="A22" s="15"/>
      <c r="B22" s="15"/>
      <c r="C22" s="15"/>
      <c r="D22" s="15"/>
      <c r="E22" s="20" t="str">
        <f aca="false">IF($A22="","",SUMPRODUCT(--ISNUMBER(SEARCH($A22,'Evidence Pulls'!$F$6:$F$125)),'Evidence Pulls'!$Q$6:$Q$125))</f>
        <v/>
      </c>
      <c r="F22" s="23" t="str">
        <f aca="false">IF(OR($A22="",$D22="",$D22=0),"",E22/D22)</f>
        <v/>
      </c>
      <c r="G22" s="20" t="str">
        <f aca="false">IF($A22="","",SUMPRODUCT(--ISNUMBER(SEARCH($A22,'Evidence Pulls'!$F$6:$F$125)),--('Evidence Pulls'!$N$6:$N$125=1),'Evidence Pulls'!$Q$6:$Q$125))</f>
        <v/>
      </c>
      <c r="H22" s="20" t="str">
        <f aca="false">IF(E22="","",IF(E22&gt;=40,"High concentration",IF(E22&gt;=25,"Watch","")))</f>
        <v/>
      </c>
      <c r="I22" s="15"/>
    </row>
    <row r="23" customFormat="false" ht="15" hidden="false" customHeight="false" outlineLevel="0" collapsed="false">
      <c r="A23" s="15"/>
      <c r="B23" s="15"/>
      <c r="C23" s="15"/>
      <c r="D23" s="15"/>
      <c r="E23" s="20" t="str">
        <f aca="false">IF($A23="","",SUMPRODUCT(--ISNUMBER(SEARCH($A23,'Evidence Pulls'!$F$6:$F$125)),'Evidence Pulls'!$Q$6:$Q$125))</f>
        <v/>
      </c>
      <c r="F23" s="23" t="str">
        <f aca="false">IF(OR($A23="",$D23="",$D23=0),"",E23/D23)</f>
        <v/>
      </c>
      <c r="G23" s="20" t="str">
        <f aca="false">IF($A23="","",SUMPRODUCT(--ISNUMBER(SEARCH($A23,'Evidence Pulls'!$F$6:$F$125)),--('Evidence Pulls'!$N$6:$N$125=1),'Evidence Pulls'!$Q$6:$Q$125))</f>
        <v/>
      </c>
      <c r="H23" s="20" t="str">
        <f aca="false">IF(E23="","",IF(E23&gt;=40,"High concentration",IF(E23&gt;=25,"Watch","")))</f>
        <v/>
      </c>
      <c r="I23" s="15"/>
    </row>
    <row r="24" customFormat="false" ht="15" hidden="false" customHeight="false" outlineLevel="0" collapsed="false">
      <c r="A24" s="15"/>
      <c r="B24" s="15"/>
      <c r="C24" s="15"/>
      <c r="D24" s="15"/>
      <c r="E24" s="20" t="str">
        <f aca="false">IF($A24="","",SUMPRODUCT(--ISNUMBER(SEARCH($A24,'Evidence Pulls'!$F$6:$F$125)),'Evidence Pulls'!$Q$6:$Q$125))</f>
        <v/>
      </c>
      <c r="F24" s="23" t="str">
        <f aca="false">IF(OR($A24="",$D24="",$D24=0),"",E24/D24)</f>
        <v/>
      </c>
      <c r="G24" s="20" t="str">
        <f aca="false">IF($A24="","",SUMPRODUCT(--ISNUMBER(SEARCH($A24,'Evidence Pulls'!$F$6:$F$125)),--('Evidence Pulls'!$N$6:$N$125=1),'Evidence Pulls'!$Q$6:$Q$125))</f>
        <v/>
      </c>
      <c r="H24" s="20" t="str">
        <f aca="false">IF(E24="","",IF(E24&gt;=40,"High concentration",IF(E24&gt;=25,"Watch","")))</f>
        <v/>
      </c>
      <c r="I24" s="15"/>
    </row>
    <row r="25" customFormat="false" ht="15" hidden="false" customHeight="false" outlineLevel="0" collapsed="false">
      <c r="A25" s="15"/>
      <c r="B25" s="15"/>
      <c r="C25" s="15"/>
      <c r="D25" s="15"/>
      <c r="E25" s="20" t="str">
        <f aca="false">IF($A25="","",SUMPRODUCT(--ISNUMBER(SEARCH($A25,'Evidence Pulls'!$F$6:$F$125)),'Evidence Pulls'!$Q$6:$Q$125))</f>
        <v/>
      </c>
      <c r="F25" s="23" t="str">
        <f aca="false">IF(OR($A25="",$D25="",$D25=0),"",E25/D25)</f>
        <v/>
      </c>
      <c r="G25" s="20" t="str">
        <f aca="false">IF($A25="","",SUMPRODUCT(--ISNUMBER(SEARCH($A25,'Evidence Pulls'!$F$6:$F$125)),--('Evidence Pulls'!$N$6:$N$125=1),'Evidence Pulls'!$Q$6:$Q$125))</f>
        <v/>
      </c>
      <c r="H25" s="20" t="str">
        <f aca="false">IF(E25="","",IF(E25&gt;=40,"High concentration",IF(E25&gt;=25,"Watch","")))</f>
        <v/>
      </c>
      <c r="I25" s="15"/>
    </row>
    <row r="26" customFormat="false" ht="15" hidden="false" customHeight="false" outlineLevel="0" collapsed="false">
      <c r="A26" s="15"/>
      <c r="B26" s="15"/>
      <c r="C26" s="15"/>
      <c r="D26" s="15"/>
      <c r="E26" s="20" t="str">
        <f aca="false">IF($A26="","",SUMPRODUCT(--ISNUMBER(SEARCH($A26,'Evidence Pulls'!$F$6:$F$125)),'Evidence Pulls'!$Q$6:$Q$125))</f>
        <v/>
      </c>
      <c r="F26" s="23" t="str">
        <f aca="false">IF(OR($A26="",$D26="",$D26=0),"",E26/D26)</f>
        <v/>
      </c>
      <c r="G26" s="20" t="str">
        <f aca="false">IF($A26="","",SUMPRODUCT(--ISNUMBER(SEARCH($A26,'Evidence Pulls'!$F$6:$F$125)),--('Evidence Pulls'!$N$6:$N$125=1),'Evidence Pulls'!$Q$6:$Q$125))</f>
        <v/>
      </c>
      <c r="H26" s="20" t="str">
        <f aca="false">IF(E26="","",IF(E26&gt;=40,"High concentration",IF(E26&gt;=25,"Watch","")))</f>
        <v/>
      </c>
      <c r="I26" s="15"/>
    </row>
    <row r="27" customFormat="false" ht="15" hidden="false" customHeight="false" outlineLevel="0" collapsed="false">
      <c r="A27" s="15"/>
      <c r="B27" s="15"/>
      <c r="C27" s="15"/>
      <c r="D27" s="15"/>
      <c r="E27" s="20" t="str">
        <f aca="false">IF($A27="","",SUMPRODUCT(--ISNUMBER(SEARCH($A27,'Evidence Pulls'!$F$6:$F$125)),'Evidence Pulls'!$Q$6:$Q$125))</f>
        <v/>
      </c>
      <c r="F27" s="23" t="str">
        <f aca="false">IF(OR($A27="",$D27="",$D27=0),"",E27/D27)</f>
        <v/>
      </c>
      <c r="G27" s="20" t="str">
        <f aca="false">IF($A27="","",SUMPRODUCT(--ISNUMBER(SEARCH($A27,'Evidence Pulls'!$F$6:$F$125)),--('Evidence Pulls'!$N$6:$N$125=1),'Evidence Pulls'!$Q$6:$Q$125))</f>
        <v/>
      </c>
      <c r="H27" s="20" t="str">
        <f aca="false">IF(E27="","",IF(E27&gt;=40,"High concentration",IF(E27&gt;=25,"Watch","")))</f>
        <v/>
      </c>
      <c r="I27" s="15"/>
    </row>
    <row r="28" customFormat="false" ht="15" hidden="false" customHeight="false" outlineLevel="0" collapsed="false">
      <c r="A28" s="15"/>
      <c r="B28" s="15"/>
      <c r="C28" s="15"/>
      <c r="D28" s="15"/>
      <c r="E28" s="20" t="str">
        <f aca="false">IF($A28="","",SUMPRODUCT(--ISNUMBER(SEARCH($A28,'Evidence Pulls'!$F$6:$F$125)),'Evidence Pulls'!$Q$6:$Q$125))</f>
        <v/>
      </c>
      <c r="F28" s="23" t="str">
        <f aca="false">IF(OR($A28="",$D28="",$D28=0),"",E28/D28)</f>
        <v/>
      </c>
      <c r="G28" s="20" t="str">
        <f aca="false">IF($A28="","",SUMPRODUCT(--ISNUMBER(SEARCH($A28,'Evidence Pulls'!$F$6:$F$125)),--('Evidence Pulls'!$N$6:$N$125=1),'Evidence Pulls'!$Q$6:$Q$125))</f>
        <v/>
      </c>
      <c r="H28" s="20" t="str">
        <f aca="false">IF(E28="","",IF(E28&gt;=40,"High concentration",IF(E28&gt;=25,"Watch","")))</f>
        <v/>
      </c>
      <c r="I28" s="15"/>
    </row>
    <row r="29" customFormat="false" ht="15" hidden="false" customHeight="false" outlineLevel="0" collapsed="false">
      <c r="A29" s="15"/>
      <c r="B29" s="15"/>
      <c r="C29" s="15"/>
      <c r="D29" s="15"/>
      <c r="E29" s="20" t="str">
        <f aca="false">IF($A29="","",SUMPRODUCT(--ISNUMBER(SEARCH($A29,'Evidence Pulls'!$F$6:$F$125)),'Evidence Pulls'!$Q$6:$Q$125))</f>
        <v/>
      </c>
      <c r="F29" s="23" t="str">
        <f aca="false">IF(OR($A29="",$D29="",$D29=0),"",E29/D29)</f>
        <v/>
      </c>
      <c r="G29" s="20" t="str">
        <f aca="false">IF($A29="","",SUMPRODUCT(--ISNUMBER(SEARCH($A29,'Evidence Pulls'!$F$6:$F$125)),--('Evidence Pulls'!$N$6:$N$125=1),'Evidence Pulls'!$Q$6:$Q$125))</f>
        <v/>
      </c>
      <c r="H29" s="20" t="str">
        <f aca="false">IF(E29="","",IF(E29&gt;=40,"High concentration",IF(E29&gt;=25,"Watch","")))</f>
        <v/>
      </c>
      <c r="I29" s="15"/>
    </row>
    <row r="30" customFormat="false" ht="15" hidden="false" customHeight="false" outlineLevel="0" collapsed="false">
      <c r="A30" s="15"/>
      <c r="B30" s="15"/>
      <c r="C30" s="15"/>
      <c r="D30" s="15"/>
      <c r="E30" s="20" t="str">
        <f aca="false">IF($A30="","",SUMPRODUCT(--ISNUMBER(SEARCH($A30,'Evidence Pulls'!$F$6:$F$125)),'Evidence Pulls'!$Q$6:$Q$125))</f>
        <v/>
      </c>
      <c r="F30" s="23" t="str">
        <f aca="false">IF(OR($A30="",$D30="",$D30=0),"",E30/D30)</f>
        <v/>
      </c>
      <c r="G30" s="20" t="str">
        <f aca="false">IF($A30="","",SUMPRODUCT(--ISNUMBER(SEARCH($A30,'Evidence Pulls'!$F$6:$F$125)),--('Evidence Pulls'!$N$6:$N$125=1),'Evidence Pulls'!$Q$6:$Q$125))</f>
        <v/>
      </c>
      <c r="H30" s="20" t="str">
        <f aca="false">IF(E30="","",IF(E30&gt;=40,"High concentration",IF(E30&gt;=25,"Watch","")))</f>
        <v/>
      </c>
      <c r="I30" s="15"/>
    </row>
    <row r="31" customFormat="false" ht="15" hidden="false" customHeight="false" outlineLevel="0" collapsed="false">
      <c r="A31" s="15"/>
      <c r="B31" s="15"/>
      <c r="C31" s="15"/>
      <c r="D31" s="15"/>
      <c r="E31" s="20" t="str">
        <f aca="false">IF($A31="","",SUMPRODUCT(--ISNUMBER(SEARCH($A31,'Evidence Pulls'!$F$6:$F$125)),'Evidence Pulls'!$Q$6:$Q$125))</f>
        <v/>
      </c>
      <c r="F31" s="23" t="str">
        <f aca="false">IF(OR($A31="",$D31="",$D31=0),"",E31/D31)</f>
        <v/>
      </c>
      <c r="G31" s="20" t="str">
        <f aca="false">IF($A31="","",SUMPRODUCT(--ISNUMBER(SEARCH($A31,'Evidence Pulls'!$F$6:$F$125)),--('Evidence Pulls'!$N$6:$N$125=1),'Evidence Pulls'!$Q$6:$Q$125))</f>
        <v/>
      </c>
      <c r="H31" s="20" t="str">
        <f aca="false">IF(E31="","",IF(E31&gt;=40,"High concentration",IF(E31&gt;=25,"Watch","")))</f>
        <v/>
      </c>
      <c r="I31" s="15"/>
    </row>
    <row r="32" customFormat="false" ht="15" hidden="false" customHeight="false" outlineLevel="0" collapsed="false">
      <c r="A32" s="15"/>
      <c r="B32" s="15"/>
      <c r="C32" s="15"/>
      <c r="D32" s="15"/>
      <c r="E32" s="20" t="str">
        <f aca="false">IF($A32="","",SUMPRODUCT(--ISNUMBER(SEARCH($A32,'Evidence Pulls'!$F$6:$F$125)),'Evidence Pulls'!$Q$6:$Q$125))</f>
        <v/>
      </c>
      <c r="F32" s="23" t="str">
        <f aca="false">IF(OR($A32="",$D32="",$D32=0),"",E32/D32)</f>
        <v/>
      </c>
      <c r="G32" s="20" t="str">
        <f aca="false">IF($A32="","",SUMPRODUCT(--ISNUMBER(SEARCH($A32,'Evidence Pulls'!$F$6:$F$125)),--('Evidence Pulls'!$N$6:$N$125=1),'Evidence Pulls'!$Q$6:$Q$125))</f>
        <v/>
      </c>
      <c r="H32" s="20" t="str">
        <f aca="false">IF(E32="","",IF(E32&gt;=40,"High concentration",IF(E32&gt;=25,"Watch","")))</f>
        <v/>
      </c>
      <c r="I32" s="15"/>
    </row>
    <row r="33" customFormat="false" ht="15" hidden="false" customHeight="false" outlineLevel="0" collapsed="false">
      <c r="A33" s="15"/>
      <c r="B33" s="15"/>
      <c r="C33" s="15"/>
      <c r="D33" s="15"/>
      <c r="E33" s="20" t="str">
        <f aca="false">IF($A33="","",SUMPRODUCT(--ISNUMBER(SEARCH($A33,'Evidence Pulls'!$F$6:$F$125)),'Evidence Pulls'!$Q$6:$Q$125))</f>
        <v/>
      </c>
      <c r="F33" s="23" t="str">
        <f aca="false">IF(OR($A33="",$D33="",$D33=0),"",E33/D33)</f>
        <v/>
      </c>
      <c r="G33" s="20" t="str">
        <f aca="false">IF($A33="","",SUMPRODUCT(--ISNUMBER(SEARCH($A33,'Evidence Pulls'!$F$6:$F$125)),--('Evidence Pulls'!$N$6:$N$125=1),'Evidence Pulls'!$Q$6:$Q$125))</f>
        <v/>
      </c>
      <c r="H33" s="20" t="str">
        <f aca="false">IF(E33="","",IF(E33&gt;=40,"High concentration",IF(E33&gt;=25,"Watch","")))</f>
        <v/>
      </c>
      <c r="I33" s="15"/>
    </row>
    <row r="34" customFormat="false" ht="15" hidden="false" customHeight="false" outlineLevel="0" collapsed="false">
      <c r="A34" s="15"/>
      <c r="B34" s="15"/>
      <c r="C34" s="15"/>
      <c r="D34" s="15"/>
      <c r="E34" s="20" t="str">
        <f aca="false">IF($A34="","",SUMPRODUCT(--ISNUMBER(SEARCH($A34,'Evidence Pulls'!$F$6:$F$125)),'Evidence Pulls'!$Q$6:$Q$125))</f>
        <v/>
      </c>
      <c r="F34" s="23" t="str">
        <f aca="false">IF(OR($A34="",$D34="",$D34=0),"",E34/D34)</f>
        <v/>
      </c>
      <c r="G34" s="20" t="str">
        <f aca="false">IF($A34="","",SUMPRODUCT(--ISNUMBER(SEARCH($A34,'Evidence Pulls'!$F$6:$F$125)),--('Evidence Pulls'!$N$6:$N$125=1),'Evidence Pulls'!$Q$6:$Q$125))</f>
        <v/>
      </c>
      <c r="H34" s="20" t="str">
        <f aca="false">IF(E34="","",IF(E34&gt;=40,"High concentration",IF(E34&gt;=25,"Watch","")))</f>
        <v/>
      </c>
      <c r="I34" s="15"/>
    </row>
    <row r="35" customFormat="false" ht="15" hidden="false" customHeight="false" outlineLevel="0" collapsed="false">
      <c r="A35" s="15"/>
      <c r="B35" s="15"/>
      <c r="C35" s="15"/>
      <c r="D35" s="15"/>
      <c r="E35" s="20" t="str">
        <f aca="false">IF($A35="","",SUMPRODUCT(--ISNUMBER(SEARCH($A35,'Evidence Pulls'!$F$6:$F$125)),'Evidence Pulls'!$Q$6:$Q$125))</f>
        <v/>
      </c>
      <c r="F35" s="23" t="str">
        <f aca="false">IF(OR($A35="",$D35="",$D35=0),"",E35/D35)</f>
        <v/>
      </c>
      <c r="G35" s="20" t="str">
        <f aca="false">IF($A35="","",SUMPRODUCT(--ISNUMBER(SEARCH($A35,'Evidence Pulls'!$F$6:$F$125)),--('Evidence Pulls'!$N$6:$N$125=1),'Evidence Pulls'!$Q$6:$Q$125))</f>
        <v/>
      </c>
      <c r="H35" s="20" t="str">
        <f aca="false">IF(E35="","",IF(E35&gt;=40,"High concentration",IF(E35&gt;=25,"Watch","")))</f>
        <v/>
      </c>
      <c r="I35" s="15"/>
    </row>
    <row r="36" customFormat="false" ht="15" hidden="false" customHeight="false" outlineLevel="0" collapsed="false">
      <c r="A36" s="15"/>
      <c r="B36" s="15"/>
      <c r="C36" s="15"/>
      <c r="D36" s="15"/>
      <c r="E36" s="20" t="str">
        <f aca="false">IF($A36="","",SUMPRODUCT(--ISNUMBER(SEARCH($A36,'Evidence Pulls'!$F$6:$F$125)),'Evidence Pulls'!$Q$6:$Q$125))</f>
        <v/>
      </c>
      <c r="F36" s="23" t="str">
        <f aca="false">IF(OR($A36="",$D36="",$D36=0),"",E36/D36)</f>
        <v/>
      </c>
      <c r="G36" s="20" t="str">
        <f aca="false">IF($A36="","",SUMPRODUCT(--ISNUMBER(SEARCH($A36,'Evidence Pulls'!$F$6:$F$125)),--('Evidence Pulls'!$N$6:$N$125=1),'Evidence Pulls'!$Q$6:$Q$125))</f>
        <v/>
      </c>
      <c r="H36" s="20" t="str">
        <f aca="false">IF(E36="","",IF(E36&gt;=40,"High concentration",IF(E36&gt;=25,"Watch","")))</f>
        <v/>
      </c>
      <c r="I36" s="15"/>
    </row>
    <row r="37" customFormat="false" ht="15" hidden="false" customHeight="false" outlineLevel="0" collapsed="false">
      <c r="A37" s="15"/>
      <c r="B37" s="15"/>
      <c r="C37" s="15"/>
      <c r="D37" s="15"/>
      <c r="E37" s="20" t="str">
        <f aca="false">IF($A37="","",SUMPRODUCT(--ISNUMBER(SEARCH($A37,'Evidence Pulls'!$F$6:$F$125)),'Evidence Pulls'!$Q$6:$Q$125))</f>
        <v/>
      </c>
      <c r="F37" s="23" t="str">
        <f aca="false">IF(OR($A37="",$D37="",$D37=0),"",E37/D37)</f>
        <v/>
      </c>
      <c r="G37" s="20" t="str">
        <f aca="false">IF($A37="","",SUMPRODUCT(--ISNUMBER(SEARCH($A37,'Evidence Pulls'!$F$6:$F$125)),--('Evidence Pulls'!$N$6:$N$125=1),'Evidence Pulls'!$Q$6:$Q$125))</f>
        <v/>
      </c>
      <c r="H37" s="20" t="str">
        <f aca="false">IF(E37="","",IF(E37&gt;=40,"High concentration",IF(E37&gt;=25,"Watch","")))</f>
        <v/>
      </c>
      <c r="I37" s="15"/>
    </row>
    <row r="38" customFormat="false" ht="15" hidden="false" customHeight="false" outlineLevel="0" collapsed="false">
      <c r="A38" s="15"/>
      <c r="B38" s="15"/>
      <c r="C38" s="15"/>
      <c r="D38" s="15"/>
      <c r="E38" s="20" t="str">
        <f aca="false">IF($A38="","",SUMPRODUCT(--ISNUMBER(SEARCH($A38,'Evidence Pulls'!$F$6:$F$125)),'Evidence Pulls'!$Q$6:$Q$125))</f>
        <v/>
      </c>
      <c r="F38" s="23" t="str">
        <f aca="false">IF(OR($A38="",$D38="",$D38=0),"",E38/D38)</f>
        <v/>
      </c>
      <c r="G38" s="20" t="str">
        <f aca="false">IF($A38="","",SUMPRODUCT(--ISNUMBER(SEARCH($A38,'Evidence Pulls'!$F$6:$F$125)),--('Evidence Pulls'!$N$6:$N$125=1),'Evidence Pulls'!$Q$6:$Q$125))</f>
        <v/>
      </c>
      <c r="H38" s="20" t="str">
        <f aca="false">IF(E38="","",IF(E38&gt;=40,"High concentration",IF(E38&gt;=25,"Watch","")))</f>
        <v/>
      </c>
      <c r="I38" s="15"/>
    </row>
    <row r="39" customFormat="false" ht="15" hidden="false" customHeight="false" outlineLevel="0" collapsed="false">
      <c r="A39" s="15"/>
      <c r="B39" s="15"/>
      <c r="C39" s="15"/>
      <c r="D39" s="15"/>
      <c r="E39" s="20" t="str">
        <f aca="false">IF($A39="","",SUMPRODUCT(--ISNUMBER(SEARCH($A39,'Evidence Pulls'!$F$6:$F$125)),'Evidence Pulls'!$Q$6:$Q$125))</f>
        <v/>
      </c>
      <c r="F39" s="23" t="str">
        <f aca="false">IF(OR($A39="",$D39="",$D39=0),"",E39/D39)</f>
        <v/>
      </c>
      <c r="G39" s="20" t="str">
        <f aca="false">IF($A39="","",SUMPRODUCT(--ISNUMBER(SEARCH($A39,'Evidence Pulls'!$F$6:$F$125)),--('Evidence Pulls'!$N$6:$N$125=1),'Evidence Pulls'!$Q$6:$Q$125))</f>
        <v/>
      </c>
      <c r="H39" s="20" t="str">
        <f aca="false">IF(E39="","",IF(E39&gt;=40,"High concentration",IF(E39&gt;=25,"Watch","")))</f>
        <v/>
      </c>
      <c r="I39" s="15"/>
    </row>
    <row r="40" customFormat="false" ht="15" hidden="false" customHeight="false" outlineLevel="0" collapsed="false">
      <c r="A40" s="15"/>
      <c r="B40" s="15"/>
      <c r="C40" s="15"/>
      <c r="D40" s="15"/>
      <c r="E40" s="20" t="str">
        <f aca="false">IF($A40="","",SUMPRODUCT(--ISNUMBER(SEARCH($A40,'Evidence Pulls'!$F$6:$F$125)),'Evidence Pulls'!$Q$6:$Q$125))</f>
        <v/>
      </c>
      <c r="F40" s="23" t="str">
        <f aca="false">IF(OR($A40="",$D40="",$D40=0),"",E40/D40)</f>
        <v/>
      </c>
      <c r="G40" s="20" t="str">
        <f aca="false">IF($A40="","",SUMPRODUCT(--ISNUMBER(SEARCH($A40,'Evidence Pulls'!$F$6:$F$125)),--('Evidence Pulls'!$N$6:$N$125=1),'Evidence Pulls'!$Q$6:$Q$125))</f>
        <v/>
      </c>
      <c r="H40" s="20" t="str">
        <f aca="false">IF(E40="","",IF(E40&gt;=40,"High concentration",IF(E40&gt;=25,"Watch","")))</f>
        <v/>
      </c>
      <c r="I40" s="15"/>
    </row>
    <row r="41" customFormat="false" ht="15" hidden="false" customHeight="false" outlineLevel="0" collapsed="false">
      <c r="A41" s="15"/>
      <c r="B41" s="15"/>
      <c r="C41" s="15"/>
      <c r="D41" s="15"/>
      <c r="E41" s="20" t="str">
        <f aca="false">IF($A41="","",SUMPRODUCT(--ISNUMBER(SEARCH($A41,'Evidence Pulls'!$F$6:$F$125)),'Evidence Pulls'!$Q$6:$Q$125))</f>
        <v/>
      </c>
      <c r="F41" s="23" t="str">
        <f aca="false">IF(OR($A41="",$D41="",$D41=0),"",E41/D41)</f>
        <v/>
      </c>
      <c r="G41" s="20" t="str">
        <f aca="false">IF($A41="","",SUMPRODUCT(--ISNUMBER(SEARCH($A41,'Evidence Pulls'!$F$6:$F$125)),--('Evidence Pulls'!$N$6:$N$125=1),'Evidence Pulls'!$Q$6:$Q$125))</f>
        <v/>
      </c>
      <c r="H41" s="20" t="str">
        <f aca="false">IF(E41="","",IF(E41&gt;=40,"High concentration",IF(E41&gt;=25,"Watch","")))</f>
        <v/>
      </c>
      <c r="I41" s="15"/>
    </row>
    <row r="42" customFormat="false" ht="15" hidden="false" customHeight="false" outlineLevel="0" collapsed="false">
      <c r="A42" s="15"/>
      <c r="B42" s="15"/>
      <c r="C42" s="15"/>
      <c r="D42" s="15"/>
      <c r="E42" s="20" t="str">
        <f aca="false">IF($A42="","",SUMPRODUCT(--ISNUMBER(SEARCH($A42,'Evidence Pulls'!$F$6:$F$125)),'Evidence Pulls'!$Q$6:$Q$125))</f>
        <v/>
      </c>
      <c r="F42" s="23" t="str">
        <f aca="false">IF(OR($A42="",$D42="",$D42=0),"",E42/D42)</f>
        <v/>
      </c>
      <c r="G42" s="20" t="str">
        <f aca="false">IF($A42="","",SUMPRODUCT(--ISNUMBER(SEARCH($A42,'Evidence Pulls'!$F$6:$F$125)),--('Evidence Pulls'!$N$6:$N$125=1),'Evidence Pulls'!$Q$6:$Q$125))</f>
        <v/>
      </c>
      <c r="H42" s="20" t="str">
        <f aca="false">IF(E42="","",IF(E42&gt;=40,"High concentration",IF(E42&gt;=25,"Watch","")))</f>
        <v/>
      </c>
      <c r="I42" s="15"/>
    </row>
    <row r="43" customFormat="false" ht="15" hidden="false" customHeight="false" outlineLevel="0" collapsed="false">
      <c r="A43" s="15"/>
      <c r="B43" s="15"/>
      <c r="C43" s="15"/>
      <c r="D43" s="15"/>
      <c r="E43" s="20" t="str">
        <f aca="false">IF($A43="","",SUMPRODUCT(--ISNUMBER(SEARCH($A43,'Evidence Pulls'!$F$6:$F$125)),'Evidence Pulls'!$Q$6:$Q$125))</f>
        <v/>
      </c>
      <c r="F43" s="23" t="str">
        <f aca="false">IF(OR($A43="",$D43="",$D43=0),"",E43/D43)</f>
        <v/>
      </c>
      <c r="G43" s="20" t="str">
        <f aca="false">IF($A43="","",SUMPRODUCT(--ISNUMBER(SEARCH($A43,'Evidence Pulls'!$F$6:$F$125)),--('Evidence Pulls'!$N$6:$N$125=1),'Evidence Pulls'!$Q$6:$Q$125))</f>
        <v/>
      </c>
      <c r="H43" s="20" t="str">
        <f aca="false">IF(E43="","",IF(E43&gt;=40,"High concentration",IF(E43&gt;=25,"Watch","")))</f>
        <v/>
      </c>
      <c r="I43" s="15"/>
    </row>
    <row r="44" customFormat="false" ht="15" hidden="false" customHeight="false" outlineLevel="0" collapsed="false">
      <c r="A44" s="15"/>
      <c r="B44" s="15"/>
      <c r="C44" s="15"/>
      <c r="D44" s="15"/>
      <c r="E44" s="20" t="str">
        <f aca="false">IF($A44="","",SUMPRODUCT(--ISNUMBER(SEARCH($A44,'Evidence Pulls'!$F$6:$F$125)),'Evidence Pulls'!$Q$6:$Q$125))</f>
        <v/>
      </c>
      <c r="F44" s="23" t="str">
        <f aca="false">IF(OR($A44="",$D44="",$D44=0),"",E44/D44)</f>
        <v/>
      </c>
      <c r="G44" s="20" t="str">
        <f aca="false">IF($A44="","",SUMPRODUCT(--ISNUMBER(SEARCH($A44,'Evidence Pulls'!$F$6:$F$125)),--('Evidence Pulls'!$N$6:$N$125=1),'Evidence Pulls'!$Q$6:$Q$125))</f>
        <v/>
      </c>
      <c r="H44" s="20" t="str">
        <f aca="false">IF(E44="","",IF(E44&gt;=40,"High concentration",IF(E44&gt;=25,"Watch","")))</f>
        <v/>
      </c>
      <c r="I44" s="15"/>
    </row>
    <row r="45" customFormat="false" ht="15" hidden="false" customHeight="false" outlineLevel="0" collapsed="false">
      <c r="A45" s="15"/>
      <c r="B45" s="15"/>
      <c r="C45" s="15"/>
      <c r="D45" s="15"/>
      <c r="E45" s="20" t="str">
        <f aca="false">IF($A45="","",SUMPRODUCT(--ISNUMBER(SEARCH($A45,'Evidence Pulls'!$F$6:$F$125)),'Evidence Pulls'!$Q$6:$Q$125))</f>
        <v/>
      </c>
      <c r="F45" s="23" t="str">
        <f aca="false">IF(OR($A45="",$D45="",$D45=0),"",E45/D45)</f>
        <v/>
      </c>
      <c r="G45" s="20" t="str">
        <f aca="false">IF($A45="","",SUMPRODUCT(--ISNUMBER(SEARCH($A45,'Evidence Pulls'!$F$6:$F$125)),--('Evidence Pulls'!$N$6:$N$125=1),'Evidence Pulls'!$Q$6:$Q$125))</f>
        <v/>
      </c>
      <c r="H45" s="20" t="str">
        <f aca="false">IF(E45="","",IF(E45&gt;=40,"High concentration",IF(E45&gt;=25,"Watch","")))</f>
        <v/>
      </c>
      <c r="I45" s="15"/>
    </row>
    <row r="46" customFormat="false" ht="15" hidden="false" customHeight="false" outlineLevel="0" collapsed="false">
      <c r="A46" s="15"/>
      <c r="B46" s="15"/>
      <c r="C46" s="15"/>
      <c r="D46" s="15"/>
      <c r="E46" s="20" t="str">
        <f aca="false">IF($A46="","",SUMPRODUCT(--ISNUMBER(SEARCH($A46,'Evidence Pulls'!$F$6:$F$125)),'Evidence Pulls'!$Q$6:$Q$125))</f>
        <v/>
      </c>
      <c r="F46" s="23" t="str">
        <f aca="false">IF(OR($A46="",$D46="",$D46=0),"",E46/D46)</f>
        <v/>
      </c>
      <c r="G46" s="20" t="str">
        <f aca="false">IF($A46="","",SUMPRODUCT(--ISNUMBER(SEARCH($A46,'Evidence Pulls'!$F$6:$F$125)),--('Evidence Pulls'!$N$6:$N$125=1),'Evidence Pulls'!$Q$6:$Q$125))</f>
        <v/>
      </c>
      <c r="H46" s="20" t="str">
        <f aca="false">IF(E46="","",IF(E46&gt;=40,"High concentration",IF(E46&gt;=25,"Watch","")))</f>
        <v/>
      </c>
      <c r="I46" s="15"/>
    </row>
    <row r="47" customFormat="false" ht="15" hidden="false" customHeight="false" outlineLevel="0" collapsed="false">
      <c r="A47" s="15"/>
      <c r="B47" s="15"/>
      <c r="C47" s="15"/>
      <c r="D47" s="15"/>
      <c r="E47" s="20" t="str">
        <f aca="false">IF($A47="","",SUMPRODUCT(--ISNUMBER(SEARCH($A47,'Evidence Pulls'!$F$6:$F$125)),'Evidence Pulls'!$Q$6:$Q$125))</f>
        <v/>
      </c>
      <c r="F47" s="23" t="str">
        <f aca="false">IF(OR($A47="",$D47="",$D47=0),"",E47/D47)</f>
        <v/>
      </c>
      <c r="G47" s="20" t="str">
        <f aca="false">IF($A47="","",SUMPRODUCT(--ISNUMBER(SEARCH($A47,'Evidence Pulls'!$F$6:$F$125)),--('Evidence Pulls'!$N$6:$N$125=1),'Evidence Pulls'!$Q$6:$Q$125))</f>
        <v/>
      </c>
      <c r="H47" s="20" t="str">
        <f aca="false">IF(E47="","",IF(E47&gt;=40,"High concentration",IF(E47&gt;=25,"Watch","")))</f>
        <v/>
      </c>
      <c r="I47" s="15"/>
    </row>
    <row r="48" customFormat="false" ht="15" hidden="false" customHeight="false" outlineLevel="0" collapsed="false">
      <c r="A48" s="15"/>
      <c r="B48" s="15"/>
      <c r="C48" s="15"/>
      <c r="D48" s="15"/>
      <c r="E48" s="20" t="str">
        <f aca="false">IF($A48="","",SUMPRODUCT(--ISNUMBER(SEARCH($A48,'Evidence Pulls'!$F$6:$F$125)),'Evidence Pulls'!$Q$6:$Q$125))</f>
        <v/>
      </c>
      <c r="F48" s="23" t="str">
        <f aca="false">IF(OR($A48="",$D48="",$D48=0),"",E48/D48)</f>
        <v/>
      </c>
      <c r="G48" s="20" t="str">
        <f aca="false">IF($A48="","",SUMPRODUCT(--ISNUMBER(SEARCH($A48,'Evidence Pulls'!$F$6:$F$125)),--('Evidence Pulls'!$N$6:$N$125=1),'Evidence Pulls'!$Q$6:$Q$125))</f>
        <v/>
      </c>
      <c r="H48" s="20" t="str">
        <f aca="false">IF(E48="","",IF(E48&gt;=40,"High concentration",IF(E48&gt;=25,"Watch","")))</f>
        <v/>
      </c>
      <c r="I48" s="15"/>
    </row>
    <row r="49" customFormat="false" ht="15" hidden="false" customHeight="false" outlineLevel="0" collapsed="false">
      <c r="A49" s="15"/>
      <c r="B49" s="15"/>
      <c r="C49" s="15"/>
      <c r="D49" s="15"/>
      <c r="E49" s="20" t="str">
        <f aca="false">IF($A49="","",SUMPRODUCT(--ISNUMBER(SEARCH($A49,'Evidence Pulls'!$F$6:$F$125)),'Evidence Pulls'!$Q$6:$Q$125))</f>
        <v/>
      </c>
      <c r="F49" s="23" t="str">
        <f aca="false">IF(OR($A49="",$D49="",$D49=0),"",E49/D49)</f>
        <v/>
      </c>
      <c r="G49" s="20" t="str">
        <f aca="false">IF($A49="","",SUMPRODUCT(--ISNUMBER(SEARCH($A49,'Evidence Pulls'!$F$6:$F$125)),--('Evidence Pulls'!$N$6:$N$125=1),'Evidence Pulls'!$Q$6:$Q$125))</f>
        <v/>
      </c>
      <c r="H49" s="20" t="str">
        <f aca="false">IF(E49="","",IF(E49&gt;=40,"High concentration",IF(E49&gt;=25,"Watch","")))</f>
        <v/>
      </c>
      <c r="I49" s="15"/>
    </row>
    <row r="50" customFormat="false" ht="15" hidden="false" customHeight="false" outlineLevel="0" collapsed="false">
      <c r="A50" s="15"/>
      <c r="B50" s="15"/>
      <c r="C50" s="15"/>
      <c r="D50" s="15"/>
      <c r="E50" s="20" t="str">
        <f aca="false">IF($A50="","",SUMPRODUCT(--ISNUMBER(SEARCH($A50,'Evidence Pulls'!$F$6:$F$125)),'Evidence Pulls'!$Q$6:$Q$125))</f>
        <v/>
      </c>
      <c r="F50" s="23" t="str">
        <f aca="false">IF(OR($A50="",$D50="",$D50=0),"",E50/D50)</f>
        <v/>
      </c>
      <c r="G50" s="20" t="str">
        <f aca="false">IF($A50="","",SUMPRODUCT(--ISNUMBER(SEARCH($A50,'Evidence Pulls'!$F$6:$F$125)),--('Evidence Pulls'!$N$6:$N$125=1),'Evidence Pulls'!$Q$6:$Q$125))</f>
        <v/>
      </c>
      <c r="H50" s="20" t="str">
        <f aca="false">IF(E50="","",IF(E50&gt;=40,"High concentration",IF(E50&gt;=25,"Watch","")))</f>
        <v/>
      </c>
      <c r="I50" s="15"/>
    </row>
    <row r="51" customFormat="false" ht="15" hidden="false" customHeight="false" outlineLevel="0" collapsed="false">
      <c r="A51" s="15"/>
      <c r="B51" s="15"/>
      <c r="C51" s="15"/>
      <c r="D51" s="15"/>
      <c r="E51" s="20" t="str">
        <f aca="false">IF($A51="","",SUMPRODUCT(--ISNUMBER(SEARCH($A51,'Evidence Pulls'!$F$6:$F$125)),'Evidence Pulls'!$Q$6:$Q$125))</f>
        <v/>
      </c>
      <c r="F51" s="23" t="str">
        <f aca="false">IF(OR($A51="",$D51="",$D51=0),"",E51/D51)</f>
        <v/>
      </c>
      <c r="G51" s="20" t="str">
        <f aca="false">IF($A51="","",SUMPRODUCT(--ISNUMBER(SEARCH($A51,'Evidence Pulls'!$F$6:$F$125)),--('Evidence Pulls'!$N$6:$N$125=1),'Evidence Pulls'!$Q$6:$Q$125))</f>
        <v/>
      </c>
      <c r="H51" s="20" t="str">
        <f aca="false">IF(E51="","",IF(E51&gt;=40,"High concentration",IF(E51&gt;=25,"Watch","")))</f>
        <v/>
      </c>
      <c r="I51" s="15"/>
    </row>
    <row r="52" customFormat="false" ht="15" hidden="false" customHeight="false" outlineLevel="0" collapsed="false">
      <c r="A52" s="15"/>
      <c r="B52" s="15"/>
      <c r="C52" s="15"/>
      <c r="D52" s="15"/>
      <c r="E52" s="20" t="str">
        <f aca="false">IF($A52="","",SUMPRODUCT(--ISNUMBER(SEARCH($A52,'Evidence Pulls'!$F$6:$F$125)),'Evidence Pulls'!$Q$6:$Q$125))</f>
        <v/>
      </c>
      <c r="F52" s="23" t="str">
        <f aca="false">IF(OR($A52="",$D52="",$D52=0),"",E52/D52)</f>
        <v/>
      </c>
      <c r="G52" s="20" t="str">
        <f aca="false">IF($A52="","",SUMPRODUCT(--ISNUMBER(SEARCH($A52,'Evidence Pulls'!$F$6:$F$125)),--('Evidence Pulls'!$N$6:$N$125=1),'Evidence Pulls'!$Q$6:$Q$125))</f>
        <v/>
      </c>
      <c r="H52" s="20" t="str">
        <f aca="false">IF(E52="","",IF(E52&gt;=40,"High concentration",IF(E52&gt;=25,"Watch","")))</f>
        <v/>
      </c>
      <c r="I52" s="15"/>
    </row>
    <row r="53" customFormat="false" ht="15" hidden="false" customHeight="false" outlineLevel="0" collapsed="false">
      <c r="A53" s="15"/>
      <c r="B53" s="15"/>
      <c r="C53" s="15"/>
      <c r="D53" s="15"/>
      <c r="E53" s="20" t="str">
        <f aca="false">IF($A53="","",SUMPRODUCT(--ISNUMBER(SEARCH($A53,'Evidence Pulls'!$F$6:$F$125)),'Evidence Pulls'!$Q$6:$Q$125))</f>
        <v/>
      </c>
      <c r="F53" s="23" t="str">
        <f aca="false">IF(OR($A53="",$D53="",$D53=0),"",E53/D53)</f>
        <v/>
      </c>
      <c r="G53" s="20" t="str">
        <f aca="false">IF($A53="","",SUMPRODUCT(--ISNUMBER(SEARCH($A53,'Evidence Pulls'!$F$6:$F$125)),--('Evidence Pulls'!$N$6:$N$125=1),'Evidence Pulls'!$Q$6:$Q$125))</f>
        <v/>
      </c>
      <c r="H53" s="20" t="str">
        <f aca="false">IF(E53="","",IF(E53&gt;=40,"High concentration",IF(E53&gt;=25,"Watch","")))</f>
        <v/>
      </c>
      <c r="I53" s="15"/>
    </row>
    <row r="54" customFormat="false" ht="15" hidden="false" customHeight="false" outlineLevel="0" collapsed="false">
      <c r="A54" s="15"/>
      <c r="B54" s="15"/>
      <c r="C54" s="15"/>
      <c r="D54" s="15"/>
      <c r="E54" s="20" t="str">
        <f aca="false">IF($A54="","",SUMPRODUCT(--ISNUMBER(SEARCH($A54,'Evidence Pulls'!$F$6:$F$125)),'Evidence Pulls'!$Q$6:$Q$125))</f>
        <v/>
      </c>
      <c r="F54" s="23" t="str">
        <f aca="false">IF(OR($A54="",$D54="",$D54=0),"",E54/D54)</f>
        <v/>
      </c>
      <c r="G54" s="20" t="str">
        <f aca="false">IF($A54="","",SUMPRODUCT(--ISNUMBER(SEARCH($A54,'Evidence Pulls'!$F$6:$F$125)),--('Evidence Pulls'!$N$6:$N$125=1),'Evidence Pulls'!$Q$6:$Q$125))</f>
        <v/>
      </c>
      <c r="H54" s="20" t="str">
        <f aca="false">IF(E54="","",IF(E54&gt;=40,"High concentration",IF(E54&gt;=25,"Watch","")))</f>
        <v/>
      </c>
      <c r="I54" s="15"/>
    </row>
  </sheetData>
  <dataValidations count="1">
    <dataValidation allowBlank="true" errorStyle="stop" operator="between" showDropDown="false" showErrorMessage="false" showInputMessage="false" sqref="C5:C54" type="list">
      <formula1>Lists!$F$3:$F$15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6" min="2" style="1" width="17"/>
  </cols>
  <sheetData>
    <row r="1" customFormat="false" ht="17.35" hidden="false" customHeight="false" outlineLevel="0" collapsed="false">
      <c r="A1" s="2" t="s">
        <v>612</v>
      </c>
    </row>
    <row r="2" customFormat="false" ht="15" hidden="false" customHeight="false" outlineLevel="0" collapsed="false">
      <c r="A2" s="3" t="s">
        <v>613</v>
      </c>
    </row>
    <row r="4" customFormat="false" ht="15" hidden="false" customHeight="false" outlineLevel="0" collapsed="false">
      <c r="A4" s="4" t="s">
        <v>614</v>
      </c>
    </row>
    <row r="5" customFormat="false" ht="18" hidden="false" customHeight="true" outlineLevel="0" collapsed="false">
      <c r="A5" s="6" t="s">
        <v>615</v>
      </c>
      <c r="B5" s="6" t="s">
        <v>616</v>
      </c>
    </row>
    <row r="6" customFormat="false" ht="15" hidden="false" customHeight="false" outlineLevel="0" collapsed="false">
      <c r="A6" s="7" t="s">
        <v>617</v>
      </c>
      <c r="B6" s="25" t="n">
        <f aca="false">COUNTA('Full Register'!$A$6:$A$279)</f>
        <v>274</v>
      </c>
    </row>
    <row r="7" customFormat="false" ht="15" hidden="false" customHeight="false" outlineLevel="0" collapsed="false">
      <c r="A7" s="7" t="s">
        <v>618</v>
      </c>
      <c r="B7" s="25" t="n">
        <f aca="false">COUNTIF('Full Register'!$G$6:$G$279,"MANDATORY")</f>
        <v>44</v>
      </c>
    </row>
    <row r="8" customFormat="false" ht="15" hidden="false" customHeight="false" outlineLevel="0" collapsed="false">
      <c r="A8" s="7" t="s">
        <v>619</v>
      </c>
      <c r="B8" s="25" t="n">
        <f aca="false">COUNTIF('Full Register'!$H$6:$H$279,"Full")</f>
        <v>44</v>
      </c>
    </row>
    <row r="9" customFormat="false" ht="15" hidden="false" customHeight="false" outlineLevel="0" collapsed="false">
      <c r="A9" s="7" t="s">
        <v>620</v>
      </c>
      <c r="B9" s="25" t="n">
        <f aca="false">COUNTA('Evidence Pulls'!$A$6:$A$125)</f>
        <v>1</v>
      </c>
    </row>
    <row r="10" customFormat="false" ht="15" hidden="false" customHeight="false" outlineLevel="0" collapsed="false">
      <c r="A10" s="7" t="s">
        <v>621</v>
      </c>
      <c r="B10" s="25" t="n">
        <f aca="false">COUNTIF('Evidence Pulls'!$J$6:$J$125,"&gt;0")</f>
        <v>1</v>
      </c>
    </row>
    <row r="11" customFormat="false" ht="15" hidden="false" customHeight="false" outlineLevel="0" collapsed="false">
      <c r="A11" s="7" t="s">
        <v>622</v>
      </c>
      <c r="B11" s="25" t="n">
        <f aca="false">COUNTA('Full Register'!$J$6:$J$279)</f>
        <v>0</v>
      </c>
    </row>
    <row r="12" customFormat="false" ht="15" hidden="false" customHeight="false" outlineLevel="0" collapsed="false">
      <c r="A12" s="7" t="s">
        <v>623</v>
      </c>
      <c r="B12" s="26" t="n">
        <f aca="false">COUNTA('Full Register'!$K$6:$K$279)</f>
        <v>0</v>
      </c>
    </row>
    <row r="13" customFormat="false" ht="15" hidden="false" customHeight="false" outlineLevel="0" collapsed="false">
      <c r="A13" s="7" t="s">
        <v>624</v>
      </c>
      <c r="B13" s="25" t="n">
        <f aca="false">IFERROR(COUNTA('Full Register'!$N$6:$N$279)/COUNTA('Full Register'!$A$6:$A$279),0)</f>
        <v>0</v>
      </c>
    </row>
    <row r="15" customFormat="false" ht="15" hidden="false" customHeight="false" outlineLevel="0" collapsed="false">
      <c r="A15" s="4" t="s">
        <v>625</v>
      </c>
    </row>
    <row r="16" customFormat="false" ht="18" hidden="false" customHeight="true" outlineLevel="0" collapsed="false">
      <c r="A16" s="9" t="s">
        <v>615</v>
      </c>
      <c r="B16" s="9" t="s">
        <v>616</v>
      </c>
    </row>
    <row r="17" customFormat="false" ht="15" hidden="false" customHeight="false" outlineLevel="0" collapsed="false">
      <c r="A17" s="7" t="s">
        <v>626</v>
      </c>
      <c r="B17" s="25" t="n">
        <f aca="false">COUNTA('Full Register'!$A$6:$A$279)-COUNTIF('Full Register'!$P$6:$P$279,"&gt;0")</f>
        <v>274</v>
      </c>
    </row>
    <row r="18" customFormat="false" ht="15" hidden="false" customHeight="false" outlineLevel="0" collapsed="false">
      <c r="A18" s="7" t="s">
        <v>627</v>
      </c>
      <c r="B18" s="25" t="n">
        <f aca="false">COUNTIF('Full Register'!$G$6:$G$279,"MANDATORY")-COUNTIFS('Full Register'!$G$6:$G$279,"MANDATORY",'Full Register'!$P$6:$P$279,"&gt;0")</f>
        <v>44</v>
      </c>
    </row>
    <row r="19" customFormat="false" ht="15" hidden="false" customHeight="false" outlineLevel="0" collapsed="false">
      <c r="A19" s="7" t="s">
        <v>628</v>
      </c>
      <c r="B19" s="25" t="n">
        <f aca="false">COUNTIF('Full Register'!$P$6:$P$279,1)</f>
        <v>0</v>
      </c>
    </row>
    <row r="20" customFormat="false" ht="15" hidden="false" customHeight="false" outlineLevel="0" collapsed="false">
      <c r="A20" s="7" t="s">
        <v>627</v>
      </c>
      <c r="B20" s="25" t="n">
        <f aca="false">COUNTIFS('Full Register'!$G$6:$G$279,"MANDATORY",'Full Register'!$P$6:$P$279,1)</f>
        <v>0</v>
      </c>
    </row>
    <row r="22" customFormat="false" ht="15" hidden="false" customHeight="false" outlineLevel="0" collapsed="false">
      <c r="A22" s="4" t="s">
        <v>629</v>
      </c>
    </row>
    <row r="23" customFormat="false" ht="18" hidden="false" customHeight="true" outlineLevel="0" collapsed="false">
      <c r="A23" s="6" t="s">
        <v>615</v>
      </c>
      <c r="B23" s="6" t="s">
        <v>616</v>
      </c>
    </row>
    <row r="24" customFormat="false" ht="15" hidden="false" customHeight="false" outlineLevel="0" collapsed="false">
      <c r="A24" s="7" t="s">
        <v>630</v>
      </c>
      <c r="B24" s="25" t="n">
        <f aca="false">COUNTIF('Full Register'!$G$6:$G$279,"MANDATORY")-COUNTIFS('Full Register'!$G$6:$G$279,"MANDATORY",'Full Register'!$O$6:$O$279,"&gt;=3")</f>
        <v>44</v>
      </c>
    </row>
    <row r="25" customFormat="false" ht="15" hidden="false" customHeight="false" outlineLevel="0" collapsed="false">
      <c r="A25" s="7" t="s">
        <v>631</v>
      </c>
      <c r="B25" s="25" t="n">
        <f aca="false">COUNTIFS('Full Register'!$G$6:$G$279,"MANDATORY",'Full Register'!$O$6:$O$279,"&lt;3",'Full Register'!$O$6:$O$279,"&lt;&gt;")</f>
        <v>0</v>
      </c>
    </row>
    <row r="26" customFormat="false" ht="15" hidden="false" customHeight="false" outlineLevel="0" collapsed="false">
      <c r="A26" s="7" t="s">
        <v>632</v>
      </c>
      <c r="B26" s="25" t="n">
        <f aca="false">COUNTIF('Full Register'!$G$6:$G$279,"MANDATORY")-COUNTIFS('Full Register'!$G$6:$G$279,"MANDATORY",'Full Register'!$K$6:$K$279,"&lt;&gt;")</f>
        <v>44</v>
      </c>
    </row>
    <row r="27" customFormat="false" ht="15" hidden="false" customHeight="false" outlineLevel="0" collapsed="false">
      <c r="A27" s="7" t="s">
        <v>633</v>
      </c>
      <c r="B27" s="25" t="n">
        <f aca="false">COUNTIFS('Full Register'!$G$6:$G$279,"MANDATORY",'Full Register'!$L$6:$L$279,"Gap - recommend tailoring")</f>
        <v>0</v>
      </c>
    </row>
    <row r="28" customFormat="false" ht="15" hidden="false" customHeight="false" outlineLevel="0" collapsed="false">
      <c r="A28" s="7" t="s">
        <v>634</v>
      </c>
      <c r="B28" s="25" t="n">
        <f aca="false">COUNTIFS('Full Register'!$T$6:$T$279,"&lt;&gt;OK",'Full Register'!$T$6:$T$279,"&lt;&gt;Not graded")-COUNTIF('Full Register'!$T$6:$T$279,"No evidence pull assigned")</f>
        <v>0</v>
      </c>
    </row>
    <row r="30" customFormat="false" ht="15" hidden="false" customHeight="false" outlineLevel="0" collapsed="false">
      <c r="A30" s="4" t="s">
        <v>635</v>
      </c>
    </row>
    <row r="31" customFormat="false" ht="18" hidden="false" customHeight="true" outlineLevel="0" collapsed="false">
      <c r="A31" s="6" t="s">
        <v>615</v>
      </c>
      <c r="B31" s="6" t="s">
        <v>616</v>
      </c>
    </row>
    <row r="32" customFormat="false" ht="15" hidden="false" customHeight="false" outlineLevel="0" collapsed="false">
      <c r="A32" s="7" t="s">
        <v>73</v>
      </c>
      <c r="B32" s="25" t="n">
        <f aca="false">COUNTIF('Full Register'!$K$6:$K$279,"Effective")</f>
        <v>0</v>
      </c>
    </row>
    <row r="33" customFormat="false" ht="15" hidden="false" customHeight="false" outlineLevel="0" collapsed="false">
      <c r="A33" s="7" t="s">
        <v>70</v>
      </c>
      <c r="B33" s="25" t="n">
        <f aca="false">COUNTIF('Full Register'!$K$6:$K$279,"Operating")</f>
        <v>0</v>
      </c>
    </row>
    <row r="34" customFormat="false" ht="15" hidden="false" customHeight="false" outlineLevel="0" collapsed="false">
      <c r="A34" s="7" t="s">
        <v>67</v>
      </c>
      <c r="B34" s="25" t="n">
        <f aca="false">COUNTIF('Full Register'!$K$6:$K$279,"Deployed")</f>
        <v>0</v>
      </c>
    </row>
    <row r="35" customFormat="false" ht="15" hidden="false" customHeight="false" outlineLevel="0" collapsed="false">
      <c r="A35" s="7" t="s">
        <v>64</v>
      </c>
      <c r="B35" s="25" t="n">
        <f aca="false">COUNTIF('Full Register'!$K$6:$K$279,"Documented")</f>
        <v>0</v>
      </c>
    </row>
    <row r="36" customFormat="false" ht="15" hidden="false" customHeight="false" outlineLevel="0" collapsed="false">
      <c r="A36" s="7" t="s">
        <v>61</v>
      </c>
      <c r="B36" s="25" t="n">
        <f aca="false">COUNTIF('Full Register'!$K$6:$K$279,"Not demonstrated")</f>
        <v>0</v>
      </c>
    </row>
    <row r="37" customFormat="false" ht="15" hidden="false" customHeight="false" outlineLevel="0" collapsed="false">
      <c r="A37" s="7" t="s">
        <v>636</v>
      </c>
      <c r="B37" s="25" t="n">
        <f aca="false">COUNTBLANK('Full Register'!$K$6:$K$279)</f>
        <v>274</v>
      </c>
    </row>
    <row r="39" customFormat="false" ht="15" hidden="false" customHeight="false" outlineLevel="0" collapsed="false">
      <c r="A39" s="4" t="s">
        <v>96</v>
      </c>
    </row>
    <row r="40" customFormat="false" ht="18" hidden="false" customHeight="true" outlineLevel="0" collapsed="false">
      <c r="A40" s="6" t="s">
        <v>615</v>
      </c>
      <c r="B40" s="6" t="s">
        <v>616</v>
      </c>
    </row>
    <row r="41" customFormat="false" ht="15" hidden="false" customHeight="false" outlineLevel="0" collapsed="false">
      <c r="A41" s="7" t="s">
        <v>586</v>
      </c>
      <c r="B41" s="25" t="n">
        <f aca="false">COUNTIF('Full Register'!$S$6:$S$279,"Demonstrated")</f>
        <v>0</v>
      </c>
    </row>
    <row r="42" customFormat="false" ht="15" hidden="false" customHeight="false" outlineLevel="0" collapsed="false">
      <c r="A42" s="7" t="s">
        <v>637</v>
      </c>
      <c r="B42" s="25" t="n">
        <f aca="false">COUNTIF('Full Register'!$S$6:$S$279,"Gap - remediate")</f>
        <v>0</v>
      </c>
    </row>
    <row r="43" customFormat="false" ht="15" hidden="false" customHeight="false" outlineLevel="0" collapsed="false">
      <c r="A43" s="7" t="s">
        <v>583</v>
      </c>
      <c r="B43" s="25" t="n">
        <f aca="false">COUNTIF('Full Register'!$S$6:$S$279,"Gap - risk accept")</f>
        <v>0</v>
      </c>
    </row>
    <row r="44" customFormat="false" ht="15" hidden="false" customHeight="false" outlineLevel="0" collapsed="false">
      <c r="A44" s="7" t="s">
        <v>585</v>
      </c>
      <c r="B44" s="25" t="n">
        <f aca="false">COUNTIF('Full Register'!$S$6:$S$279,"Gap - recommend tailoring")</f>
        <v>0</v>
      </c>
    </row>
    <row r="46" customFormat="false" ht="15" hidden="false" customHeight="false" outlineLevel="0" collapsed="false">
      <c r="A46" s="4" t="s">
        <v>638</v>
      </c>
    </row>
    <row r="47" customFormat="false" ht="24" hidden="false" customHeight="true" outlineLevel="0" collapsed="false">
      <c r="A47" s="9" t="s">
        <v>26</v>
      </c>
      <c r="B47" s="9" t="s">
        <v>639</v>
      </c>
      <c r="C47" s="9" t="s">
        <v>640</v>
      </c>
      <c r="D47" s="9" t="s">
        <v>641</v>
      </c>
    </row>
    <row r="48" customFormat="false" ht="15" hidden="false" customHeight="false" outlineLevel="0" collapsed="false">
      <c r="A48" s="7" t="s">
        <v>584</v>
      </c>
      <c r="B48" s="25" t="n">
        <f aca="false">COUNTIF('Full Register'!$Q$6:$Q$279,A48)</f>
        <v>0</v>
      </c>
      <c r="C48" s="25" t="n">
        <f aca="false">COUNTIFS('Full Register'!$Q$6:$Q$279,A48,'Full Register'!$G$6:$G$279,"MANDATORY")</f>
        <v>0</v>
      </c>
      <c r="D48" s="26" t="n">
        <f aca="false">IFERROR(B48/COUNTA('Full Register'!$A$6:$A$279),0)</f>
        <v>0</v>
      </c>
    </row>
    <row r="49" customFormat="false" ht="15" hidden="false" customHeight="false" outlineLevel="0" collapsed="false">
      <c r="A49" s="7" t="s">
        <v>155</v>
      </c>
      <c r="B49" s="25" t="n">
        <f aca="false">COUNTIF('Full Register'!$Q$6:$Q$279,A49)</f>
        <v>0</v>
      </c>
      <c r="C49" s="25" t="n">
        <f aca="false">COUNTIFS('Full Register'!$Q$6:$Q$279,A49,'Full Register'!$G$6:$G$279,"MANDATORY")</f>
        <v>0</v>
      </c>
      <c r="D49" s="26" t="n">
        <f aca="false">IFERROR(B49/COUNTA('Full Register'!$A$6:$A$279),0)</f>
        <v>0</v>
      </c>
    </row>
    <row r="50" customFormat="false" ht="15" hidden="false" customHeight="false" outlineLevel="0" collapsed="false">
      <c r="A50" s="7" t="s">
        <v>576</v>
      </c>
      <c r="B50" s="25" t="n">
        <f aca="false">COUNTIF('Full Register'!$Q$6:$Q$279,A50)</f>
        <v>0</v>
      </c>
      <c r="C50" s="25" t="n">
        <f aca="false">COUNTIFS('Full Register'!$Q$6:$Q$279,A50,'Full Register'!$G$6:$G$279,"MANDATORY")</f>
        <v>0</v>
      </c>
      <c r="D50" s="26" t="n">
        <f aca="false">IFERROR(B50/COUNTA('Full Register'!$A$6:$A$279),0)</f>
        <v>0</v>
      </c>
    </row>
    <row r="51" customFormat="false" ht="15" hidden="false" customHeight="false" outlineLevel="0" collapsed="false">
      <c r="A51" s="7" t="s">
        <v>587</v>
      </c>
      <c r="B51" s="25" t="n">
        <f aca="false">COUNTIF('Full Register'!$Q$6:$Q$279,A51)</f>
        <v>0</v>
      </c>
      <c r="C51" s="25" t="n">
        <f aca="false">COUNTIFS('Full Register'!$Q$6:$Q$279,A51,'Full Register'!$G$6:$G$279,"MANDATORY")</f>
        <v>0</v>
      </c>
      <c r="D51" s="26" t="n">
        <f aca="false">IFERROR(B51/COUNTA('Full Register'!$A$6:$A$279),0)</f>
        <v>0</v>
      </c>
    </row>
    <row r="52" customFormat="false" ht="15" hidden="false" customHeight="false" outlineLevel="0" collapsed="false">
      <c r="A52" s="7" t="s">
        <v>589</v>
      </c>
      <c r="B52" s="25" t="n">
        <f aca="false">COUNTIF('Full Register'!$Q$6:$Q$279,A52)</f>
        <v>0</v>
      </c>
      <c r="C52" s="25" t="n">
        <f aca="false">COUNTIFS('Full Register'!$Q$6:$Q$279,A52,'Full Register'!$G$6:$G$279,"MANDATORY")</f>
        <v>0</v>
      </c>
      <c r="D52" s="26" t="n">
        <f aca="false">IFERROR(B52/COUNTA('Full Register'!$A$6:$A$279),0)</f>
        <v>0</v>
      </c>
    </row>
    <row r="53" customFormat="false" ht="15" hidden="false" customHeight="false" outlineLevel="0" collapsed="false">
      <c r="A53" s="7" t="s">
        <v>590</v>
      </c>
      <c r="B53" s="25" t="n">
        <f aca="false">COUNTIF('Full Register'!$Q$6:$Q$279,A53)</f>
        <v>0</v>
      </c>
      <c r="C53" s="25" t="n">
        <f aca="false">COUNTIFS('Full Register'!$Q$6:$Q$279,A53,'Full Register'!$G$6:$G$279,"MANDATORY")</f>
        <v>0</v>
      </c>
      <c r="D53" s="26" t="n">
        <f aca="false">IFERROR(B53/COUNTA('Full Register'!$A$6:$A$279),0)</f>
        <v>0</v>
      </c>
    </row>
    <row r="54" customFormat="false" ht="15" hidden="false" customHeight="false" outlineLevel="0" collapsed="false">
      <c r="A54" s="7" t="s">
        <v>591</v>
      </c>
      <c r="B54" s="25" t="n">
        <f aca="false">COUNTIF('Full Register'!$Q$6:$Q$279,A54)</f>
        <v>0</v>
      </c>
      <c r="C54" s="25" t="n">
        <f aca="false">COUNTIFS('Full Register'!$Q$6:$Q$279,A54,'Full Register'!$G$6:$G$279,"MANDATORY")</f>
        <v>0</v>
      </c>
      <c r="D54" s="26" t="n">
        <f aca="false">IFERROR(B54/COUNTA('Full Register'!$A$6:$A$279),0)</f>
        <v>0</v>
      </c>
    </row>
    <row r="55" customFormat="false" ht="15" hidden="false" customHeight="false" outlineLevel="0" collapsed="false">
      <c r="A55" s="7" t="s">
        <v>592</v>
      </c>
      <c r="B55" s="25" t="n">
        <f aca="false">COUNTIF('Full Register'!$Q$6:$Q$279,A55)</f>
        <v>0</v>
      </c>
      <c r="C55" s="25" t="n">
        <f aca="false">COUNTIFS('Full Register'!$Q$6:$Q$279,A55,'Full Register'!$G$6:$G$279,"MANDATORY")</f>
        <v>0</v>
      </c>
      <c r="D55" s="26" t="n">
        <f aca="false">IFERROR(B55/COUNTA('Full Register'!$A$6:$A$279),0)</f>
        <v>0</v>
      </c>
    </row>
    <row r="56" customFormat="false" ht="15" hidden="false" customHeight="false" outlineLevel="0" collapsed="false">
      <c r="A56" s="7" t="s">
        <v>593</v>
      </c>
      <c r="B56" s="25" t="n">
        <f aca="false">COUNTIF('Full Register'!$Q$6:$Q$279,A56)</f>
        <v>0</v>
      </c>
      <c r="C56" s="25" t="n">
        <f aca="false">COUNTIFS('Full Register'!$Q$6:$Q$279,A56,'Full Register'!$G$6:$G$279,"MANDATORY")</f>
        <v>0</v>
      </c>
      <c r="D56" s="26" t="n">
        <f aca="false">IFERROR(B56/COUNTA('Full Register'!$A$6:$A$279),0)</f>
        <v>0</v>
      </c>
    </row>
    <row r="57" customFormat="false" ht="15" hidden="false" customHeight="false" outlineLevel="0" collapsed="false">
      <c r="A57" s="7" t="s">
        <v>594</v>
      </c>
      <c r="B57" s="25" t="n">
        <f aca="false">COUNTIF('Full Register'!$Q$6:$Q$279,A57)</f>
        <v>0</v>
      </c>
      <c r="C57" s="25" t="n">
        <f aca="false">COUNTIFS('Full Register'!$Q$6:$Q$279,A57,'Full Register'!$G$6:$G$279,"MANDATORY")</f>
        <v>0</v>
      </c>
      <c r="D57" s="26" t="n">
        <f aca="false">IFERROR(B57/COUNTA('Full Register'!$A$6:$A$279),0)</f>
        <v>0</v>
      </c>
    </row>
    <row r="58" customFormat="false" ht="15" hidden="false" customHeight="false" outlineLevel="0" collapsed="false">
      <c r="A58" s="7" t="s">
        <v>595</v>
      </c>
      <c r="B58" s="25" t="n">
        <f aca="false">COUNTIF('Full Register'!$Q$6:$Q$279,A58)</f>
        <v>0</v>
      </c>
      <c r="C58" s="25" t="n">
        <f aca="false">COUNTIFS('Full Register'!$Q$6:$Q$279,A58,'Full Register'!$G$6:$G$279,"MANDATORY")</f>
        <v>0</v>
      </c>
      <c r="D58" s="26" t="n">
        <f aca="false">IFERROR(B58/COUNTA('Full Register'!$A$6:$A$279),0)</f>
        <v>0</v>
      </c>
    </row>
    <row r="59" customFormat="false" ht="15" hidden="false" customHeight="false" outlineLevel="0" collapsed="false">
      <c r="A59" s="7" t="s">
        <v>596</v>
      </c>
      <c r="B59" s="25" t="n">
        <f aca="false">COUNTIF('Full Register'!$Q$6:$Q$279,A59)</f>
        <v>0</v>
      </c>
      <c r="C59" s="25" t="n">
        <f aca="false">COUNTIFS('Full Register'!$Q$6:$Q$279,A59,'Full Register'!$G$6:$G$279,"MANDATORY")</f>
        <v>0</v>
      </c>
      <c r="D59" s="26" t="n">
        <f aca="false">IFERROR(B59/COUNTA('Full Register'!$A$6:$A$279),0)</f>
        <v>0</v>
      </c>
    </row>
    <row r="60" customFormat="false" ht="15" hidden="false" customHeight="false" outlineLevel="0" collapsed="false">
      <c r="A60" s="7" t="s">
        <v>597</v>
      </c>
      <c r="B60" s="25" t="n">
        <f aca="false">COUNTIF('Full Register'!$Q$6:$Q$279,A60)</f>
        <v>0</v>
      </c>
      <c r="C60" s="25" t="n">
        <f aca="false">COUNTIFS('Full Register'!$Q$6:$Q$279,A60,'Full Register'!$G$6:$G$279,"MANDATORY")</f>
        <v>0</v>
      </c>
      <c r="D60" s="26" t="n">
        <f aca="false">IFERROR(B60/COUNTA('Full Register'!$A$6:$A$279),0)</f>
        <v>0</v>
      </c>
    </row>
    <row r="62" customFormat="false" ht="15" hidden="false" customHeight="false" outlineLevel="0" collapsed="false">
      <c r="A62" s="4" t="s">
        <v>642</v>
      </c>
    </row>
    <row r="63" customFormat="false" ht="24" hidden="false" customHeight="true" outlineLevel="0" collapsed="false">
      <c r="A63" s="6" t="s">
        <v>92</v>
      </c>
      <c r="B63" s="6" t="s">
        <v>643</v>
      </c>
      <c r="C63" s="6" t="s">
        <v>644</v>
      </c>
      <c r="D63" s="6" t="s">
        <v>645</v>
      </c>
      <c r="E63" s="6" t="s">
        <v>646</v>
      </c>
      <c r="F63" s="6" t="s">
        <v>647</v>
      </c>
    </row>
    <row r="64" customFormat="false" ht="15" hidden="false" customHeight="false" outlineLevel="0" collapsed="false">
      <c r="A64" s="7" t="s">
        <v>104</v>
      </c>
      <c r="B64" s="25" t="n">
        <f aca="false">COUNTIF('Full Register'!$I$6:$I$279,A64)</f>
        <v>21</v>
      </c>
      <c r="C64" s="25" t="n">
        <f aca="false">COUNTIFS('Full Register'!$I$6:$I$279,A64,'Full Register'!$G$6:$G$279,"MANDATORY")</f>
        <v>2</v>
      </c>
      <c r="D64" s="25" t="n">
        <f aca="false">COUNTIFS('Full Register'!$I$6:$I$279,A64,'Full Register'!$K$6:$K$279,"&lt;&gt;")</f>
        <v>0</v>
      </c>
      <c r="E64" s="25" t="n">
        <f aca="false">COUNTIFS('Full Register'!$I$6:$I$279,A64,'Full Register'!$O$6:$O$279,"&gt;=3")</f>
        <v>0</v>
      </c>
      <c r="F64" s="25" t="n">
        <f aca="false">COUNTIF('Full Register'!$I$6:$I$279,A64)-COUNTIFS('Full Register'!$I$6:$I$279,A64,'Full Register'!$P$6:$P$279,"&gt;0")</f>
        <v>21</v>
      </c>
    </row>
    <row r="65" customFormat="false" ht="15" hidden="false" customHeight="false" outlineLevel="0" collapsed="false">
      <c r="A65" s="7" t="s">
        <v>156</v>
      </c>
      <c r="B65" s="25" t="n">
        <f aca="false">COUNTIF('Full Register'!$I$6:$I$279,A65)</f>
        <v>70</v>
      </c>
      <c r="C65" s="25" t="n">
        <f aca="false">COUNTIFS('Full Register'!$I$6:$I$279,A65,'Full Register'!$G$6:$G$279,"MANDATORY")</f>
        <v>6</v>
      </c>
      <c r="D65" s="25" t="n">
        <f aca="false">COUNTIFS('Full Register'!$I$6:$I$279,A65,'Full Register'!$K$6:$K$279,"&lt;&gt;")</f>
        <v>0</v>
      </c>
      <c r="E65" s="25" t="n">
        <f aca="false">COUNTIFS('Full Register'!$I$6:$I$279,A65,'Full Register'!$O$6:$O$279,"&gt;=3")</f>
        <v>0</v>
      </c>
      <c r="F65" s="25" t="n">
        <f aca="false">COUNTIF('Full Register'!$I$6:$I$279,A65)-COUNTIFS('Full Register'!$I$6:$I$279,A65,'Full Register'!$P$6:$P$279,"&gt;0")</f>
        <v>70</v>
      </c>
    </row>
    <row r="66" customFormat="false" ht="15" hidden="false" customHeight="false" outlineLevel="0" collapsed="false">
      <c r="A66" s="7" t="s">
        <v>270</v>
      </c>
      <c r="B66" s="25" t="n">
        <f aca="false">COUNTIF('Full Register'!$I$6:$I$279,A66)</f>
        <v>110</v>
      </c>
      <c r="C66" s="25" t="n">
        <f aca="false">COUNTIFS('Full Register'!$I$6:$I$279,A66,'Full Register'!$G$6:$G$279,"MANDATORY")</f>
        <v>21</v>
      </c>
      <c r="D66" s="25" t="n">
        <f aca="false">COUNTIFS('Full Register'!$I$6:$I$279,A66,'Full Register'!$K$6:$K$279,"&lt;&gt;")</f>
        <v>0</v>
      </c>
      <c r="E66" s="25" t="n">
        <f aca="false">COUNTIFS('Full Register'!$I$6:$I$279,A66,'Full Register'!$O$6:$O$279,"&gt;=3")</f>
        <v>0</v>
      </c>
      <c r="F66" s="25" t="n">
        <f aca="false">COUNTIF('Full Register'!$I$6:$I$279,A66)-COUNTIFS('Full Register'!$I$6:$I$279,A66,'Full Register'!$P$6:$P$279,"&gt;0")</f>
        <v>110</v>
      </c>
    </row>
    <row r="67" customFormat="false" ht="15" hidden="false" customHeight="false" outlineLevel="0" collapsed="false">
      <c r="A67" s="7" t="s">
        <v>460</v>
      </c>
      <c r="B67" s="25" t="n">
        <f aca="false">COUNTIF('Full Register'!$I$6:$I$279,A67)</f>
        <v>73</v>
      </c>
      <c r="C67" s="25" t="n">
        <f aca="false">COUNTIFS('Full Register'!$I$6:$I$279,A67,'Full Register'!$G$6:$G$279,"MANDATORY")</f>
        <v>15</v>
      </c>
      <c r="D67" s="25" t="n">
        <f aca="false">COUNTIFS('Full Register'!$I$6:$I$279,A67,'Full Register'!$K$6:$K$279,"&lt;&gt;")</f>
        <v>0</v>
      </c>
      <c r="E67" s="25" t="n">
        <f aca="false">COUNTIFS('Full Register'!$I$6:$I$279,A67,'Full Register'!$O$6:$O$279,"&gt;=3")</f>
        <v>0</v>
      </c>
      <c r="F67" s="25" t="n">
        <f aca="false">COUNTIF('Full Register'!$I$6:$I$279,A67)-COUNTIFS('Full Register'!$I$6:$I$279,A67,'Full Register'!$P$6:$P$279,"&gt;0")</f>
        <v>73</v>
      </c>
    </row>
    <row r="69" customFormat="false" ht="15" hidden="false" customHeight="false" outlineLevel="0" collapsed="false">
      <c r="A69" s="4" t="s">
        <v>648</v>
      </c>
    </row>
    <row r="70" customFormat="false" ht="15" hidden="false" customHeight="true" outlineLevel="0" collapsed="false">
      <c r="A70" s="27" t="s">
        <v>649</v>
      </c>
      <c r="B70" s="27"/>
      <c r="C70" s="27"/>
      <c r="D70" s="27"/>
      <c r="E70" s="27"/>
      <c r="F70" s="27"/>
    </row>
    <row r="71" customFormat="false" ht="15" hidden="false" customHeight="false" outlineLevel="0" collapsed="false">
      <c r="A71" s="27"/>
      <c r="B71" s="27"/>
      <c r="C71" s="27"/>
      <c r="D71" s="27"/>
      <c r="E71" s="27"/>
      <c r="F71" s="27"/>
    </row>
    <row r="72" customFormat="false" ht="15" hidden="false" customHeight="false" outlineLevel="0" collapsed="false">
      <c r="A72" s="27"/>
      <c r="B72" s="27"/>
      <c r="C72" s="27"/>
      <c r="D72" s="27"/>
      <c r="E72" s="27"/>
      <c r="F72" s="27"/>
    </row>
  </sheetData>
  <mergeCells count="1">
    <mergeCell ref="A70:F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16"/>
    <col collapsed="false" customWidth="true" hidden="false" outlineLevel="0" max="4" min="4" style="1" width="20"/>
    <col collapsed="false" customWidth="true" hidden="false" outlineLevel="0" max="5" min="5" style="1" width="58"/>
    <col collapsed="false" customWidth="true" hidden="false" outlineLevel="0" max="6" min="6" style="1" width="3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0" min="10" style="1" width="13"/>
    <col collapsed="false" customWidth="true" hidden="false" outlineLevel="0" max="11" min="11" style="1" width="11"/>
    <col collapsed="false" customWidth="true" hidden="false" outlineLevel="0" max="12" min="12" style="1" width="26"/>
  </cols>
  <sheetData>
    <row r="1" customFormat="false" ht="17.35" hidden="false" customHeight="false" outlineLevel="0" collapsed="false">
      <c r="A1" s="2" t="s">
        <v>650</v>
      </c>
    </row>
    <row r="2" customFormat="false" ht="15" hidden="false" customHeight="false" outlineLevel="0" collapsed="false">
      <c r="A2" s="3" t="s">
        <v>651</v>
      </c>
    </row>
    <row r="4" customFormat="false" ht="39.75" hidden="false" customHeight="true" outlineLevel="0" collapsed="false">
      <c r="A4" s="12" t="s">
        <v>652</v>
      </c>
      <c r="B4" s="12" t="s">
        <v>653</v>
      </c>
      <c r="C4" s="12" t="s">
        <v>86</v>
      </c>
      <c r="D4" s="12" t="s">
        <v>654</v>
      </c>
      <c r="E4" s="12" t="s">
        <v>655</v>
      </c>
      <c r="F4" s="12" t="s">
        <v>656</v>
      </c>
      <c r="G4" s="12" t="s">
        <v>657</v>
      </c>
      <c r="H4" s="12" t="s">
        <v>658</v>
      </c>
      <c r="I4" s="12" t="s">
        <v>659</v>
      </c>
      <c r="J4" s="12" t="s">
        <v>660</v>
      </c>
      <c r="K4" s="12" t="s">
        <v>661</v>
      </c>
      <c r="L4" s="12" t="s">
        <v>662</v>
      </c>
    </row>
    <row r="5" customFormat="false" ht="22.35" hidden="false" customHeight="false" outlineLevel="0" collapsed="false">
      <c r="A5" s="28" t="s">
        <v>663</v>
      </c>
      <c r="B5" s="28" t="s">
        <v>664</v>
      </c>
      <c r="C5" s="28" t="s">
        <v>665</v>
      </c>
      <c r="D5" s="28" t="s">
        <v>666</v>
      </c>
      <c r="E5" s="28" t="s">
        <v>667</v>
      </c>
      <c r="F5" s="28" t="s">
        <v>668</v>
      </c>
      <c r="G5" s="28" t="s">
        <v>669</v>
      </c>
      <c r="H5" s="28" t="s">
        <v>670</v>
      </c>
      <c r="I5" s="28" t="s">
        <v>671</v>
      </c>
      <c r="J5" s="28" t="s">
        <v>672</v>
      </c>
      <c r="K5" s="28" t="s">
        <v>673</v>
      </c>
      <c r="L5" s="28"/>
    </row>
    <row r="7" customFormat="false" ht="15" hidden="false" customHeight="false" outlineLevel="0" collapsed="false">
      <c r="A7" s="3" t="s">
        <v>674</v>
      </c>
    </row>
  </sheetData>
  <dataValidations count="1">
    <dataValidation allowBlank="true" errorStyle="stop" operator="between" showDropDown="false" showErrorMessage="false" showInputMessage="false" sqref="D5:D400" type="list">
      <formula1>"Execution capacity,Process gap,Tool gap,Training gap,Evidence gap,Effectiveness gap"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6"/>
    <col collapsed="false" customWidth="true" hidden="false" outlineLevel="0" max="3" min="3" style="1" width="26"/>
    <col collapsed="false" customWidth="true" hidden="false" outlineLevel="0" max="4" min="4" style="1" width="18"/>
    <col collapsed="false" customWidth="true" hidden="false" outlineLevel="0" max="5" min="5" style="1" width="14"/>
  </cols>
  <sheetData>
    <row r="1" customFormat="false" ht="17.35" hidden="false" customHeight="false" outlineLevel="0" collapsed="false">
      <c r="A1" s="2" t="s">
        <v>675</v>
      </c>
    </row>
    <row r="2" customFormat="false" ht="15" hidden="false" customHeight="false" outlineLevel="0" collapsed="false">
      <c r="A2" s="3" t="s">
        <v>676</v>
      </c>
    </row>
    <row r="4" customFormat="false" ht="39.75" hidden="false" customHeight="true" outlineLevel="0" collapsed="false">
      <c r="A4" s="12" t="s">
        <v>677</v>
      </c>
      <c r="B4" s="12" t="s">
        <v>678</v>
      </c>
      <c r="C4" s="12" t="s">
        <v>679</v>
      </c>
      <c r="D4" s="12" t="s">
        <v>659</v>
      </c>
      <c r="E4" s="12" t="s">
        <v>680</v>
      </c>
    </row>
    <row r="5" customFormat="false" ht="45.75" hidden="false" customHeight="true" outlineLevel="0" collapsed="false">
      <c r="A5" s="7" t="s">
        <v>681</v>
      </c>
      <c r="B5" s="7" t="s">
        <v>682</v>
      </c>
      <c r="C5" s="7" t="s">
        <v>683</v>
      </c>
      <c r="D5" s="15"/>
      <c r="E5" s="15"/>
    </row>
    <row r="6" customFormat="false" ht="45.75" hidden="false" customHeight="true" outlineLevel="0" collapsed="false">
      <c r="A6" s="7" t="s">
        <v>684</v>
      </c>
      <c r="B6" s="7" t="s">
        <v>685</v>
      </c>
      <c r="C6" s="7" t="s">
        <v>686</v>
      </c>
      <c r="D6" s="15"/>
      <c r="E6" s="15"/>
    </row>
    <row r="7" customFormat="false" ht="45.75" hidden="false" customHeight="true" outlineLevel="0" collapsed="false">
      <c r="A7" s="7" t="s">
        <v>687</v>
      </c>
      <c r="B7" s="7" t="s">
        <v>688</v>
      </c>
      <c r="C7" s="7" t="s">
        <v>689</v>
      </c>
      <c r="D7" s="15"/>
      <c r="E7" s="15"/>
    </row>
    <row r="8" customFormat="false" ht="45.75" hidden="false" customHeight="true" outlineLevel="0" collapsed="false">
      <c r="A8" s="7" t="s">
        <v>690</v>
      </c>
      <c r="B8" s="7" t="s">
        <v>691</v>
      </c>
      <c r="C8" s="7" t="s">
        <v>692</v>
      </c>
      <c r="D8" s="15"/>
      <c r="E8" s="15"/>
    </row>
    <row r="9" customFormat="false" ht="45.75" hidden="false" customHeight="true" outlineLevel="0" collapsed="false">
      <c r="A9" s="7" t="s">
        <v>693</v>
      </c>
      <c r="B9" s="7" t="s">
        <v>694</v>
      </c>
      <c r="C9" s="7" t="s">
        <v>695</v>
      </c>
      <c r="D9" s="15"/>
      <c r="E9" s="15"/>
    </row>
    <row r="10" customFormat="false" ht="45.75" hidden="false" customHeight="true" outlineLevel="0" collapsed="false">
      <c r="A10" s="7" t="s">
        <v>696</v>
      </c>
      <c r="B10" s="7" t="s">
        <v>697</v>
      </c>
      <c r="C10" s="7" t="s">
        <v>698</v>
      </c>
      <c r="D10" s="15"/>
      <c r="E10" s="15"/>
    </row>
    <row r="11" customFormat="false" ht="45.75" hidden="false" customHeight="true" outlineLevel="0" collapsed="false">
      <c r="A11" s="7" t="s">
        <v>699</v>
      </c>
      <c r="B11" s="7" t="s">
        <v>700</v>
      </c>
      <c r="C11" s="7" t="s">
        <v>701</v>
      </c>
      <c r="D11" s="15"/>
      <c r="E11" s="15"/>
    </row>
    <row r="12" customFormat="false" ht="45.75" hidden="false" customHeight="true" outlineLevel="0" collapsed="false">
      <c r="A12" s="7" t="s">
        <v>702</v>
      </c>
      <c r="B12" s="7" t="s">
        <v>703</v>
      </c>
      <c r="C12" s="7" t="s">
        <v>704</v>
      </c>
      <c r="D12" s="15"/>
      <c r="E12" s="15"/>
    </row>
    <row r="13" customFormat="false" ht="45.75" hidden="false" customHeight="true" outlineLevel="0" collapsed="false">
      <c r="A13" s="7" t="s">
        <v>705</v>
      </c>
      <c r="B13" s="7" t="s">
        <v>706</v>
      </c>
      <c r="C13" s="7" t="s">
        <v>704</v>
      </c>
      <c r="D13" s="15"/>
      <c r="E13" s="15"/>
    </row>
    <row r="14" customFormat="false" ht="15" hidden="false" customHeight="false" outlineLevel="0" collapsed="false">
      <c r="A14" s="4" t="s">
        <v>707</v>
      </c>
    </row>
    <row r="15" customFormat="false" ht="15" hidden="false" customHeight="false" outlineLevel="0" collapsed="false">
      <c r="A15" s="22" t="s">
        <v>708</v>
      </c>
      <c r="B15" s="22" t="s">
        <v>709</v>
      </c>
    </row>
    <row r="16" customFormat="false" ht="15" hidden="false" customHeight="false" outlineLevel="0" collapsed="false">
      <c r="A16" s="22" t="s">
        <v>710</v>
      </c>
      <c r="B16" s="22" t="s">
        <v>711</v>
      </c>
    </row>
    <row r="17" customFormat="false" ht="15" hidden="false" customHeight="false" outlineLevel="0" collapsed="false">
      <c r="A17" s="22" t="s">
        <v>712</v>
      </c>
      <c r="B17" s="22" t="s">
        <v>713</v>
      </c>
    </row>
    <row r="18" customFormat="false" ht="15" hidden="false" customHeight="false" outlineLevel="0" collapsed="false">
      <c r="A18" s="22" t="s">
        <v>714</v>
      </c>
      <c r="B18" s="22" t="s">
        <v>715</v>
      </c>
    </row>
    <row r="19" customFormat="false" ht="15" hidden="false" customHeight="false" outlineLevel="0" collapsed="false">
      <c r="A19" s="22" t="s">
        <v>716</v>
      </c>
      <c r="B19" s="22" t="s">
        <v>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2026-08-18T15:50:33Z</dcterms:created>
  <dc:creator>openpyxl</dc:creator>
  <dc:description/>
  <dc:language>en-US</dc:language>
  <cp:lastModifiedBy/>
  <dcterms:modified xsi:type="dcterms:W3CDTF">2026-08-18T15:50:34Z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