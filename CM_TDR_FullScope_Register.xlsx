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ull Register" sheetId="2" state="visible" r:id="rId4"/>
    <sheet name="Lists" sheetId="3" state="visible" r:id="rId5"/>
    <sheet name="CM Team Roster" sheetId="4" state="visible" r:id="rId6"/>
    <sheet name="Evidence Ladder" sheetId="5" state="visible" r:id="rId7"/>
    <sheet name="Dashboard" sheetId="6" state="visible" r:id="rId8"/>
    <sheet name="Findings Log" sheetId="7" state="visible" r:id="rId9"/>
    <sheet name="Scope Notes" sheetId="8" state="visible" r:id="rId10"/>
  </sheets>
  <definedNames>
    <definedName function="false" hidden="true" localSheetId="1" name="_xlnm._FilterDatabase" vbProcedure="false">'Full Register'!$A$5:$AS$279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<sst xmlns="http://schemas.openxmlformats.org/spreadsheetml/2006/main" count="3562" uniqueCount="873">
  <si>
    <t xml:space="preserve">Full-Scope TDR Workbook - EIA-649-1A</t>
  </si>
  <si>
    <t xml:space="preserve">What this is</t>
  </si>
  <si>
    <t xml:space="preserve">A single-pass register covering every numbered requirement in EIA-649-1A, for use if you decide against a phased approach. The program has no recorded tailoring, so the full standard applies and there is no residual exposure line on the dashboard. Incomplete rows are the exposure.</t>
  </si>
  <si>
    <t xml:space="preserve">274 requirement rows. 44 of them are High Severity Safety Barrier requirements.</t>
  </si>
  <si>
    <t xml:space="preserve">Nomenclature</t>
  </si>
  <si>
    <t xml:space="preserve">'CM floor' is replaced throughout by 'High Severity Safety Barrier' (HSSB). These are the 44 requirements traced to the sixteen barriers in SM-0001, carrying a pre-anchored severity of Catastrophic (39) or Severe (5). They are shaded amber in the register.</t>
  </si>
  <si>
    <t xml:space="preserve">HSSB requirements are not tailorable. They are obligated through the SMS pathway independent of contract flow-down, and the workbook flags any attempt to dispose of one through the tailoring door.</t>
  </si>
  <si>
    <t xml:space="preserve">Severity is pre-anchored and is not re-rated during assessment. It comes from the barrier, not from the assessor's judgement of the requirement.</t>
  </si>
  <si>
    <t xml:space="preserve">Requirement text is not included, on purpose</t>
  </si>
  <si>
    <t xml:space="preserve">EIA-649-1A is copyrighted SAE International material and the licensed copy carries an Accuris no-reproduction notice. Transcribing the requirement text into this workbook would be wholesale reproduction. Column F is left empty for that reason.</t>
  </si>
  <si>
    <t xml:space="preserve">The clause reference in columns C and E is the authoritative pointer. Assessors read the standard. If your licence permits internal transcription, populate column F yourself; check with whoever administers the licence first.</t>
  </si>
  <si>
    <t xml:space="preserve">This is also the safer design. A paraphrased shall statement can shift scope, and in a compliance register that means assessors assess the wrong thing.</t>
  </si>
  <si>
    <t xml:space="preserve">Two independent scores, deliberately not combined</t>
  </si>
  <si>
    <t xml:space="preserve">The HEALTH rung asks whether the activity happens: documented, deployed, operating, effective. It is graded from evidence.</t>
  </si>
  <si>
    <t xml:space="preserve">The STAFFING rung asks whether anyone is assigned to make it happen: unassigned, single point, staffed with a credential gap, staffed and credentialed. It is computed from Executor Count and Credential Minimum Met, not entered, so it cannot be graded generously.</t>
  </si>
  <si>
    <t xml:space="preserve">Columns N to Q carry the DESIGNED allocation from the enterprise role mapping. Columns Y to AB capture the ACTUAL allocation. The delta is the finding, and the concentration table on the Dashboard is where it becomes visible.</t>
  </si>
  <si>
    <t xml:space="preserve">This TDR is internal</t>
  </si>
  <si>
    <t xml:space="preserve">Evidence does not need to be acquirer-presentable, so query exports, screenshots, and informal record pulls are acceptable.</t>
  </si>
  <si>
    <t xml:space="preserve">Independent Reviewer means a different CM function or internal audit, not a customer representative.</t>
  </si>
  <si>
    <t xml:space="preserve">The tailoring door produces a recommendation to Programs and Contracts, not a closure, because an internal review cannot negotiate relief.</t>
  </si>
  <si>
    <t xml:space="preserve">One practical consequence worth raising with Contracts and counsel before the first readout: this review creates a dated internal record of known gaps against a standard the contract invokes untailored. That is normal and defensible when each finding carries an owner and a remediation date. Decide the handling convention up front rather than after the findings exist.</t>
  </si>
  <si>
    <t xml:space="preserve">Before assessment begins</t>
  </si>
  <si>
    <t xml:space="preserve">Confirm the untailored condition against the SOW invocation and CDRL Block 16.</t>
  </si>
  <si>
    <t xml:space="preserve">Work the Scope Notes sheet. Nine open enumeration questions sit there and several change the requirement count.</t>
  </si>
  <si>
    <t xml:space="preserve">Populate the CM Team Roster sheet. Executor names in the register must match roster names exactly for the load counts to work.</t>
  </si>
  <si>
    <t xml:space="preserve">Decide the sample size convention. At 274 rows the sampling burden, not the reading burden, sets the schedule.</t>
  </si>
  <si>
    <t xml:space="preserve">Realistic sizing</t>
  </si>
  <si>
    <t xml:space="preserve">274 rows across four groups is roughly 69 per group. At an average of two hours per row for evidence pull, sampling, and review, that is around 550 hours of assessor time before any finding is written. Single-pass is defensible but it is not faster than phasing; it is the same work with no intermediate readout and no chance to redirect after the first findings land.</t>
  </si>
  <si>
    <t xml:space="preserve">Full-Scope Technical Design Review Register - EIA-649-1A (all requirements)</t>
  </si>
  <si>
    <t xml:space="preserve">Program: [enter]    |    Contract / SOW ref: [enter]    |    TDR Rev / Date: [enter]    |    Tailoring status: [confirm against SOW and CDRL Block 16 before assessment begins]</t>
  </si>
  <si>
    <t xml:space="preserve">Column F is intentionally empty. EIA-649-1A is copyrighted SAE material under an Accuris no-reproduction licence, so requirement text is not transcribed here. The clause reference in columns C and E is the authoritative pointer; the assessor reads the standard. Populate column F from your own licensed copy only if your licence permits it.</t>
  </si>
  <si>
    <t xml:space="preserve">Gray columns A-T are sourced. Amber rows are High Severity Safety Barrier requirements, formerly the CM floor. Salmon columns Y-AB are the execution-capacity block. Blue columns are formulas.</t>
  </si>
  <si>
    <t xml:space="preserve">Item ID</t>
  </si>
  <si>
    <t xml:space="preserve">Section</t>
  </si>
  <si>
    <t xml:space="preserve">Clause</t>
  </si>
  <si>
    <t xml:space="preserve">Clause Title</t>
  </si>
  <si>
    <t xml:space="preserve">Sub-Ref</t>
  </si>
  <si>
    <t xml:space="preserve">Requirement text (paste from your licensed copy)</t>
  </si>
  <si>
    <t xml:space="preserve">High Severity Safety Barrier?</t>
  </si>
  <si>
    <t xml:space="preserve">HSSB ID</t>
  </si>
  <si>
    <t xml:space="preserve">HSSB Cluster</t>
  </si>
  <si>
    <t xml:space="preserve">Barrier(s)</t>
  </si>
  <si>
    <t xml:space="preserve">SM-0001 Hazard</t>
  </si>
  <si>
    <t xml:space="preserve">Pre-Anchored Severity</t>
  </si>
  <si>
    <t xml:space="preserve">HSSB Inclusion</t>
  </si>
  <si>
    <t xml:space="preserve">Designed Owner Tier</t>
  </si>
  <si>
    <t xml:space="preserve">Designed Owner Code</t>
  </si>
  <si>
    <t xml:space="preserve">Min Credential (designed)</t>
  </si>
  <si>
    <t xml:space="preserve">Support Code(s)</t>
  </si>
  <si>
    <t xml:space="preserve">Tailorable?</t>
  </si>
  <si>
    <t xml:space="preserve">Associated DID / Std</t>
  </si>
  <si>
    <t xml:space="preserve">TDR Group</t>
  </si>
  <si>
    <t xml:space="preserve">Process / Command Media Ref</t>
  </si>
  <si>
    <t xml:space="preserve">Tool / System</t>
  </si>
  <si>
    <t xml:space="preserve">Training / Competency Ref</t>
  </si>
  <si>
    <t xml:space="preserve">Accountable Owner (name)</t>
  </si>
  <si>
    <t xml:space="preserve">Named Executor(s) - who actually performs the work</t>
  </si>
  <si>
    <t xml:space="preserve">Executor Count</t>
  </si>
  <si>
    <t xml:space="preserve">Primary Executor Function</t>
  </si>
  <si>
    <t xml:space="preserve">Credential Minimum Met?</t>
  </si>
  <si>
    <t xml:space="preserve">Staffing Rung</t>
  </si>
  <si>
    <t xml:space="preserve">Staffing Score</t>
  </si>
  <si>
    <t xml:space="preserve">Health Rung</t>
  </si>
  <si>
    <t xml:space="preserve">Rung Score</t>
  </si>
  <si>
    <t xml:space="preserve">Evidence Type</t>
  </si>
  <si>
    <t xml:space="preserve">Evidence Reference</t>
  </si>
  <si>
    <t xml:space="preserve">Sample Population</t>
  </si>
  <si>
    <t xml:space="preserve">Sample Size</t>
  </si>
  <si>
    <t xml:space="preserve">Sample Period</t>
  </si>
  <si>
    <t xml:space="preserve">Records Conforming</t>
  </si>
  <si>
    <t xml:space="preserve">Conformance %</t>
  </si>
  <si>
    <t xml:space="preserve">Disposition</t>
  </si>
  <si>
    <t xml:space="preserve">Finding / RFA Ref</t>
  </si>
  <si>
    <t xml:space="preserve">Validation Flag</t>
  </si>
  <si>
    <t xml:space="preserve">Assessor (name / date)</t>
  </si>
  <si>
    <t xml:space="preserve">Independent Reviewer (name / date)</t>
  </si>
  <si>
    <t xml:space="preserve">Notes</t>
  </si>
  <si>
    <t xml:space="preserve">FS-001</t>
  </si>
  <si>
    <t xml:space="preserve">3. Configuration Management Requirements</t>
  </si>
  <si>
    <t xml:space="preserve">3.</t>
  </si>
  <si>
    <t xml:space="preserve">Configuration Management Requirements</t>
  </si>
  <si>
    <t xml:space="preserve">(1)</t>
  </si>
  <si>
    <t xml:space="preserve">No</t>
  </si>
  <si>
    <t xml:space="preserve">Not barrier-anchored</t>
  </si>
  <si>
    <t xml:space="preserve">N/A</t>
  </si>
  <si>
    <t xml:space="preserve">Yes</t>
  </si>
  <si>
    <t xml:space="preserve">1. Management and Planning</t>
  </si>
  <si>
    <t xml:space="preserve">FS-002</t>
  </si>
  <si>
    <t xml:space="preserve">(2)</t>
  </si>
  <si>
    <t xml:space="preserve">F40</t>
  </si>
  <si>
    <t xml:space="preserve">4. Supply Chain, Interfaces &amp; Verification</t>
  </si>
  <si>
    <t xml:space="preserve">B15</t>
  </si>
  <si>
    <t xml:space="preserve">SM-0001 §6.2.1 + §7 Supply-chain</t>
  </si>
  <si>
    <t xml:space="preserve">Catastrophic (1)</t>
  </si>
  <si>
    <t xml:space="preserve">Clean</t>
  </si>
  <si>
    <t xml:space="preserve">Tier 3</t>
  </si>
  <si>
    <t xml:space="preserve">2E</t>
  </si>
  <si>
    <t xml:space="preserve">B.S.E.</t>
  </si>
  <si>
    <t xml:space="preserve">2A</t>
  </si>
  <si>
    <t xml:space="preserve">FS-003</t>
  </si>
  <si>
    <t xml:space="preserve">(3)</t>
  </si>
  <si>
    <t xml:space="preserve">FS-004</t>
  </si>
  <si>
    <t xml:space="preserve">(4)</t>
  </si>
  <si>
    <t xml:space="preserve">F41</t>
  </si>
  <si>
    <t xml:space="preserve">SM-0001 §7 Interfaces</t>
  </si>
  <si>
    <t xml:space="preserve">Judgment</t>
  </si>
  <si>
    <t xml:space="preserve">Tier 4</t>
  </si>
  <si>
    <t xml:space="preserve">Advanced / SME</t>
  </si>
  <si>
    <t xml:space="preserve">FS-005</t>
  </si>
  <si>
    <t xml:space="preserve">3.1 Planning and Management</t>
  </si>
  <si>
    <t xml:space="preserve">3.1</t>
  </si>
  <si>
    <t xml:space="preserve">Planning and Management</t>
  </si>
  <si>
    <t xml:space="preserve">(1)(a)</t>
  </si>
  <si>
    <t xml:space="preserve">DI-SESS-80858; DI-MISC-80508</t>
  </si>
  <si>
    <t xml:space="preserve">FS-006</t>
  </si>
  <si>
    <t xml:space="preserve">(1)(b)</t>
  </si>
  <si>
    <t xml:space="preserve">FS-007</t>
  </si>
  <si>
    <t xml:space="preserve">(1)(c)</t>
  </si>
  <si>
    <t xml:space="preserve">FS-008</t>
  </si>
  <si>
    <t xml:space="preserve">(1)(d)</t>
  </si>
  <si>
    <t xml:space="preserve">FS-009</t>
  </si>
  <si>
    <t xml:space="preserve">(1)(e)</t>
  </si>
  <si>
    <t xml:space="preserve">FS-010</t>
  </si>
  <si>
    <t xml:space="preserve">(1)(f)</t>
  </si>
  <si>
    <t xml:space="preserve">FS-011</t>
  </si>
  <si>
    <t xml:space="preserve">(1)(g)</t>
  </si>
  <si>
    <t xml:space="preserve">FS-012</t>
  </si>
  <si>
    <t xml:space="preserve">(1)(h)</t>
  </si>
  <si>
    <t xml:space="preserve">FS-013</t>
  </si>
  <si>
    <t xml:space="preserve">(1)(i)</t>
  </si>
  <si>
    <t xml:space="preserve">FS-014</t>
  </si>
  <si>
    <t xml:space="preserve">(1)(j)</t>
  </si>
  <si>
    <t xml:space="preserve">FS-015</t>
  </si>
  <si>
    <t xml:space="preserve">(1)(k)</t>
  </si>
  <si>
    <t xml:space="preserve">FS-016</t>
  </si>
  <si>
    <t xml:space="preserve">3.1.1</t>
  </si>
  <si>
    <t xml:space="preserve">Monitoring Configuration Management Performance</t>
  </si>
  <si>
    <t xml:space="preserve">FS-017</t>
  </si>
  <si>
    <t xml:space="preserve">FS-018</t>
  </si>
  <si>
    <t xml:space="preserve">3.1.2</t>
  </si>
  <si>
    <t xml:space="preserve">Supplier's Configuration Management Plan</t>
  </si>
  <si>
    <t xml:space="preserve">DI-SESS-80858</t>
  </si>
  <si>
    <t xml:space="preserve">FS-019</t>
  </si>
  <si>
    <t xml:space="preserve">3.1.3</t>
  </si>
  <si>
    <t xml:space="preserve">Technical Reviews</t>
  </si>
  <si>
    <t xml:space="preserve">FS-020</t>
  </si>
  <si>
    <t xml:space="preserve">3.1.4</t>
  </si>
  <si>
    <t xml:space="preserve">Product Configuration Documentation Processes</t>
  </si>
  <si>
    <t xml:space="preserve">FS-021</t>
  </si>
  <si>
    <t xml:space="preserve">FS-022</t>
  </si>
  <si>
    <t xml:space="preserve">3.2 Configuration Identification</t>
  </si>
  <si>
    <t xml:space="preserve">3.2</t>
  </si>
  <si>
    <t xml:space="preserve">Configuration Identification</t>
  </si>
  <si>
    <t xml:space="preserve">DI-SESS-81254; DI-SESS-81121; DI-SESS-81011</t>
  </si>
  <si>
    <t xml:space="preserve">2. Configuration Identification</t>
  </si>
  <si>
    <t xml:space="preserve">FS-023</t>
  </si>
  <si>
    <t xml:space="preserve">(2)(a)</t>
  </si>
  <si>
    <t xml:space="preserve">FS-024</t>
  </si>
  <si>
    <t xml:space="preserve">(2)(b)</t>
  </si>
  <si>
    <t xml:space="preserve">FS-025</t>
  </si>
  <si>
    <t xml:space="preserve">(2)(c)</t>
  </si>
  <si>
    <t xml:space="preserve">FS-026</t>
  </si>
  <si>
    <t xml:space="preserve">(2)(d)</t>
  </si>
  <si>
    <t xml:space="preserve">FS-027</t>
  </si>
  <si>
    <t xml:space="preserve">(2)(e)</t>
  </si>
  <si>
    <t xml:space="preserve">FS-028</t>
  </si>
  <si>
    <t xml:space="preserve">(2)(f)</t>
  </si>
  <si>
    <t xml:space="preserve">FS-029</t>
  </si>
  <si>
    <t xml:space="preserve">(2)(g)</t>
  </si>
  <si>
    <t xml:space="preserve">FS-030</t>
  </si>
  <si>
    <t xml:space="preserve">(2)(h)</t>
  </si>
  <si>
    <t xml:space="preserve">FS-031</t>
  </si>
  <si>
    <t xml:space="preserve">(2)(i)</t>
  </si>
  <si>
    <t xml:space="preserve">FS-032</t>
  </si>
  <si>
    <t xml:space="preserve">(2)(j)</t>
  </si>
  <si>
    <t xml:space="preserve">FS-033</t>
  </si>
  <si>
    <t xml:space="preserve">(2)(k)</t>
  </si>
  <si>
    <t xml:space="preserve">FS-034</t>
  </si>
  <si>
    <t xml:space="preserve">(3)(a)</t>
  </si>
  <si>
    <t xml:space="preserve">FS-035</t>
  </si>
  <si>
    <t xml:space="preserve">(3)(b)</t>
  </si>
  <si>
    <t xml:space="preserve">FS-036</t>
  </si>
  <si>
    <t xml:space="preserve">(3)(c)</t>
  </si>
  <si>
    <t xml:space="preserve">FS-037</t>
  </si>
  <si>
    <t xml:space="preserve">(3)(d)</t>
  </si>
  <si>
    <t xml:space="preserve">FS-038</t>
  </si>
  <si>
    <t xml:space="preserve">3.2.1</t>
  </si>
  <si>
    <t xml:space="preserve">Configuration Item Selection</t>
  </si>
  <si>
    <t xml:space="preserve">DI-SESS-81254; DI-SESS-82007</t>
  </si>
  <si>
    <t xml:space="preserve">FS-039</t>
  </si>
  <si>
    <t xml:space="preserve">FS-040</t>
  </si>
  <si>
    <t xml:space="preserve">F01</t>
  </si>
  <si>
    <t xml:space="preserve">1. Hazard ID &amp; Critical-Item Recognition</t>
  </si>
  <si>
    <t xml:space="preserve">B1</t>
  </si>
  <si>
    <t xml:space="preserve">SM-0001 §6.2.1 Hazard identification</t>
  </si>
  <si>
    <t xml:space="preserve">2I</t>
  </si>
  <si>
    <t xml:space="preserve">FS-041</t>
  </si>
  <si>
    <t xml:space="preserve">FS-042</t>
  </si>
  <si>
    <t xml:space="preserve">FS-043</t>
  </si>
  <si>
    <t xml:space="preserve">FS-044</t>
  </si>
  <si>
    <t xml:space="preserve">FS-045</t>
  </si>
  <si>
    <t xml:space="preserve">FS-046</t>
  </si>
  <si>
    <t xml:space="preserve">3.2.2</t>
  </si>
  <si>
    <t xml:space="preserve">Engineering Release System</t>
  </si>
  <si>
    <t xml:space="preserve">DI-SESS-80463 (note at (5))</t>
  </si>
  <si>
    <t xml:space="preserve">FS-047</t>
  </si>
  <si>
    <t xml:space="preserve">FS-048</t>
  </si>
  <si>
    <t xml:space="preserve">FS-049</t>
  </si>
  <si>
    <t xml:space="preserve">FS-050</t>
  </si>
  <si>
    <t xml:space="preserve">(5)</t>
  </si>
  <si>
    <t xml:space="preserve">FS-051</t>
  </si>
  <si>
    <t xml:space="preserve">3.2.3.1</t>
  </si>
  <si>
    <t xml:space="preserve">Configuration Baselines and Their Configuration Documentation</t>
  </si>
  <si>
    <t xml:space="preserve">FS-052</t>
  </si>
  <si>
    <t xml:space="preserve">FS-053</t>
  </si>
  <si>
    <t xml:space="preserve">3.2.3.2</t>
  </si>
  <si>
    <t xml:space="preserve">Functional Configuration Documentation (FCD)</t>
  </si>
  <si>
    <t xml:space="preserve">FS-054</t>
  </si>
  <si>
    <t xml:space="preserve">FS-055</t>
  </si>
  <si>
    <t xml:space="preserve">FS-056</t>
  </si>
  <si>
    <t xml:space="preserve">3.2.3.2.1</t>
  </si>
  <si>
    <t xml:space="preserve">Allocated Configuration Documentation (ACD)</t>
  </si>
  <si>
    <t xml:space="preserve">FS-057</t>
  </si>
  <si>
    <t xml:space="preserve">FS-058</t>
  </si>
  <si>
    <t xml:space="preserve">FS-059</t>
  </si>
  <si>
    <t xml:space="preserve">3.2.3.2.2</t>
  </si>
  <si>
    <t xml:space="preserve">Product Configuration Documentation (PCD)</t>
  </si>
  <si>
    <t xml:space="preserve">FS-060</t>
  </si>
  <si>
    <t xml:space="preserve">FS-061</t>
  </si>
  <si>
    <t xml:space="preserve">FS-062</t>
  </si>
  <si>
    <t xml:space="preserve">FS-063</t>
  </si>
  <si>
    <t xml:space="preserve">FS-064</t>
  </si>
  <si>
    <t xml:space="preserve">FS-065</t>
  </si>
  <si>
    <t xml:space="preserve">FS-066</t>
  </si>
  <si>
    <t xml:space="preserve">FS-067</t>
  </si>
  <si>
    <t xml:space="preserve">FS-068</t>
  </si>
  <si>
    <t xml:space="preserve">FS-069</t>
  </si>
  <si>
    <t xml:space="preserve">3.2.3.3</t>
  </si>
  <si>
    <t xml:space="preserve">Maintenance of Product Configuration Documentation</t>
  </si>
  <si>
    <t xml:space="preserve">F23</t>
  </si>
  <si>
    <t xml:space="preserve">2. Change Discipline &amp; Impact Assessment</t>
  </si>
  <si>
    <t xml:space="preserve">B7</t>
  </si>
  <si>
    <t xml:space="preserve">SM-0001 §6.2.1 Inaccurate/incomplete data</t>
  </si>
  <si>
    <t xml:space="preserve">Severe (2)</t>
  </si>
  <si>
    <t xml:space="preserve">Tier 2</t>
  </si>
  <si>
    <t xml:space="preserve">B.S.E.T.</t>
  </si>
  <si>
    <t xml:space="preserve">FS-070</t>
  </si>
  <si>
    <t xml:space="preserve">3.2.4</t>
  </si>
  <si>
    <t xml:space="preserve">Configuration Identifiers</t>
  </si>
  <si>
    <t xml:space="preserve">FS-071</t>
  </si>
  <si>
    <t xml:space="preserve">FS-072</t>
  </si>
  <si>
    <t xml:space="preserve">FS-073</t>
  </si>
  <si>
    <t xml:space="preserve">FS-074</t>
  </si>
  <si>
    <t xml:space="preserve">3.2.4.1</t>
  </si>
  <si>
    <t xml:space="preserve">Product Identification / Marking</t>
  </si>
  <si>
    <t xml:space="preserve">MIL-STD-130 / MIL-STD-1285 / MIL-STD-13231</t>
  </si>
  <si>
    <t xml:space="preserve">FS-075</t>
  </si>
  <si>
    <t xml:space="preserve">FS-076</t>
  </si>
  <si>
    <t xml:space="preserve">FS-077</t>
  </si>
  <si>
    <t xml:space="preserve">FS-078</t>
  </si>
  <si>
    <t xml:space="preserve">3.2.4.2</t>
  </si>
  <si>
    <t xml:space="preserve">Software Marking and Labeling</t>
  </si>
  <si>
    <t xml:space="preserve">FS-079</t>
  </si>
  <si>
    <t xml:space="preserve">FS-080</t>
  </si>
  <si>
    <t xml:space="preserve">FS-081</t>
  </si>
  <si>
    <t xml:space="preserve">FS-082</t>
  </si>
  <si>
    <t xml:space="preserve">FS-083</t>
  </si>
  <si>
    <t xml:space="preserve">3.2.5.1</t>
  </si>
  <si>
    <t xml:space="preserve">Interface Identification</t>
  </si>
  <si>
    <t xml:space="preserve">F35</t>
  </si>
  <si>
    <t xml:space="preserve">B13</t>
  </si>
  <si>
    <t xml:space="preserve">SM-0001 §7.3.2 Interface management</t>
  </si>
  <si>
    <t xml:space="preserve">DI-SESS-81248 (note at (4))</t>
  </si>
  <si>
    <t xml:space="preserve">FS-084</t>
  </si>
  <si>
    <t xml:space="preserve">F36</t>
  </si>
  <si>
    <t xml:space="preserve">FS-085</t>
  </si>
  <si>
    <t xml:space="preserve">F37</t>
  </si>
  <si>
    <t xml:space="preserve">FS-086</t>
  </si>
  <si>
    <t xml:space="preserve">FS-087</t>
  </si>
  <si>
    <t xml:space="preserve">3.2.5.2</t>
  </si>
  <si>
    <t xml:space="preserve">Interface Control Working Group (ICWG) Membership</t>
  </si>
  <si>
    <t xml:space="preserve">F38</t>
  </si>
  <si>
    <t xml:space="preserve">Conditional</t>
  </si>
  <si>
    <t xml:space="preserve">FS-088</t>
  </si>
  <si>
    <t xml:space="preserve">FS-089</t>
  </si>
  <si>
    <t xml:space="preserve">FS-090</t>
  </si>
  <si>
    <t xml:space="preserve">FS-091</t>
  </si>
  <si>
    <t xml:space="preserve">FS-092</t>
  </si>
  <si>
    <t xml:space="preserve">3.3 Configuration Change Management</t>
  </si>
  <si>
    <t xml:space="preserve">3.3</t>
  </si>
  <si>
    <t xml:space="preserve">Configuration Change Management</t>
  </si>
  <si>
    <t xml:space="preserve">F06</t>
  </si>
  <si>
    <t xml:space="preserve">B3</t>
  </si>
  <si>
    <t xml:space="preserve">SM-0001 §6.2.1 Work not per approved data</t>
  </si>
  <si>
    <t xml:space="preserve">3. Change and Variance Management</t>
  </si>
  <si>
    <t xml:space="preserve">FS-093</t>
  </si>
  <si>
    <t xml:space="preserve">FS-094</t>
  </si>
  <si>
    <t xml:space="preserve">FS-095</t>
  </si>
  <si>
    <t xml:space="preserve">F07</t>
  </si>
  <si>
    <t xml:space="preserve">2I; 2D</t>
  </si>
  <si>
    <t xml:space="preserve">FS-096</t>
  </si>
  <si>
    <t xml:space="preserve">FS-097</t>
  </si>
  <si>
    <t xml:space="preserve">F08</t>
  </si>
  <si>
    <t xml:space="preserve">FS-098</t>
  </si>
  <si>
    <t xml:space="preserve">F09</t>
  </si>
  <si>
    <t xml:space="preserve">FS-099</t>
  </si>
  <si>
    <t xml:space="preserve">FS-100</t>
  </si>
  <si>
    <t xml:space="preserve">F04</t>
  </si>
  <si>
    <t xml:space="preserve">B2</t>
  </si>
  <si>
    <t xml:space="preserve">SM-0001 §6.2.2 Risk-acceptance authority</t>
  </si>
  <si>
    <t xml:space="preserve">FS-101</t>
  </si>
  <si>
    <t xml:space="preserve">3.3.1</t>
  </si>
  <si>
    <t xml:space="preserve">Engineering Change Proposal (ECP)</t>
  </si>
  <si>
    <t xml:space="preserve">F10</t>
  </si>
  <si>
    <t xml:space="preserve">B2, B3</t>
  </si>
  <si>
    <t xml:space="preserve">FS-102</t>
  </si>
  <si>
    <t xml:space="preserve">3.3.1.1</t>
  </si>
  <si>
    <t xml:space="preserve">Engineering Change Process</t>
  </si>
  <si>
    <t xml:space="preserve">F11</t>
  </si>
  <si>
    <t xml:space="preserve">FS-103</t>
  </si>
  <si>
    <t xml:space="preserve">FS-104</t>
  </si>
  <si>
    <t xml:space="preserve">F20</t>
  </si>
  <si>
    <t xml:space="preserve">B6</t>
  </si>
  <si>
    <t xml:space="preserve">FS-105</t>
  </si>
  <si>
    <t xml:space="preserve">FS-106</t>
  </si>
  <si>
    <t xml:space="preserve">F12</t>
  </si>
  <si>
    <t xml:space="preserve">FS-107</t>
  </si>
  <si>
    <t xml:space="preserve">F13</t>
  </si>
  <si>
    <t xml:space="preserve">FS-108</t>
  </si>
  <si>
    <t xml:space="preserve">F14</t>
  </si>
  <si>
    <t xml:space="preserve">Tier 1</t>
  </si>
  <si>
    <t xml:space="preserve">2D</t>
  </si>
  <si>
    <t xml:space="preserve">A.A.S.</t>
  </si>
  <si>
    <t xml:space="preserve">FS-109</t>
  </si>
  <si>
    <t xml:space="preserve">F15</t>
  </si>
  <si>
    <t xml:space="preserve">FS-110</t>
  </si>
  <si>
    <t xml:space="preserve">FS-111</t>
  </si>
  <si>
    <t xml:space="preserve">FS-112</t>
  </si>
  <si>
    <t xml:space="preserve">FS-113</t>
  </si>
  <si>
    <t xml:space="preserve">(1)(l)</t>
  </si>
  <si>
    <t xml:space="preserve">FS-114</t>
  </si>
  <si>
    <t xml:space="preserve">3.3.1.2</t>
  </si>
  <si>
    <t xml:space="preserve">Classification and Authority of ECP</t>
  </si>
  <si>
    <t xml:space="preserve">F02</t>
  </si>
  <si>
    <t xml:space="preserve">FS-115</t>
  </si>
  <si>
    <t xml:space="preserve">FS-116</t>
  </si>
  <si>
    <t xml:space="preserve">FS-117</t>
  </si>
  <si>
    <t xml:space="preserve">FS-118</t>
  </si>
  <si>
    <t xml:space="preserve">FS-119</t>
  </si>
  <si>
    <t xml:space="preserve">FS-120</t>
  </si>
  <si>
    <t xml:space="preserve">FS-121</t>
  </si>
  <si>
    <t xml:space="preserve">FS-122</t>
  </si>
  <si>
    <t xml:space="preserve">FS-123</t>
  </si>
  <si>
    <t xml:space="preserve">FS-124</t>
  </si>
  <si>
    <t xml:space="preserve">FS-125</t>
  </si>
  <si>
    <t xml:space="preserve">(2)(l)</t>
  </si>
  <si>
    <t xml:space="preserve">FS-126</t>
  </si>
  <si>
    <t xml:space="preserve">(2)(m)</t>
  </si>
  <si>
    <t xml:space="preserve">FS-127</t>
  </si>
  <si>
    <t xml:space="preserve">(2)(n)</t>
  </si>
  <si>
    <t xml:space="preserve">FS-128</t>
  </si>
  <si>
    <t xml:space="preserve">(2)(o)</t>
  </si>
  <si>
    <t xml:space="preserve">FS-129</t>
  </si>
  <si>
    <t xml:space="preserve">(2)(p)</t>
  </si>
  <si>
    <t xml:space="preserve">FS-130</t>
  </si>
  <si>
    <t xml:space="preserve">(2)(q)</t>
  </si>
  <si>
    <t xml:space="preserve">FS-131</t>
  </si>
  <si>
    <t xml:space="preserve">(2)(r)</t>
  </si>
  <si>
    <t xml:space="preserve">FS-132</t>
  </si>
  <si>
    <t xml:space="preserve">(2)(s)</t>
  </si>
  <si>
    <t xml:space="preserve">FS-133</t>
  </si>
  <si>
    <t xml:space="preserve">(2)(t)</t>
  </si>
  <si>
    <t xml:space="preserve">FS-134</t>
  </si>
  <si>
    <t xml:space="preserve">(2)(u)</t>
  </si>
  <si>
    <t xml:space="preserve">FS-135</t>
  </si>
  <si>
    <t xml:space="preserve">(2)(v)</t>
  </si>
  <si>
    <t xml:space="preserve">FS-136</t>
  </si>
  <si>
    <t xml:space="preserve">(2)(w)</t>
  </si>
  <si>
    <t xml:space="preserve">FS-137</t>
  </si>
  <si>
    <t xml:space="preserve">(2)(x)</t>
  </si>
  <si>
    <t xml:space="preserve">FS-138</t>
  </si>
  <si>
    <t xml:space="preserve">(2)(y)</t>
  </si>
  <si>
    <t xml:space="preserve">FS-139</t>
  </si>
  <si>
    <t xml:space="preserve">(2)(z)</t>
  </si>
  <si>
    <t xml:space="preserve">FS-140</t>
  </si>
  <si>
    <t xml:space="preserve">(2)(aa)</t>
  </si>
  <si>
    <t xml:space="preserve">FS-141</t>
  </si>
  <si>
    <t xml:space="preserve">(2)(bb)</t>
  </si>
  <si>
    <t xml:space="preserve">FS-142</t>
  </si>
  <si>
    <t xml:space="preserve">(2)(cc)</t>
  </si>
  <si>
    <t xml:space="preserve">FS-143</t>
  </si>
  <si>
    <t xml:space="preserve">(2)(dd)</t>
  </si>
  <si>
    <t xml:space="preserve">FS-144</t>
  </si>
  <si>
    <t xml:space="preserve">(2)(ee)</t>
  </si>
  <si>
    <t xml:space="preserve">FS-145</t>
  </si>
  <si>
    <t xml:space="preserve">(2)(ff)</t>
  </si>
  <si>
    <t xml:space="preserve">FS-146</t>
  </si>
  <si>
    <t xml:space="preserve">(2)(e)(1)</t>
  </si>
  <si>
    <t xml:space="preserve">FS-147</t>
  </si>
  <si>
    <t xml:space="preserve">(2)(e)(2)</t>
  </si>
  <si>
    <t xml:space="preserve">FS-148</t>
  </si>
  <si>
    <t xml:space="preserve">(2)(e)(3)</t>
  </si>
  <si>
    <t xml:space="preserve">FS-149</t>
  </si>
  <si>
    <t xml:space="preserve">(2)(e)(4)</t>
  </si>
  <si>
    <t xml:space="preserve">FS-150</t>
  </si>
  <si>
    <t xml:space="preserve">(2)(e)(5)</t>
  </si>
  <si>
    <t xml:space="preserve">FS-151</t>
  </si>
  <si>
    <t xml:space="preserve">(2)(e)(6)(a)</t>
  </si>
  <si>
    <t xml:space="preserve">F03</t>
  </si>
  <si>
    <t xml:space="preserve">FS-152</t>
  </si>
  <si>
    <t xml:space="preserve">(2)(e)(6)(b)</t>
  </si>
  <si>
    <t xml:space="preserve">FS-153</t>
  </si>
  <si>
    <t xml:space="preserve">(2)(e)(6)(c)</t>
  </si>
  <si>
    <t xml:space="preserve">FS-154</t>
  </si>
  <si>
    <t xml:space="preserve">(2)(e)(6)(d)</t>
  </si>
  <si>
    <t xml:space="preserve">FS-155</t>
  </si>
  <si>
    <t xml:space="preserve">(2)(e)(6)(e)</t>
  </si>
  <si>
    <t xml:space="preserve">FS-156</t>
  </si>
  <si>
    <t xml:space="preserve">(2)(e)(6)(f)</t>
  </si>
  <si>
    <t xml:space="preserve">FS-157</t>
  </si>
  <si>
    <t xml:space="preserve">(2)(e)(6)(g)</t>
  </si>
  <si>
    <t xml:space="preserve">FS-158</t>
  </si>
  <si>
    <t xml:space="preserve">FS-159</t>
  </si>
  <si>
    <t xml:space="preserve">FS-160</t>
  </si>
  <si>
    <t xml:space="preserve">3.3.1.3</t>
  </si>
  <si>
    <t xml:space="preserve">ECP Format</t>
  </si>
  <si>
    <t xml:space="preserve">DI-SESS-80639 / DD 1692 (note at (1))</t>
  </si>
  <si>
    <t xml:space="preserve">FS-161</t>
  </si>
  <si>
    <t xml:space="preserve">FS-162</t>
  </si>
  <si>
    <t xml:space="preserve">3.3.1.4</t>
  </si>
  <si>
    <t xml:space="preserve">Supporting Data</t>
  </si>
  <si>
    <t xml:space="preserve">F16</t>
  </si>
  <si>
    <t xml:space="preserve">B4</t>
  </si>
  <si>
    <t xml:space="preserve">SM-0001 §6.2.3 Management of change</t>
  </si>
  <si>
    <t xml:space="preserve">FS-163</t>
  </si>
  <si>
    <t xml:space="preserve">FS-164</t>
  </si>
  <si>
    <t xml:space="preserve">FS-165</t>
  </si>
  <si>
    <t xml:space="preserve">F17</t>
  </si>
  <si>
    <t xml:space="preserve">FS-166</t>
  </si>
  <si>
    <t xml:space="preserve">3.3.1.6</t>
  </si>
  <si>
    <t xml:space="preserve">Engineering Change Priorities</t>
  </si>
  <si>
    <t xml:space="preserve">FS-167</t>
  </si>
  <si>
    <t xml:space="preserve">3.3.1.7.1</t>
  </si>
  <si>
    <t xml:space="preserve">Related Engineering Changes - Single Prime, Single Procuring Activity</t>
  </si>
  <si>
    <t xml:space="preserve">FS-168</t>
  </si>
  <si>
    <t xml:space="preserve">3.3.1.7.2</t>
  </si>
  <si>
    <t xml:space="preserve">Related Engineering Changes - Single Prime, Multiple Procuring Activities</t>
  </si>
  <si>
    <t xml:space="preserve">FS-169</t>
  </si>
  <si>
    <t xml:space="preserve">FS-170</t>
  </si>
  <si>
    <t xml:space="preserve">3.3.1.7.3</t>
  </si>
  <si>
    <t xml:space="preserve">Related Engineering Changes - Separate Primes</t>
  </si>
  <si>
    <t xml:space="preserve">FS-171</t>
  </si>
  <si>
    <t xml:space="preserve">FS-172</t>
  </si>
  <si>
    <t xml:space="preserve">FS-173</t>
  </si>
  <si>
    <t xml:space="preserve">FS-174</t>
  </si>
  <si>
    <t xml:space="preserve">3.3.1.8</t>
  </si>
  <si>
    <t xml:space="preserve">Minor (Class II) ECP</t>
  </si>
  <si>
    <t xml:space="preserve">FS-175</t>
  </si>
  <si>
    <t xml:space="preserve">3.3.1.8.1</t>
  </si>
  <si>
    <t xml:space="preserve">Concurrence of Classification</t>
  </si>
  <si>
    <t xml:space="preserve">F05</t>
  </si>
  <si>
    <t xml:space="preserve">FS-176</t>
  </si>
  <si>
    <t xml:space="preserve">FS-177</t>
  </si>
  <si>
    <t xml:space="preserve">FS-178</t>
  </si>
  <si>
    <t xml:space="preserve">3.3.1.8.2</t>
  </si>
  <si>
    <t xml:space="preserve">Approval of Minor (Class II) Changes</t>
  </si>
  <si>
    <t xml:space="preserve">FS-179</t>
  </si>
  <si>
    <t xml:space="preserve">3.3.2</t>
  </si>
  <si>
    <t xml:space="preserve">Requests for Variance (RFV)</t>
  </si>
  <si>
    <t xml:space="preserve">F18</t>
  </si>
  <si>
    <t xml:space="preserve">B5</t>
  </si>
  <si>
    <t xml:space="preserve">SM-0001 §6.3.3 Continuous improvement</t>
  </si>
  <si>
    <t xml:space="preserve">2I; 2A</t>
  </si>
  <si>
    <t xml:space="preserve">DI-SESS-80640 / DD 1694 (note at (5))</t>
  </si>
  <si>
    <t xml:space="preserve">FS-180</t>
  </si>
  <si>
    <t xml:space="preserve">F19</t>
  </si>
  <si>
    <t xml:space="preserve">Clean (core)</t>
  </si>
  <si>
    <t xml:space="preserve">FS-181</t>
  </si>
  <si>
    <t xml:space="preserve">FS-182</t>
  </si>
  <si>
    <t xml:space="preserve">FS-183</t>
  </si>
  <si>
    <t xml:space="preserve">(4)(a)</t>
  </si>
  <si>
    <t xml:space="preserve">FS-184</t>
  </si>
  <si>
    <t xml:space="preserve">(4)(b)</t>
  </si>
  <si>
    <t xml:space="preserve">FS-185</t>
  </si>
  <si>
    <t xml:space="preserve">(4)(c)</t>
  </si>
  <si>
    <t xml:space="preserve">FS-186</t>
  </si>
  <si>
    <t xml:space="preserve">(4)(d)</t>
  </si>
  <si>
    <t xml:space="preserve">FS-187</t>
  </si>
  <si>
    <t xml:space="preserve">FS-188</t>
  </si>
  <si>
    <t xml:space="preserve">3.3.2.1</t>
  </si>
  <si>
    <t xml:space="preserve">Recurring Variances</t>
  </si>
  <si>
    <t xml:space="preserve">FS-189</t>
  </si>
  <si>
    <t xml:space="preserve">FS-190</t>
  </si>
  <si>
    <t xml:space="preserve">3.3.2.2</t>
  </si>
  <si>
    <t xml:space="preserve">Classification of Variances</t>
  </si>
  <si>
    <t xml:space="preserve">FS-191</t>
  </si>
  <si>
    <t xml:space="preserve">FS-192</t>
  </si>
  <si>
    <t xml:space="preserve">FS-193</t>
  </si>
  <si>
    <t xml:space="preserve">FS-194</t>
  </si>
  <si>
    <t xml:space="preserve">FS-195</t>
  </si>
  <si>
    <t xml:space="preserve">3.3.2.3</t>
  </si>
  <si>
    <t xml:space="preserve">RFV Decisions</t>
  </si>
  <si>
    <t xml:space="preserve">FS-196</t>
  </si>
  <si>
    <t xml:space="preserve">FS-197</t>
  </si>
  <si>
    <t xml:space="preserve">3.3.2.4</t>
  </si>
  <si>
    <t xml:space="preserve">Minor RFVs</t>
  </si>
  <si>
    <t xml:space="preserve">FS-198</t>
  </si>
  <si>
    <t xml:space="preserve">3.3.3</t>
  </si>
  <si>
    <t xml:space="preserve">Specification Change Notice (SCN)</t>
  </si>
  <si>
    <t xml:space="preserve">DI-SESS-80643 / DD 1696 (note at (2))</t>
  </si>
  <si>
    <t xml:space="preserve">FS-199</t>
  </si>
  <si>
    <t xml:space="preserve">FS-200</t>
  </si>
  <si>
    <t xml:space="preserve">3.3.4</t>
  </si>
  <si>
    <t xml:space="preserve">Notices of Revision (NORs)</t>
  </si>
  <si>
    <t xml:space="preserve">F21</t>
  </si>
  <si>
    <t xml:space="preserve">DI-SESS-80642 / DD 1695 (note at (2))</t>
  </si>
  <si>
    <t xml:space="preserve">FS-201</t>
  </si>
  <si>
    <t xml:space="preserve">F22</t>
  </si>
  <si>
    <t xml:space="preserve">FS-202</t>
  </si>
  <si>
    <t xml:space="preserve">3.4 Configuration Status Accounting</t>
  </si>
  <si>
    <t xml:space="preserve">3.4</t>
  </si>
  <si>
    <t xml:space="preserve">Configuration Status Accounting (CSA)</t>
  </si>
  <si>
    <t xml:space="preserve">F24</t>
  </si>
  <si>
    <t xml:space="preserve">3. As-Designed to As-Built Reconciliation</t>
  </si>
  <si>
    <t xml:space="preserve">B8</t>
  </si>
  <si>
    <t xml:space="preserve">SM-0001 §6.2.1 Inaccurate manufacturing data</t>
  </si>
  <si>
    <t xml:space="preserve">4. CSA and Verification</t>
  </si>
  <si>
    <t xml:space="preserve">FS-203</t>
  </si>
  <si>
    <t xml:space="preserve">FS-204</t>
  </si>
  <si>
    <t xml:space="preserve">3.4.1</t>
  </si>
  <si>
    <t xml:space="preserve">Supplier CSA System</t>
  </si>
  <si>
    <t xml:space="preserve">DI-SESS-81253; DI-SESS-81245 (note at (6))</t>
  </si>
  <si>
    <t xml:space="preserve">FS-205</t>
  </si>
  <si>
    <t xml:space="preserve">F25</t>
  </si>
  <si>
    <t xml:space="preserve">FS-206</t>
  </si>
  <si>
    <t xml:space="preserve">F26</t>
  </si>
  <si>
    <t xml:space="preserve">B8, B11</t>
  </si>
  <si>
    <t xml:space="preserve">SM-0001 §6.2.1 / §6.3.2</t>
  </si>
  <si>
    <t xml:space="preserve">FS-207</t>
  </si>
  <si>
    <t xml:space="preserve">F32</t>
  </si>
  <si>
    <t xml:space="preserve">B10</t>
  </si>
  <si>
    <t xml:space="preserve">SM-0001 §6.3.1 Continued airworthiness data</t>
  </si>
  <si>
    <t xml:space="preserve">FS-208</t>
  </si>
  <si>
    <t xml:space="preserve">F27</t>
  </si>
  <si>
    <t xml:space="preserve">FS-209</t>
  </si>
  <si>
    <t xml:space="preserve">FS-210</t>
  </si>
  <si>
    <t xml:space="preserve">(3)(e)</t>
  </si>
  <si>
    <t xml:space="preserve">FS-211</t>
  </si>
  <si>
    <t xml:space="preserve">(3)(f)</t>
  </si>
  <si>
    <t xml:space="preserve">FS-212</t>
  </si>
  <si>
    <t xml:space="preserve">(3)(g)</t>
  </si>
  <si>
    <t xml:space="preserve">FS-213</t>
  </si>
  <si>
    <t xml:space="preserve">(3)(h)</t>
  </si>
  <si>
    <t xml:space="preserve">FS-214</t>
  </si>
  <si>
    <t xml:space="preserve">(3)(i)</t>
  </si>
  <si>
    <t xml:space="preserve">FS-215</t>
  </si>
  <si>
    <t xml:space="preserve">(3)(j)</t>
  </si>
  <si>
    <t xml:space="preserve">F39</t>
  </si>
  <si>
    <t xml:space="preserve">B14</t>
  </si>
  <si>
    <t xml:space="preserve">SM-0001 §6.2.1 Subcontractor disclosures</t>
  </si>
  <si>
    <t xml:space="preserve">FS-216</t>
  </si>
  <si>
    <t xml:space="preserve">FS-217</t>
  </si>
  <si>
    <t xml:space="preserve">FS-218</t>
  </si>
  <si>
    <t xml:space="preserve">F28</t>
  </si>
  <si>
    <t xml:space="preserve">FS-219</t>
  </si>
  <si>
    <t xml:space="preserve">FS-220</t>
  </si>
  <si>
    <t xml:space="preserve">(6)</t>
  </si>
  <si>
    <t xml:space="preserve">F33</t>
  </si>
  <si>
    <t xml:space="preserve">B11</t>
  </si>
  <si>
    <t xml:space="preserve">SM-0001 §6.3.2 MoC effectiveness</t>
  </si>
  <si>
    <t xml:space="preserve">FS-221</t>
  </si>
  <si>
    <t xml:space="preserve">3.4.2</t>
  </si>
  <si>
    <t xml:space="preserve">CSA Analysis Requirements</t>
  </si>
  <si>
    <t xml:space="preserve">FS-222</t>
  </si>
  <si>
    <t xml:space="preserve">3.5 Configuration Verification and Audits</t>
  </si>
  <si>
    <t xml:space="preserve">3.5.1</t>
  </si>
  <si>
    <t xml:space="preserve">Common Supplier Audit Responsibilities</t>
  </si>
  <si>
    <t xml:space="preserve">DI-SESS-81646; DI-ADMN-81249; DI-ADMN-81250 (note at (3))</t>
  </si>
  <si>
    <t xml:space="preserve">FS-223</t>
  </si>
  <si>
    <t xml:space="preserve">FS-224</t>
  </si>
  <si>
    <t xml:space="preserve">FS-225</t>
  </si>
  <si>
    <t xml:space="preserve">FS-226</t>
  </si>
  <si>
    <t xml:space="preserve">FS-227</t>
  </si>
  <si>
    <t xml:space="preserve">FS-228</t>
  </si>
  <si>
    <t xml:space="preserve">FS-229</t>
  </si>
  <si>
    <t xml:space="preserve">FS-230</t>
  </si>
  <si>
    <t xml:space="preserve">FS-231</t>
  </si>
  <si>
    <t xml:space="preserve">FS-232</t>
  </si>
  <si>
    <t xml:space="preserve">FS-233</t>
  </si>
  <si>
    <t xml:space="preserve">FS-234</t>
  </si>
  <si>
    <t xml:space="preserve">(1)(m)</t>
  </si>
  <si>
    <t xml:space="preserve">FS-235</t>
  </si>
  <si>
    <t xml:space="preserve">(1)(n)</t>
  </si>
  <si>
    <t xml:space="preserve">FS-236</t>
  </si>
  <si>
    <t xml:space="preserve">FS-237</t>
  </si>
  <si>
    <t xml:space="preserve">FS-238</t>
  </si>
  <si>
    <t xml:space="preserve">3.5.2</t>
  </si>
  <si>
    <t xml:space="preserve">Functional Configuration Audit (FCA)</t>
  </si>
  <si>
    <t xml:space="preserve">FS-239</t>
  </si>
  <si>
    <t xml:space="preserve">F42</t>
  </si>
  <si>
    <t xml:space="preserve">B16</t>
  </si>
  <si>
    <t xml:space="preserve">SM-0001 §6.3.1 Validate risk controls</t>
  </si>
  <si>
    <t xml:space="preserve">FS-240</t>
  </si>
  <si>
    <t xml:space="preserve">F43</t>
  </si>
  <si>
    <t xml:space="preserve">FS-241</t>
  </si>
  <si>
    <t xml:space="preserve">FS-242</t>
  </si>
  <si>
    <t xml:space="preserve">FS-243</t>
  </si>
  <si>
    <t xml:space="preserve">3.5.2.1</t>
  </si>
  <si>
    <t xml:space="preserve">Supplier FCA Responsibilities</t>
  </si>
  <si>
    <t xml:space="preserve">FS-244</t>
  </si>
  <si>
    <t xml:space="preserve">FS-245</t>
  </si>
  <si>
    <t xml:space="preserve">F44</t>
  </si>
  <si>
    <t xml:space="preserve">FS-246</t>
  </si>
  <si>
    <t xml:space="preserve">FS-247</t>
  </si>
  <si>
    <t xml:space="preserve">FS-248</t>
  </si>
  <si>
    <t xml:space="preserve">FS-249</t>
  </si>
  <si>
    <t xml:space="preserve">FS-250</t>
  </si>
  <si>
    <t xml:space="preserve">FS-251</t>
  </si>
  <si>
    <t xml:space="preserve">FS-252</t>
  </si>
  <si>
    <t xml:space="preserve">FS-253</t>
  </si>
  <si>
    <t xml:space="preserve">FS-254</t>
  </si>
  <si>
    <t xml:space="preserve">FS-255</t>
  </si>
  <si>
    <t xml:space="preserve">FS-256</t>
  </si>
  <si>
    <t xml:space="preserve">FS-257</t>
  </si>
  <si>
    <t xml:space="preserve">3.5.3</t>
  </si>
  <si>
    <t xml:space="preserve">Physical Configuration Audit (PCA)</t>
  </si>
  <si>
    <t xml:space="preserve">F29</t>
  </si>
  <si>
    <t xml:space="preserve">B9</t>
  </si>
  <si>
    <t xml:space="preserve">SM-0001 §6.2.1 Non-conformance / FOD</t>
  </si>
  <si>
    <t xml:space="preserve">FS-258</t>
  </si>
  <si>
    <t xml:space="preserve">F30</t>
  </si>
  <si>
    <t xml:space="preserve">FS-259</t>
  </si>
  <si>
    <t xml:space="preserve">FS-260</t>
  </si>
  <si>
    <t xml:space="preserve">F31</t>
  </si>
  <si>
    <t xml:space="preserve">FS-261</t>
  </si>
  <si>
    <t xml:space="preserve">FS-262</t>
  </si>
  <si>
    <t xml:space="preserve">FS-263</t>
  </si>
  <si>
    <t xml:space="preserve">3.5.3.1</t>
  </si>
  <si>
    <t xml:space="preserve">Supplier PCA Responsibilities</t>
  </si>
  <si>
    <t xml:space="preserve">FS-264</t>
  </si>
  <si>
    <t xml:space="preserve">F34</t>
  </si>
  <si>
    <t xml:space="preserve">B12</t>
  </si>
  <si>
    <t xml:space="preserve">SM-0001 §6.2.1 Quality escapes</t>
  </si>
  <si>
    <t xml:space="preserve">FS-265</t>
  </si>
  <si>
    <t xml:space="preserve">FS-266</t>
  </si>
  <si>
    <t xml:space="preserve">FS-267</t>
  </si>
  <si>
    <t xml:space="preserve">FS-268</t>
  </si>
  <si>
    <t xml:space="preserve">FS-269</t>
  </si>
  <si>
    <t xml:space="preserve">FS-270</t>
  </si>
  <si>
    <t xml:space="preserve">FS-271</t>
  </si>
  <si>
    <t xml:space="preserve">3.5.4</t>
  </si>
  <si>
    <t xml:space="preserve">Post-Audit Action</t>
  </si>
  <si>
    <t xml:space="preserve">FS-272</t>
  </si>
  <si>
    <t xml:space="preserve">3.5.5</t>
  </si>
  <si>
    <t xml:space="preserve">Configuration Audit Summary</t>
  </si>
  <si>
    <t xml:space="preserve">DI-SESS-81022 (note at (1)(c))</t>
  </si>
  <si>
    <t xml:space="preserve">FS-273</t>
  </si>
  <si>
    <t xml:space="preserve">FS-274</t>
  </si>
  <si>
    <t xml:space="preserve">Validation lists and scoring</t>
  </si>
  <si>
    <t xml:space="preserve">Score</t>
  </si>
  <si>
    <t xml:space="preserve">Executor Function</t>
  </si>
  <si>
    <t xml:space="preserve">Not demonstrated</t>
  </si>
  <si>
    <t xml:space="preserve">Demonstrated</t>
  </si>
  <si>
    <t xml:space="preserve">Process document</t>
  </si>
  <si>
    <t xml:space="preserve">Unassigned</t>
  </si>
  <si>
    <t xml:space="preserve">Planning and Governance</t>
  </si>
  <si>
    <t xml:space="preserve">Documented</t>
  </si>
  <si>
    <t xml:space="preserve">Gap - remediate</t>
  </si>
  <si>
    <t xml:space="preserve">Tool configuration</t>
  </si>
  <si>
    <t xml:space="preserve">Single point</t>
  </si>
  <si>
    <t xml:space="preserve">Deployed</t>
  </si>
  <si>
    <t xml:space="preserve">Gap - recommend tailoring</t>
  </si>
  <si>
    <t xml:space="preserve">Training record</t>
  </si>
  <si>
    <t xml:space="preserve">Staffed, credential gap</t>
  </si>
  <si>
    <t xml:space="preserve">Change Board Admin</t>
  </si>
  <si>
    <t xml:space="preserve">Operating</t>
  </si>
  <si>
    <t xml:space="preserve">Gap - risk accept</t>
  </si>
  <si>
    <t xml:space="preserve">Record sample (transactional)</t>
  </si>
  <si>
    <t xml:space="preserve">Staffed and credentialed</t>
  </si>
  <si>
    <t xml:space="preserve">Engineering Release</t>
  </si>
  <si>
    <t xml:space="preserve">Effective</t>
  </si>
  <si>
    <t xml:space="preserve">Not assessed</t>
  </si>
  <si>
    <t xml:space="preserve">Metric or report output</t>
  </si>
  <si>
    <t xml:space="preserve">CSA / Data Management</t>
  </si>
  <si>
    <t xml:space="preserve">Audit or health check result</t>
  </si>
  <si>
    <t xml:space="preserve">Staffing rung is computed from Executor Count and Credential Minimum Met. It is not entered.</t>
  </si>
  <si>
    <t xml:space="preserve">Configuration Audit and Verification</t>
  </si>
  <si>
    <t xml:space="preserve">Gap - recommend tailoring is available to non-HSSB items only, and it produces a recommendation to Programs and Contracts, not a closure.</t>
  </si>
  <si>
    <t xml:space="preserve">Interview only (insufficient alone)</t>
  </si>
  <si>
    <t xml:space="preserve">Supplier / Sub-tier CM</t>
  </si>
  <si>
    <t xml:space="preserve">None located</t>
  </si>
  <si>
    <t xml:space="preserve">Shared with Engineering</t>
  </si>
  <si>
    <t xml:space="preserve">Shared with Quality</t>
  </si>
  <si>
    <t xml:space="preserve">CM Team Roster and Load</t>
  </si>
  <si>
    <t xml:space="preserve">Enter every individual who actually performs CM work on this program. Column F counts how many requirements name each person in the register's Named Executor(s) column, so spell names identically in both places.</t>
  </si>
  <si>
    <t xml:space="preserve">Concentration thresholds are a starting assumption, not a standard: 40 or more is High at full scope, 25 or more is Watch. Adjust and record the basis.</t>
  </si>
  <si>
    <t xml:space="preserve">Name</t>
  </si>
  <si>
    <t xml:space="preserve">Role title</t>
  </si>
  <si>
    <t xml:space="preserve">CM function</t>
  </si>
  <si>
    <t xml:space="preserve">Credential held</t>
  </si>
  <si>
    <t xml:space="preserve">FTE on this program</t>
  </si>
  <si>
    <t xml:space="preserve">Requirements named on</t>
  </si>
  <si>
    <t xml:space="preserve">Load flag</t>
  </si>
  <si>
    <t xml:space="preserve">Backup named?</t>
  </si>
  <si>
    <t xml:space="preserve">[example] A. Rivera</t>
  </si>
  <si>
    <t xml:space="preserve">CM Analyst II</t>
  </si>
  <si>
    <t xml:space="preserve">Example row - delete before use</t>
  </si>
  <si>
    <t xml:space="preserve">Evidence Ladder and Staffing Ladder</t>
  </si>
  <si>
    <t xml:space="preserve">Two independent scores. The health rung asks whether the activity happens. The staffing rung asks whether anyone is assigned to make it happen. A requirement can be Operating on heroics with one unbacked individual, and that is a finding even though the records look clean.</t>
  </si>
  <si>
    <t xml:space="preserve">Rung</t>
  </si>
  <si>
    <t xml:space="preserve">The test</t>
  </si>
  <si>
    <t xml:space="preserve">Evidence that satisfies it</t>
  </si>
  <si>
    <t xml:space="preserve">Evidence that does not</t>
  </si>
  <si>
    <t xml:space="preserve">Nothing located, or the only support is an assertion in interview.</t>
  </si>
  <si>
    <t xml:space="preserve">None.</t>
  </si>
  <si>
    <t xml:space="preserve">Verbal confirmation. A person's recollection that the activity happens.</t>
  </si>
  <si>
    <t xml:space="preserve">A controlled process document, procedure, or CMP section states the requirement is performed.</t>
  </si>
  <si>
    <t xml:space="preserve">Command media reference with revision and date.</t>
  </si>
  <si>
    <t xml:space="preserve">A draft. An unreleased document. A slide deck describing intent.</t>
  </si>
  <si>
    <t xml:space="preserve">A tool, workflow, or form exists and is configured to carry the activity, and the responsible role is named.</t>
  </si>
  <si>
    <t xml:space="preserve">Tool configuration, workflow definition, form template, named owner in an org record.</t>
  </si>
  <si>
    <t xml:space="preserve">A tool that is licensed but not configured. An owner role that is vacant.</t>
  </si>
  <si>
    <t xml:space="preserve">Records show the activity actually ran across the defined population and period, at the agreed sample size.</t>
  </si>
  <si>
    <t xml:space="preserve">Transactional record sample with population, period, size, and conforming count recorded on the register row.</t>
  </si>
  <si>
    <t xml:space="preserve">A single example record. A sample drawn only from one program or one month.</t>
  </si>
  <si>
    <t xml:space="preserve">The records show the control catching real problems, and each finding it raised has a traceable disposition.</t>
  </si>
  <si>
    <t xml:space="preserve">Check results including failures, with linked RFA records showing closure or active status.</t>
  </si>
  <si>
    <t xml:space="preserve">A control that has run for two years and never found anything, with no explanation of why.</t>
  </si>
  <si>
    <t xml:space="preserve">Staffing ladder (computed, not entered)</t>
  </si>
  <si>
    <t xml:space="preserve">Condition</t>
  </si>
  <si>
    <t xml:space="preserve">What it means</t>
  </si>
  <si>
    <t xml:space="preserve">Action</t>
  </si>
  <si>
    <t xml:space="preserve">Executor Count is blank or zero.</t>
  </si>
  <si>
    <t xml:space="preserve">No individual performs this requirement. It exists in the process document and nowhere else.</t>
  </si>
  <si>
    <t xml:space="preserve">Hard gate. Target is zero. Assign before any other remediation on that row.</t>
  </si>
  <si>
    <t xml:space="preserve">Executor Count is 1.</t>
  </si>
  <si>
    <t xml:space="preserve">One individual carries the requirement with no backup. Records may look clean until that person leaves.</t>
  </si>
  <si>
    <t xml:space="preserve">Finding on HSSB items. Name a backup or fold the work into a shared queue.</t>
  </si>
  <si>
    <t xml:space="preserve">Executor Count is 2 or more and Credential Minimum Met is not Yes.</t>
  </si>
  <si>
    <t xml:space="preserve">Enough people, but at least one does not hold the credential the register designs for the item.</t>
  </si>
  <si>
    <t xml:space="preserve">Training or reassignment. Compare against column P.</t>
  </si>
  <si>
    <t xml:space="preserve">Executor Count is 2 or more and Credential Minimum Met is Yes.</t>
  </si>
  <si>
    <t xml:space="preserve">Capacity and competence both present.</t>
  </si>
  <si>
    <t xml:space="preserve">Sampling and capacity rules</t>
  </si>
  <si>
    <t xml:space="preserve">Define the population before drawing the sample and record it on the row. 'All ECPs' is not a population; 'all ECPs dispositioned on [program] between [date] and [date]' is.</t>
  </si>
  <si>
    <t xml:space="preserve">Minimum sample is 10 records per requirement, or the full population where fewer than 10 exist. Record the actual size, not the target.</t>
  </si>
  <si>
    <t xml:space="preserve">The assessor selects the records. A sample supplied by the process owner is evidence of the best case, not of the population.</t>
  </si>
  <si>
    <t xml:space="preserve">Name individuals, not roles or teams. 'CM' and 'the release team' both resolve to zero named executors.</t>
  </si>
  <si>
    <t xml:space="preserve">Accountable Owner and Named Executor are different people. A requirement with an owner and no executor is unstaffed.</t>
  </si>
  <si>
    <t xml:space="preserve">Primary Executor Function records where the named executor actually sits, not where the register says the work belongs. That mismatch is what surfaces concentration.</t>
  </si>
  <si>
    <t xml:space="preserve">Disposition doors</t>
  </si>
  <si>
    <t xml:space="preserve">Door</t>
  </si>
  <si>
    <t xml:space="preserve">When it applies</t>
  </si>
  <si>
    <t xml:space="preserve">Availability</t>
  </si>
  <si>
    <t xml:space="preserve">Rung is Operating or Effective, the evidence is on the row, and the requirement has a named executor.</t>
  </si>
  <si>
    <t xml:space="preserve">Any item.</t>
  </si>
  <si>
    <t xml:space="preserve">The requirement applies and is not met. Build, fix, staff, or extend the control.</t>
  </si>
  <si>
    <t xml:space="preserve">The requirement applies contractually but the activity has no value on this program. This TDR is internal, so the disposition is a recommendation to Programs and Contracts, not a closure.</t>
  </si>
  <si>
    <t xml:space="preserve">Non-HSSB items only.</t>
  </si>
  <si>
    <t xml:space="preserve">The gap is known and consciously accepted at the SM-0001 authority for the pre-anchored severity. VP for Severe, CEO for Catastrophic.</t>
  </si>
  <si>
    <t xml:space="preserve">HSSB items follow SM-0001 authority.</t>
  </si>
  <si>
    <t xml:space="preserve">Not yet reviewed. Counts against completion.</t>
  </si>
  <si>
    <t xml:space="preserve">Full-Scope TDR Dashboard</t>
  </si>
  <si>
    <t xml:space="preserve">Formula driven from 'Full Register'. Do not overwrite column B.</t>
  </si>
  <si>
    <t xml:space="preserve">Scope and completion</t>
  </si>
  <si>
    <t xml:space="preserve">Measure</t>
  </si>
  <si>
    <t xml:space="preserve">Value</t>
  </si>
  <si>
    <t xml:space="preserve">Requirements in scope (full standard)</t>
  </si>
  <si>
    <t xml:space="preserve">High Severity Safety Barrier requirements</t>
  </si>
  <si>
    <t xml:space="preserve">Other requirements</t>
  </si>
  <si>
    <t xml:space="preserve">Assessed (disposition entered)</t>
  </si>
  <si>
    <t xml:space="preserve">Not yet assessed</t>
  </si>
  <si>
    <t xml:space="preserve">Completion %</t>
  </si>
  <si>
    <t xml:space="preserve">Execution capacity gates - target is zero</t>
  </si>
  <si>
    <t xml:space="preserve">Requirements with NO named executor</t>
  </si>
  <si>
    <t xml:space="preserve">   of which: HSSB requirements</t>
  </si>
  <si>
    <t xml:space="preserve">Requirements resting on a single individual</t>
  </si>
  <si>
    <t xml:space="preserve">Requirements below the designed credential</t>
  </si>
  <si>
    <t xml:space="preserve">Graded Operating or better with no executor</t>
  </si>
  <si>
    <t xml:space="preserve">Compliance hard gates - target is zero</t>
  </si>
  <si>
    <t xml:space="preserve">HSSB requirements NOT at Operating or better (includes ungraded)</t>
  </si>
  <si>
    <t xml:space="preserve">   of which: graded below Operating</t>
  </si>
  <si>
    <t xml:space="preserve">   of which: not yet graded</t>
  </si>
  <si>
    <t xml:space="preserve">Invalid tailoring claims on HSSB requirements</t>
  </si>
  <si>
    <t xml:space="preserve">Rows flagged by validation</t>
  </si>
  <si>
    <t xml:space="preserve">Staffing rung distribution</t>
  </si>
  <si>
    <t xml:space="preserve">Not yet staffing-assessed</t>
  </si>
  <si>
    <t xml:space="preserve">Health rung distribution</t>
  </si>
  <si>
    <t xml:space="preserve">Not yet graded</t>
  </si>
  <si>
    <t xml:space="preserve">HSSB severity exposure (pre-anchored, not re-rated)</t>
  </si>
  <si>
    <t xml:space="preserve">Catastrophic HSSB not at Operating or better</t>
  </si>
  <si>
    <t xml:space="preserve">Severe HSSB not at Operating or better</t>
  </si>
  <si>
    <t xml:space="preserve">Catastrophic HSSB with no named executor</t>
  </si>
  <si>
    <t xml:space="preserve">Concentration by executor function</t>
  </si>
  <si>
    <t xml:space="preserve">Requirements</t>
  </si>
  <si>
    <t xml:space="preserve">HSSB requirements</t>
  </si>
  <si>
    <t xml:space="preserve">% of register</t>
  </si>
  <si>
    <t xml:space="preserve">By section</t>
  </si>
  <si>
    <t xml:space="preserve">In scope</t>
  </si>
  <si>
    <t xml:space="preserve">HSSB</t>
  </si>
  <si>
    <t xml:space="preserve">Assessed</t>
  </si>
  <si>
    <t xml:space="preserve">At Operating or better</t>
  </si>
  <si>
    <t xml:space="preserve">Unstaffed</t>
  </si>
  <si>
    <t xml:space="preserve">Reading rule</t>
  </si>
  <si>
    <t xml:space="preserve">Read the two gate blocks before any distribution. A high completion percentage with a nonzero HSSB gate is a fail. A requirement graded Operating with no named executor is not operating; it is a record of work someone did once. Execution capacity and compliance evidence are scored separately on purpose, because a process document can pass the second while failing the first. This register covers the full standard, so there is no residual exposure line. Incomplete rows are the exposure.</t>
  </si>
  <si>
    <t xml:space="preserve">Findings Log</t>
  </si>
  <si>
    <t xml:space="preserve">Route every finding into the existing RFA mechanism. Do not maintain a parallel TDR tracker.</t>
  </si>
  <si>
    <t xml:space="preserve">Finding ID</t>
  </si>
  <si>
    <t xml:space="preserve">Finding type</t>
  </si>
  <si>
    <t xml:space="preserve">Finding statement</t>
  </si>
  <si>
    <t xml:space="preserve">Health rung</t>
  </si>
  <si>
    <t xml:space="preserve">Staffing rung</t>
  </si>
  <si>
    <t xml:space="preserve">Root cause (clause ref if upstream)</t>
  </si>
  <si>
    <t xml:space="preserve">Severity</t>
  </si>
  <si>
    <t xml:space="preserve">RFA Ref</t>
  </si>
  <si>
    <t xml:space="preserve">Owner</t>
  </si>
  <si>
    <t xml:space="preserve">Target date</t>
  </si>
  <si>
    <t xml:space="preserve">Status</t>
  </si>
  <si>
    <t xml:space="preserve">Closure evidence</t>
  </si>
  <si>
    <t xml:space="preserve">Verified by (name / date)</t>
  </si>
  <si>
    <t xml:space="preserve">TDR-0001</t>
  </si>
  <si>
    <t xml:space="preserve">3.3.1.1(1)(f)</t>
  </si>
  <si>
    <t xml:space="preserve">Execution capacity</t>
  </si>
  <si>
    <t xml:space="preserve">Release record creation is named to a single CM analyst at 0.8 FTE who is also named on 61 other requirements. No backup named.</t>
  </si>
  <si>
    <t xml:space="preserve">3.1(1)(e) CM resource planning does not allocate release staffing</t>
  </si>
  <si>
    <t xml:space="preserve">RFA-0142</t>
  </si>
  <si>
    <t xml:space="preserve">[name]</t>
  </si>
  <si>
    <t xml:space="preserve">2026-11-30</t>
  </si>
  <si>
    <t xml:space="preserve">Open</t>
  </si>
  <si>
    <t xml:space="preserve">Row 5 is an illustrative example. Delete it before use.</t>
  </si>
  <si>
    <t xml:space="preserve">Scope Notes and Open Enumeration Questions</t>
  </si>
  <si>
    <t xml:space="preserve">Resolve these against your licensed copy before the register is baselined. Each one changes the requirement count.</t>
  </si>
  <si>
    <t xml:space="preserve">Item</t>
  </si>
  <si>
    <t xml:space="preserve">Note</t>
  </si>
  <si>
    <t xml:space="preserve">Effect on count</t>
  </si>
  <si>
    <t xml:space="preserve">Resolved?</t>
  </si>
  <si>
    <t xml:space="preserve">Enumeration basis</t>
  </si>
  <si>
    <t xml:space="preserve">Requirements are enumerated from the body text of EIA-649-1A, not from the Annex A tailoring worksheet. Annex A does not reconcile cleanly to the body: it renders 3.3.1.8.1 as 3.3.2.8.1, and the DID table cites 3.4.1.5 where the body and Annex A both show 3.4.1(6). Keep this basis fixed.</t>
  </si>
  <si>
    <t xml:space="preserve">Baseline decision</t>
  </si>
  <si>
    <t xml:space="preserve">Clauses with no numbered requirement</t>
  </si>
  <si>
    <t xml:space="preserve">3.2.3, 3.2.5, 3.3.1.5, 3.3.1.7, and 3.5 carry principles, notes, and narrative only. They are excluded from the register and listed here so the exclusion is visible rather than assumed.</t>
  </si>
  <si>
    <t xml:space="preserve">-5 clause headings</t>
  </si>
  <si>
    <t xml:space="preserve">3.1.1(2) suggested metrics (a) to (h)</t>
  </si>
  <si>
    <t xml:space="preserve">Body text presents these as suggested, not required. Excluded as non-normative. Annex A gives each a tailoring row.</t>
  </si>
  <si>
    <t xml:space="preserve">+8 if treated as requirements</t>
  </si>
  <si>
    <t xml:space="preserve">3.1.3(1) review list (a) to (i)</t>
  </si>
  <si>
    <t xml:space="preserve">Body text presents these as reviews that may be included. Excluded as non-normative. Annex A gives each a tailoring row.</t>
  </si>
  <si>
    <t xml:space="preserve">+9 if treated as requirements</t>
  </si>
  <si>
    <t xml:space="preserve">3.3.1.2(2) criteria lettering</t>
  </si>
  <si>
    <t xml:space="preserve">Annex A runs the Major-change criteria a. through ff. Body text at one point renders the tail as af. Both conventions yield 32 letters, so the count is stable, but confirm the letters before citing individual criteria in findings.</t>
  </si>
  <si>
    <t xml:space="preserve">0 either way</t>
  </si>
  <si>
    <t xml:space="preserve">3.3.1.2(2)(d) sub-items</t>
  </si>
  <si>
    <t xml:space="preserve">Held as a single row. If the body enumerates sub-items under (d), split it.</t>
  </si>
  <si>
    <t xml:space="preserve">+1 or more</t>
  </si>
  <si>
    <t xml:space="preserve">3.3.2.2(1)(a) to (c) sub-items</t>
  </si>
  <si>
    <t xml:space="preserve">Variance classification definitions held at letter level. If the body enumerates beneath them, split.</t>
  </si>
  <si>
    <t xml:space="preserve">+n</t>
  </si>
  <si>
    <t xml:space="preserve">3.5.2.1(2)(i) software sub-items</t>
  </si>
  <si>
    <t xml:space="preserve">Body indicates numbered sub-items under (i) for Computer Software Configuration Items. Held as a single row pending confirmation.</t>
  </si>
  <si>
    <t xml:space="preserve">Requirement text column</t>
  </si>
  <si>
    <t xml:space="preserve">Column F is deliberately empty. EIA-649-1A is copyrighted SAE material under an Accuris no-reproduction licence. Populate from your own licensed copy only if that licence permits internal transcription. Confirm with whoever administers the licence.</t>
  </si>
  <si>
    <t xml:space="preserve">None</t>
  </si>
  <si>
    <t xml:space="preserve">Clauses excluded as narrative only</t>
  </si>
  <si>
    <t xml:space="preserve">3.2.3</t>
  </si>
  <si>
    <t xml:space="preserve">Configuration Baselines Types</t>
  </si>
  <si>
    <t xml:space="preserve">3.2.5</t>
  </si>
  <si>
    <t xml:space="preserve">Interface Management</t>
  </si>
  <si>
    <t xml:space="preserve">3.3.1.5</t>
  </si>
  <si>
    <t xml:space="preserve">ECP Decisions</t>
  </si>
  <si>
    <t xml:space="preserve">3.3.1.7</t>
  </si>
  <si>
    <t xml:space="preserve">Related Engineering Changes</t>
  </si>
  <si>
    <t xml:space="preserve">3.5</t>
  </si>
  <si>
    <t xml:space="preserve">Configuration Verification and Audits</t>
  </si>
</sst>
</file>

<file path=xl/styles.xml><?xml version="1.0" encoding="utf-8"?>
<styleSheet xmlns="http://schemas.openxmlformats.org/spreadsheetml/2006/main">
  <numFmts count="3">
    <numFmt numFmtId="164" formatCode="General"/>
    <numFmt numFmtId="165" formatCode="0.0%"/>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9"/>
      <name val="Arial"/>
      <family val="0"/>
      <charset val="1"/>
    </font>
    <font>
      <i val="true"/>
      <sz val="9"/>
      <color rgb="FF555555"/>
      <name val="Arial"/>
      <family val="0"/>
      <charset val="1"/>
    </font>
    <font>
      <b val="true"/>
      <sz val="9"/>
      <color rgb="FFFFFFFF"/>
      <name val="Arial"/>
      <family val="0"/>
      <charset val="1"/>
    </font>
    <font>
      <b val="true"/>
      <sz val="9"/>
      <name val="Arial"/>
      <family val="0"/>
      <charset val="1"/>
    </font>
    <font>
      <i val="true"/>
      <sz val="9"/>
      <color rgb="FF808080"/>
      <name val="Arial"/>
      <family val="0"/>
      <charset val="1"/>
    </font>
  </fonts>
  <fills count="12">
    <fill>
      <patternFill patternType="none"/>
    </fill>
    <fill>
      <patternFill patternType="gray125"/>
    </fill>
    <fill>
      <patternFill patternType="solid">
        <fgColor rgb="FF1F3864"/>
        <bgColor rgb="FF333333"/>
      </patternFill>
    </fill>
    <fill>
      <patternFill patternType="solid">
        <fgColor rgb="FFE7E6E6"/>
        <bgColor rgb="FFEDEDED"/>
      </patternFill>
    </fill>
    <fill>
      <patternFill patternType="solid">
        <fgColor rgb="FFEDEDED"/>
        <bgColor rgb="FFE7E6E6"/>
      </patternFill>
    </fill>
    <fill>
      <patternFill patternType="solid">
        <fgColor rgb="FFFFF2CC"/>
        <bgColor rgb="FFFCE4D6"/>
      </patternFill>
    </fill>
    <fill>
      <patternFill patternType="solid">
        <fgColor rgb="FFFBE2D5"/>
        <bgColor rgb="FFFCE4D6"/>
      </patternFill>
    </fill>
    <fill>
      <patternFill patternType="solid">
        <fgColor rgb="FFDDEBF7"/>
        <bgColor rgb="FFE7E6E6"/>
      </patternFill>
    </fill>
    <fill>
      <patternFill patternType="solid">
        <fgColor rgb="FFFFE699"/>
        <bgColor rgb="FFFFF2CC"/>
      </patternFill>
    </fill>
    <fill>
      <patternFill patternType="solid">
        <fgColor rgb="FF7B3F00"/>
        <bgColor rgb="FF993366"/>
      </patternFill>
    </fill>
    <fill>
      <patternFill patternType="solid">
        <fgColor rgb="FF2F5597"/>
        <bgColor rgb="FF1F3864"/>
      </patternFill>
    </fill>
    <fill>
      <patternFill patternType="solid">
        <fgColor rgb="FFFCE4D6"/>
        <bgColor rgb="FFFBE2D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6" fillId="7"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6" fontId="9" fillId="7"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center" vertical="bottom" textRotation="0" wrapText="false" indent="0" shrinkToFit="false"/>
      <protection locked="true" hidden="false"/>
    </xf>
    <xf numFmtId="165" fontId="9" fillId="7" borderId="1" xfId="0" applyFont="true" applyBorder="true" applyAlignment="true" applyProtection="false">
      <alignment horizontal="center" vertical="bottom" textRotation="0" wrapText="false" indent="0" shrinkToFit="false"/>
      <protection locked="true" hidden="false"/>
    </xf>
    <xf numFmtId="164" fontId="6" fillId="11"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fgColor rgb="FFE7E6E6"/>
          <bgColor rgb="FF000000"/>
        </patternFill>
      </fill>
    </dxf>
    <dxf>
      <fill>
        <patternFill patternType="solid">
          <fgColor rgb="FFFFE699"/>
          <bgColor rgb="FF000000"/>
        </patternFill>
      </fill>
    </dxf>
    <dxf>
      <fill>
        <patternFill patternType="solid">
          <fgColor rgb="FFFFFFFF"/>
          <bgColor rgb="FF000000"/>
        </patternFill>
      </fill>
    </dxf>
    <dxf>
      <fill>
        <patternFill patternType="solid">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FBE2D5"/>
          <bgColor rgb="FF000000"/>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E7E6E6"/>
      <rgbColor rgb="FFFFE699"/>
      <rgbColor rgb="FF99CCFF"/>
      <rgbColor rgb="FFFF99CC"/>
      <rgbColor rgb="FFCC99FF"/>
      <rgbColor rgb="FFFBE2D5"/>
      <rgbColor rgb="FF3366FF"/>
      <rgbColor rgb="FF33CCCC"/>
      <rgbColor rgb="FF99CC00"/>
      <rgbColor rgb="FFFFCC00"/>
      <rgbColor rgb="FFFF9900"/>
      <rgbColor rgb="FFFF6600"/>
      <rgbColor rgb="FF555555"/>
      <rgbColor rgb="FF969696"/>
      <rgbColor rgb="FF1F3864"/>
      <rgbColor rgb="FF339966"/>
      <rgbColor rgb="FF003300"/>
      <rgbColor rgb="FF333300"/>
      <rgbColor rgb="FF7B3F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20"/>
  </cols>
  <sheetData>
    <row r="1" customFormat="false" ht="17.35" hidden="false" customHeight="false" outlineLevel="0" collapsed="false">
      <c r="A1" s="1" t="s">
        <v>0</v>
      </c>
    </row>
    <row r="3" customFormat="false" ht="15" hidden="false" customHeight="false" outlineLevel="0" collapsed="false">
      <c r="A3" s="2" t="s">
        <v>1</v>
      </c>
    </row>
    <row r="4" customFormat="false" ht="45" hidden="false" customHeight="true" outlineLevel="0" collapsed="false">
      <c r="A4" s="3" t="s">
        <v>2</v>
      </c>
      <c r="B4" s="3"/>
      <c r="C4" s="3"/>
      <c r="D4" s="3"/>
      <c r="E4" s="3"/>
      <c r="F4" s="3"/>
    </row>
    <row r="5" customFormat="false" ht="15" hidden="false" customHeight="true" outlineLevel="0" collapsed="false">
      <c r="A5" s="3" t="s">
        <v>3</v>
      </c>
      <c r="B5" s="3"/>
      <c r="C5" s="3"/>
      <c r="D5" s="3"/>
      <c r="E5" s="3"/>
      <c r="F5" s="3"/>
    </row>
    <row r="7" customFormat="false" ht="15" hidden="false" customHeight="false" outlineLevel="0" collapsed="false">
      <c r="A7" s="2" t="s">
        <v>4</v>
      </c>
    </row>
    <row r="8" customFormat="false" ht="45" hidden="false" customHeight="true" outlineLevel="0" collapsed="false">
      <c r="A8" s="3" t="s">
        <v>5</v>
      </c>
      <c r="B8" s="3"/>
      <c r="C8" s="3"/>
      <c r="D8" s="3"/>
      <c r="E8" s="3"/>
      <c r="F8" s="3"/>
    </row>
    <row r="9" customFormat="false" ht="30" hidden="false" customHeight="true" outlineLevel="0" collapsed="false">
      <c r="A9" s="3" t="s">
        <v>6</v>
      </c>
      <c r="B9" s="3"/>
      <c r="C9" s="3"/>
      <c r="D9" s="3"/>
      <c r="E9" s="3"/>
      <c r="F9" s="3"/>
    </row>
    <row r="10" customFormat="false" ht="30" hidden="false" customHeight="true" outlineLevel="0" collapsed="false">
      <c r="A10" s="3" t="s">
        <v>7</v>
      </c>
      <c r="B10" s="3"/>
      <c r="C10" s="3"/>
      <c r="D10" s="3"/>
      <c r="E10" s="3"/>
      <c r="F10" s="3"/>
    </row>
    <row r="12" customFormat="false" ht="15" hidden="false" customHeight="false" outlineLevel="0" collapsed="false">
      <c r="A12" s="2" t="s">
        <v>8</v>
      </c>
    </row>
    <row r="13" customFormat="false" ht="45" hidden="false" customHeight="true" outlineLevel="0" collapsed="false">
      <c r="A13" s="3" t="s">
        <v>9</v>
      </c>
      <c r="B13" s="3"/>
      <c r="C13" s="3"/>
      <c r="D13" s="3"/>
      <c r="E13" s="3"/>
      <c r="F13" s="3"/>
    </row>
    <row r="14" customFormat="false" ht="45" hidden="false" customHeight="true" outlineLevel="0" collapsed="false">
      <c r="A14" s="3" t="s">
        <v>10</v>
      </c>
      <c r="B14" s="3"/>
      <c r="C14" s="3"/>
      <c r="D14" s="3"/>
      <c r="E14" s="3"/>
      <c r="F14" s="3"/>
    </row>
    <row r="15" customFormat="false" ht="30" hidden="false" customHeight="true" outlineLevel="0" collapsed="false">
      <c r="A15" s="3" t="s">
        <v>11</v>
      </c>
      <c r="B15" s="3"/>
      <c r="C15" s="3"/>
      <c r="D15" s="3"/>
      <c r="E15" s="3"/>
      <c r="F15" s="3"/>
    </row>
    <row r="17" customFormat="false" ht="15" hidden="false" customHeight="false" outlineLevel="0" collapsed="false">
      <c r="A17" s="2" t="s">
        <v>12</v>
      </c>
    </row>
    <row r="18" customFormat="false" ht="30" hidden="false" customHeight="true" outlineLevel="0" collapsed="false">
      <c r="A18" s="3" t="s">
        <v>13</v>
      </c>
      <c r="B18" s="3"/>
      <c r="C18" s="3"/>
      <c r="D18" s="3"/>
      <c r="E18" s="3"/>
      <c r="F18" s="3"/>
    </row>
    <row r="19" customFormat="false" ht="45" hidden="false" customHeight="true" outlineLevel="0" collapsed="false">
      <c r="A19" s="3" t="s">
        <v>14</v>
      </c>
      <c r="B19" s="3"/>
      <c r="C19" s="3"/>
      <c r="D19" s="3"/>
      <c r="E19" s="3"/>
      <c r="F19" s="3"/>
    </row>
    <row r="20" customFormat="false" ht="45" hidden="false" customHeight="true" outlineLevel="0" collapsed="false">
      <c r="A20" s="3" t="s">
        <v>15</v>
      </c>
      <c r="B20" s="3"/>
      <c r="C20" s="3"/>
      <c r="D20" s="3"/>
      <c r="E20" s="3"/>
      <c r="F20" s="3"/>
    </row>
    <row r="22" customFormat="false" ht="15" hidden="false" customHeight="false" outlineLevel="0" collapsed="false">
      <c r="A22" s="2" t="s">
        <v>16</v>
      </c>
    </row>
    <row r="23" customFormat="false" ht="30" hidden="false" customHeight="true" outlineLevel="0" collapsed="false">
      <c r="A23" s="3" t="s">
        <v>17</v>
      </c>
      <c r="B23" s="3"/>
      <c r="C23" s="3"/>
      <c r="D23" s="3"/>
      <c r="E23" s="3"/>
      <c r="F23" s="3"/>
    </row>
    <row r="24" customFormat="false" ht="15" hidden="false" customHeight="true" outlineLevel="0" collapsed="false">
      <c r="A24" s="3" t="s">
        <v>18</v>
      </c>
      <c r="B24" s="3"/>
      <c r="C24" s="3"/>
      <c r="D24" s="3"/>
      <c r="E24" s="3"/>
      <c r="F24" s="3"/>
    </row>
    <row r="25" customFormat="false" ht="30" hidden="false" customHeight="true" outlineLevel="0" collapsed="false">
      <c r="A25" s="3" t="s">
        <v>19</v>
      </c>
      <c r="B25" s="3"/>
      <c r="C25" s="3"/>
      <c r="D25" s="3"/>
      <c r="E25" s="3"/>
      <c r="F25" s="3"/>
    </row>
    <row r="26" customFormat="false" ht="60" hidden="false" customHeight="true" outlineLevel="0" collapsed="false">
      <c r="A26" s="3" t="s">
        <v>20</v>
      </c>
      <c r="B26" s="3"/>
      <c r="C26" s="3"/>
      <c r="D26" s="3"/>
      <c r="E26" s="3"/>
      <c r="F26" s="3"/>
    </row>
    <row r="28" customFormat="false" ht="15" hidden="false" customHeight="false" outlineLevel="0" collapsed="false">
      <c r="A28" s="2" t="s">
        <v>21</v>
      </c>
    </row>
    <row r="29" customFormat="false" ht="15" hidden="false" customHeight="true" outlineLevel="0" collapsed="false">
      <c r="A29" s="3" t="s">
        <v>22</v>
      </c>
      <c r="B29" s="3"/>
      <c r="C29" s="3"/>
      <c r="D29" s="3"/>
      <c r="E29" s="3"/>
      <c r="F29" s="3"/>
    </row>
    <row r="30" customFormat="false" ht="30" hidden="false" customHeight="true" outlineLevel="0" collapsed="false">
      <c r="A30" s="3" t="s">
        <v>23</v>
      </c>
      <c r="B30" s="3"/>
      <c r="C30" s="3"/>
      <c r="D30" s="3"/>
      <c r="E30" s="3"/>
      <c r="F30" s="3"/>
    </row>
    <row r="31" customFormat="false" ht="30" hidden="false" customHeight="true" outlineLevel="0" collapsed="false">
      <c r="A31" s="3" t="s">
        <v>24</v>
      </c>
      <c r="B31" s="3"/>
      <c r="C31" s="3"/>
      <c r="D31" s="3"/>
      <c r="E31" s="3"/>
      <c r="F31" s="3"/>
    </row>
    <row r="32" customFormat="false" ht="30" hidden="false" customHeight="true" outlineLevel="0" collapsed="false">
      <c r="A32" s="3" t="s">
        <v>25</v>
      </c>
      <c r="B32" s="3"/>
      <c r="C32" s="3"/>
      <c r="D32" s="3"/>
      <c r="E32" s="3"/>
      <c r="F32" s="3"/>
    </row>
    <row r="34" customFormat="false" ht="15" hidden="false" customHeight="false" outlineLevel="0" collapsed="false">
      <c r="A34" s="2" t="s">
        <v>26</v>
      </c>
    </row>
    <row r="35" customFormat="false" ht="60" hidden="false" customHeight="true" outlineLevel="0" collapsed="false">
      <c r="A35" s="3" t="s">
        <v>27</v>
      </c>
      <c r="B35" s="3"/>
      <c r="C35" s="3"/>
      <c r="D35" s="3"/>
      <c r="E35" s="3"/>
      <c r="F35" s="3"/>
    </row>
  </sheetData>
  <mergeCells count="20">
    <mergeCell ref="A4:F4"/>
    <mergeCell ref="A5:F5"/>
    <mergeCell ref="A8:F8"/>
    <mergeCell ref="A9:F9"/>
    <mergeCell ref="A10:F10"/>
    <mergeCell ref="A13:F13"/>
    <mergeCell ref="A14:F14"/>
    <mergeCell ref="A15:F15"/>
    <mergeCell ref="A18:F18"/>
    <mergeCell ref="A19:F19"/>
    <mergeCell ref="A20:F20"/>
    <mergeCell ref="A23:F23"/>
    <mergeCell ref="A24:F24"/>
    <mergeCell ref="A25:F25"/>
    <mergeCell ref="A26:F26"/>
    <mergeCell ref="A29:F29"/>
    <mergeCell ref="A30:F30"/>
    <mergeCell ref="A31:F31"/>
    <mergeCell ref="A32:F3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2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2"/>
    <col collapsed="false" customWidth="true" hidden="false" outlineLevel="0" max="4" min="4" style="0" width="34"/>
    <col collapsed="false" customWidth="true" hidden="false" outlineLevel="0" max="5" min="5" style="0" width="14"/>
    <col collapsed="false" customWidth="true" hidden="false" outlineLevel="0" max="6" min="6" style="0" width="56"/>
    <col collapsed="false" customWidth="true" hidden="false" outlineLevel="0" max="7" min="7" style="0" width="15"/>
    <col collapsed="false" customWidth="true" hidden="false" outlineLevel="0" max="8" min="8" style="0" width="9"/>
    <col collapsed="false" customWidth="true" hidden="false" outlineLevel="0" max="9" min="9" style="0" width="24"/>
    <col collapsed="false" customWidth="true" hidden="false" outlineLevel="0" max="10" min="10" style="0" width="10"/>
    <col collapsed="false" customWidth="true" hidden="false" outlineLevel="0" max="11" min="11" style="0" width="24"/>
    <col collapsed="false" customWidth="true" hidden="false" outlineLevel="0" max="12" min="12" style="0" width="15"/>
    <col collapsed="false" customWidth="true" hidden="false" outlineLevel="0" max="13" min="13" style="0" width="13"/>
    <col collapsed="false" customWidth="true" hidden="false" outlineLevel="0" max="14" min="14" style="0" width="11"/>
    <col collapsed="false" customWidth="true" hidden="false" outlineLevel="0" max="15" min="15" style="0" width="10"/>
    <col collapsed="false" customWidth="true" hidden="false" outlineLevel="0" max="16" min="16" style="0" width="14"/>
    <col collapsed="false" customWidth="true" hidden="false" outlineLevel="0" max="17" min="17" style="0" width="11"/>
    <col collapsed="false" customWidth="true" hidden="false" outlineLevel="0" max="18" min="18" style="0" width="10"/>
    <col collapsed="false" customWidth="true" hidden="false" outlineLevel="0" max="19" min="19" style="0" width="26"/>
    <col collapsed="false" customWidth="true" hidden="false" outlineLevel="0" max="20" min="20" style="0" width="24"/>
    <col collapsed="false" customWidth="true" hidden="false" outlineLevel="0" max="21" min="21" style="0" width="22"/>
    <col collapsed="false" customWidth="true" hidden="false" outlineLevel="0" max="24" min="22" style="0" width="20"/>
    <col collapsed="false" customWidth="true" hidden="false" outlineLevel="0" max="25" min="25" style="0" width="32"/>
    <col collapsed="false" customWidth="true" hidden="false" outlineLevel="0" max="26" min="26" style="0" width="9"/>
    <col collapsed="false" customWidth="true" hidden="false" outlineLevel="0" max="27" min="27" style="0" width="24"/>
    <col collapsed="false" customWidth="true" hidden="false" outlineLevel="0" max="28" min="28" style="0" width="12"/>
    <col collapsed="false" customWidth="true" hidden="false" outlineLevel="0" max="29" min="29" style="0" width="18"/>
    <col collapsed="false" customWidth="true" hidden="false" outlineLevel="0" max="30" min="30" style="0" width="9"/>
    <col collapsed="false" customWidth="true" hidden="false" outlineLevel="0" max="31" min="31" style="0" width="17"/>
    <col collapsed="false" customWidth="true" hidden="false" outlineLevel="0" max="32" min="32" style="0" width="8"/>
    <col collapsed="false" customWidth="true" hidden="false" outlineLevel="0" max="33" min="33" style="0" width="20"/>
    <col collapsed="false" customWidth="true" hidden="false" outlineLevel="0" max="34" min="34" style="0" width="24"/>
    <col collapsed="false" customWidth="true" hidden="false" outlineLevel="0" max="35" min="35" style="0" width="22"/>
    <col collapsed="false" customWidth="true" hidden="false" outlineLevel="0" max="36" min="36" style="0" width="9"/>
    <col collapsed="false" customWidth="true" hidden="false" outlineLevel="0" max="37" min="37" style="0" width="15"/>
    <col collapsed="false" customWidth="true" hidden="false" outlineLevel="0" max="39" min="38" style="0" width="11"/>
    <col collapsed="false" customWidth="true" hidden="false" outlineLevel="0" max="40" min="40" style="0" width="20"/>
    <col collapsed="false" customWidth="true" hidden="false" outlineLevel="0" max="41" min="41" style="0" width="14"/>
    <col collapsed="false" customWidth="true" hidden="false" outlineLevel="0" max="42" min="42" style="0" width="30"/>
    <col collapsed="false" customWidth="true" hidden="false" outlineLevel="0" max="43" min="43" style="0" width="20"/>
    <col collapsed="false" customWidth="true" hidden="false" outlineLevel="0" max="44" min="44" style="0" width="22"/>
    <col collapsed="false" customWidth="true" hidden="false" outlineLevel="0" max="45" min="45" style="0" width="30"/>
  </cols>
  <sheetData>
    <row r="1" customFormat="false" ht="17.35" hidden="false" customHeight="false" outlineLevel="0" collapsed="false">
      <c r="A1" s="1" t="s">
        <v>28</v>
      </c>
    </row>
    <row r="2" customFormat="false" ht="15" hidden="false" customHeight="false" outlineLevel="0" collapsed="false">
      <c r="A2" s="4" t="s">
        <v>29</v>
      </c>
    </row>
    <row r="3" customFormat="false" ht="15" hidden="false" customHeight="false" outlineLevel="0" collapsed="false">
      <c r="A3" s="4" t="s">
        <v>30</v>
      </c>
    </row>
    <row r="4" customFormat="false" ht="15" hidden="false" customHeight="false" outlineLevel="0" collapsed="false">
      <c r="A4" s="4" t="s">
        <v>31</v>
      </c>
    </row>
    <row r="5" customFormat="false" ht="43.5" hidden="false" customHeight="true" outlineLevel="0" collapsed="false">
      <c r="A5" s="5" t="s">
        <v>32</v>
      </c>
      <c r="B5" s="5" t="s">
        <v>33</v>
      </c>
      <c r="C5" s="5" t="s">
        <v>34</v>
      </c>
      <c r="D5" s="5" t="s">
        <v>35</v>
      </c>
      <c r="E5" s="5" t="s">
        <v>36</v>
      </c>
      <c r="F5" s="5" t="s">
        <v>37</v>
      </c>
      <c r="G5" s="5" t="s">
        <v>38</v>
      </c>
      <c r="H5" s="5" t="s">
        <v>39</v>
      </c>
      <c r="I5" s="5" t="s">
        <v>40</v>
      </c>
      <c r="J5" s="5" t="s">
        <v>41</v>
      </c>
      <c r="K5" s="5" t="s">
        <v>42</v>
      </c>
      <c r="L5" s="5" t="s">
        <v>43</v>
      </c>
      <c r="M5" s="5" t="s">
        <v>44</v>
      </c>
      <c r="N5" s="5" t="s">
        <v>45</v>
      </c>
      <c r="O5" s="5" t="s">
        <v>46</v>
      </c>
      <c r="P5" s="5" t="s">
        <v>47</v>
      </c>
      <c r="Q5" s="5" t="s">
        <v>48</v>
      </c>
      <c r="R5" s="5" t="s">
        <v>49</v>
      </c>
      <c r="S5" s="5" t="s">
        <v>50</v>
      </c>
      <c r="T5" s="5" t="s">
        <v>51</v>
      </c>
      <c r="U5" s="5" t="s">
        <v>52</v>
      </c>
      <c r="V5" s="5" t="s">
        <v>53</v>
      </c>
      <c r="W5" s="5" t="s">
        <v>54</v>
      </c>
      <c r="X5" s="5" t="s">
        <v>55</v>
      </c>
      <c r="Y5" s="5" t="s">
        <v>56</v>
      </c>
      <c r="Z5" s="5" t="s">
        <v>57</v>
      </c>
      <c r="AA5" s="5" t="s">
        <v>58</v>
      </c>
      <c r="AB5" s="5" t="s">
        <v>59</v>
      </c>
      <c r="AC5" s="5" t="s">
        <v>60</v>
      </c>
      <c r="AD5" s="5" t="s">
        <v>61</v>
      </c>
      <c r="AE5" s="5" t="s">
        <v>62</v>
      </c>
      <c r="AF5" s="5" t="s">
        <v>63</v>
      </c>
      <c r="AG5" s="5" t="s">
        <v>64</v>
      </c>
      <c r="AH5" s="5" t="s">
        <v>65</v>
      </c>
      <c r="AI5" s="5" t="s">
        <v>66</v>
      </c>
      <c r="AJ5" s="5" t="s">
        <v>67</v>
      </c>
      <c r="AK5" s="5" t="s">
        <v>68</v>
      </c>
      <c r="AL5" s="5" t="s">
        <v>69</v>
      </c>
      <c r="AM5" s="5" t="s">
        <v>70</v>
      </c>
      <c r="AN5" s="5" t="s">
        <v>71</v>
      </c>
      <c r="AO5" s="5" t="s">
        <v>72</v>
      </c>
      <c r="AP5" s="5" t="s">
        <v>73</v>
      </c>
      <c r="AQ5" s="5" t="s">
        <v>74</v>
      </c>
      <c r="AR5" s="5" t="s">
        <v>75</v>
      </c>
      <c r="AS5" s="5" t="s">
        <v>76</v>
      </c>
    </row>
    <row r="6" customFormat="false" ht="22.35" hidden="false" customHeight="false" outlineLevel="0" collapsed="false">
      <c r="A6" s="6" t="s">
        <v>77</v>
      </c>
      <c r="B6" s="6" t="s">
        <v>78</v>
      </c>
      <c r="C6" s="6" t="s">
        <v>79</v>
      </c>
      <c r="D6" s="6" t="s">
        <v>80</v>
      </c>
      <c r="E6" s="6" t="s">
        <v>81</v>
      </c>
      <c r="F6" s="7"/>
      <c r="G6" s="6" t="s">
        <v>82</v>
      </c>
      <c r="H6" s="6"/>
      <c r="I6" s="6"/>
      <c r="J6" s="6"/>
      <c r="K6" s="6"/>
      <c r="L6" s="6" t="s">
        <v>83</v>
      </c>
      <c r="M6" s="6" t="s">
        <v>84</v>
      </c>
      <c r="N6" s="6"/>
      <c r="O6" s="6"/>
      <c r="P6" s="6"/>
      <c r="Q6" s="6"/>
      <c r="R6" s="6" t="s">
        <v>85</v>
      </c>
      <c r="S6" s="6"/>
      <c r="T6" s="6" t="s">
        <v>86</v>
      </c>
      <c r="U6" s="8"/>
      <c r="V6" s="8"/>
      <c r="W6" s="8"/>
      <c r="X6" s="8"/>
      <c r="Y6" s="9"/>
      <c r="Z6" s="9"/>
      <c r="AA6" s="9"/>
      <c r="AB6" s="9"/>
      <c r="AC6" s="10" t="str">
        <f aca="false">IF(Z6="","",IF(Z6=0,"Unassigned",IF(Z6=1,"Single point",IF(AB6="Yes","Staffed and credentialed","Staffed, credential gap"))))</f>
        <v/>
      </c>
      <c r="AD6" s="10" t="str">
        <f aca="false">IFERROR(INDEX(Lists!$H$3:$H$6,MATCH(AC6,Lists!$G$3:$G$6,0)),"")</f>
        <v/>
      </c>
      <c r="AE6" s="8"/>
      <c r="AF6" s="10" t="str">
        <f aca="false">IFERROR(INDEX(Lists!$B$3:$B$7,MATCH(AE6,Lists!$A$3:$A$7,0)),"")</f>
        <v/>
      </c>
      <c r="AG6" s="8"/>
      <c r="AH6" s="8"/>
      <c r="AI6" s="8"/>
      <c r="AJ6" s="8"/>
      <c r="AK6" s="8"/>
      <c r="AL6" s="8"/>
      <c r="AM6" s="11" t="str">
        <f aca="false">IF(OR(AJ6="",AJ6=0),"",AL6/AJ6)</f>
        <v/>
      </c>
      <c r="AN6" s="8"/>
      <c r="AO6" s="8"/>
      <c r="AP6" s="10" t="str">
        <f aca="false">IF(AN6="","Not assessed",IF(AND(R6="No",AN6="Gap - recommend tailoring"),"INVALID: HSSB is not tailorable",IF(OR(Z6="",Z6=0),"NO NAMED EXECUTOR",IF(AND(N(AF6)&gt;=3,AJ6=""),"Operating claimed with no sample",IF(AND(N(AF6)&gt;=3,Z6=1),"Operating rests on one individual",IF(AND(N(AF6)&gt;=3,AB6&lt;&gt;"Yes"),"Operating claimed below designed credential",IF(AND(R6="No",N(AF6)&lt;3),"HSSB GATE: below Operating",IF(AND(N(AF6)&gt;=3,AJ6&lt;&gt;"",AL6=""),"Sample size with no conforming count","OK"))))))))</f>
        <v>Not assessed</v>
      </c>
      <c r="AQ6" s="8"/>
      <c r="AR6" s="8"/>
      <c r="AS6" s="8"/>
    </row>
    <row r="7" customFormat="false" ht="22.35" hidden="false" customHeight="false" outlineLevel="0" collapsed="false">
      <c r="A7" s="12" t="s">
        <v>87</v>
      </c>
      <c r="B7" s="12" t="s">
        <v>78</v>
      </c>
      <c r="C7" s="12" t="s">
        <v>79</v>
      </c>
      <c r="D7" s="12" t="s">
        <v>80</v>
      </c>
      <c r="E7" s="12" t="s">
        <v>88</v>
      </c>
      <c r="F7" s="12"/>
      <c r="G7" s="13" t="s">
        <v>85</v>
      </c>
      <c r="H7" s="13" t="s">
        <v>89</v>
      </c>
      <c r="I7" s="12" t="s">
        <v>90</v>
      </c>
      <c r="J7" s="12" t="s">
        <v>91</v>
      </c>
      <c r="K7" s="12" t="s">
        <v>92</v>
      </c>
      <c r="L7" s="12" t="s">
        <v>93</v>
      </c>
      <c r="M7" s="12" t="s">
        <v>94</v>
      </c>
      <c r="N7" s="12" t="s">
        <v>95</v>
      </c>
      <c r="O7" s="12" t="s">
        <v>96</v>
      </c>
      <c r="P7" s="12" t="s">
        <v>97</v>
      </c>
      <c r="Q7" s="12" t="s">
        <v>98</v>
      </c>
      <c r="R7" s="12" t="s">
        <v>82</v>
      </c>
      <c r="S7" s="12"/>
      <c r="T7" s="12" t="s">
        <v>86</v>
      </c>
      <c r="U7" s="8"/>
      <c r="V7" s="8"/>
      <c r="W7" s="8"/>
      <c r="X7" s="8"/>
      <c r="Y7" s="9"/>
      <c r="Z7" s="9"/>
      <c r="AA7" s="9"/>
      <c r="AB7" s="9"/>
      <c r="AC7" s="10" t="str">
        <f aca="false">IF(Z7="","",IF(Z7=0,"Unassigned",IF(Z7=1,"Single point",IF(AB7="Yes","Staffed and credentialed","Staffed, credential gap"))))</f>
        <v/>
      </c>
      <c r="AD7" s="10" t="str">
        <f aca="false">IFERROR(INDEX(Lists!$H$3:$H$6,MATCH(AC7,Lists!$G$3:$G$6,0)),"")</f>
        <v/>
      </c>
      <c r="AE7" s="8"/>
      <c r="AF7" s="10" t="str">
        <f aca="false">IFERROR(INDEX(Lists!$B$3:$B$7,MATCH(AE7,Lists!$A$3:$A$7,0)),"")</f>
        <v/>
      </c>
      <c r="AG7" s="8"/>
      <c r="AH7" s="8"/>
      <c r="AI7" s="8"/>
      <c r="AJ7" s="8"/>
      <c r="AK7" s="8"/>
      <c r="AL7" s="8"/>
      <c r="AM7" s="11" t="str">
        <f aca="false">IF(OR(AJ7="",AJ7=0),"",AL7/AJ7)</f>
        <v/>
      </c>
      <c r="AN7" s="8"/>
      <c r="AO7" s="8"/>
      <c r="AP7" s="10" t="str">
        <f aca="false">IF(AN7="","Not assessed",IF(AND(R7="No",AN7="Gap - recommend tailoring"),"INVALID: HSSB is not tailorable",IF(OR(Z7="",Z7=0),"NO NAMED EXECUTOR",IF(AND(N(AF7)&gt;=3,AJ7=""),"Operating claimed with no sample",IF(AND(N(AF7)&gt;=3,Z7=1),"Operating rests on one individual",IF(AND(N(AF7)&gt;=3,AB7&lt;&gt;"Yes"),"Operating claimed below designed credential",IF(AND(R7="No",N(AF7)&lt;3),"HSSB GATE: below Operating",IF(AND(N(AF7)&gt;=3,AJ7&lt;&gt;"",AL7=""),"Sample size with no conforming count","OK"))))))))</f>
        <v>Not assessed</v>
      </c>
      <c r="AQ7" s="8"/>
      <c r="AR7" s="8"/>
      <c r="AS7" s="8"/>
    </row>
    <row r="8" customFormat="false" ht="22.35" hidden="false" customHeight="false" outlineLevel="0" collapsed="false">
      <c r="A8" s="6" t="s">
        <v>99</v>
      </c>
      <c r="B8" s="6" t="s">
        <v>78</v>
      </c>
      <c r="C8" s="6" t="s">
        <v>79</v>
      </c>
      <c r="D8" s="6" t="s">
        <v>80</v>
      </c>
      <c r="E8" s="6" t="s">
        <v>100</v>
      </c>
      <c r="F8" s="7"/>
      <c r="G8" s="6" t="s">
        <v>82</v>
      </c>
      <c r="H8" s="6"/>
      <c r="I8" s="6"/>
      <c r="J8" s="6"/>
      <c r="K8" s="6"/>
      <c r="L8" s="6" t="s">
        <v>83</v>
      </c>
      <c r="M8" s="6" t="s">
        <v>84</v>
      </c>
      <c r="N8" s="6"/>
      <c r="O8" s="6"/>
      <c r="P8" s="6"/>
      <c r="Q8" s="6"/>
      <c r="R8" s="6" t="s">
        <v>85</v>
      </c>
      <c r="S8" s="6"/>
      <c r="T8" s="6" t="s">
        <v>86</v>
      </c>
      <c r="U8" s="8"/>
      <c r="V8" s="8"/>
      <c r="W8" s="8"/>
      <c r="X8" s="8"/>
      <c r="Y8" s="9"/>
      <c r="Z8" s="9"/>
      <c r="AA8" s="9"/>
      <c r="AB8" s="9"/>
      <c r="AC8" s="10" t="str">
        <f aca="false">IF(Z8="","",IF(Z8=0,"Unassigned",IF(Z8=1,"Single point",IF(AB8="Yes","Staffed and credentialed","Staffed, credential gap"))))</f>
        <v/>
      </c>
      <c r="AD8" s="10" t="str">
        <f aca="false">IFERROR(INDEX(Lists!$H$3:$H$6,MATCH(AC8,Lists!$G$3:$G$6,0)),"")</f>
        <v/>
      </c>
      <c r="AE8" s="8"/>
      <c r="AF8" s="10" t="str">
        <f aca="false">IFERROR(INDEX(Lists!$B$3:$B$7,MATCH(AE8,Lists!$A$3:$A$7,0)),"")</f>
        <v/>
      </c>
      <c r="AG8" s="8"/>
      <c r="AH8" s="8"/>
      <c r="AI8" s="8"/>
      <c r="AJ8" s="8"/>
      <c r="AK8" s="8"/>
      <c r="AL8" s="8"/>
      <c r="AM8" s="11" t="str">
        <f aca="false">IF(OR(AJ8="",AJ8=0),"",AL8/AJ8)</f>
        <v/>
      </c>
      <c r="AN8" s="8"/>
      <c r="AO8" s="8"/>
      <c r="AP8" s="10" t="str">
        <f aca="false">IF(AN8="","Not assessed",IF(AND(R8="No",AN8="Gap - recommend tailoring"),"INVALID: HSSB is not tailorable",IF(OR(Z8="",Z8=0),"NO NAMED EXECUTOR",IF(AND(N(AF8)&gt;=3,AJ8=""),"Operating claimed with no sample",IF(AND(N(AF8)&gt;=3,Z8=1),"Operating rests on one individual",IF(AND(N(AF8)&gt;=3,AB8&lt;&gt;"Yes"),"Operating claimed below designed credential",IF(AND(R8="No",N(AF8)&lt;3),"HSSB GATE: below Operating",IF(AND(N(AF8)&gt;=3,AJ8&lt;&gt;"",AL8=""),"Sample size with no conforming count","OK"))))))))</f>
        <v>Not assessed</v>
      </c>
      <c r="AQ8" s="8"/>
      <c r="AR8" s="8"/>
      <c r="AS8" s="8"/>
    </row>
    <row r="9" customFormat="false" ht="22.35" hidden="false" customHeight="false" outlineLevel="0" collapsed="false">
      <c r="A9" s="12" t="s">
        <v>101</v>
      </c>
      <c r="B9" s="12" t="s">
        <v>78</v>
      </c>
      <c r="C9" s="12" t="s">
        <v>79</v>
      </c>
      <c r="D9" s="12" t="s">
        <v>80</v>
      </c>
      <c r="E9" s="12" t="s">
        <v>102</v>
      </c>
      <c r="F9" s="12"/>
      <c r="G9" s="13" t="s">
        <v>85</v>
      </c>
      <c r="H9" s="13" t="s">
        <v>103</v>
      </c>
      <c r="I9" s="12" t="s">
        <v>90</v>
      </c>
      <c r="J9" s="12" t="s">
        <v>91</v>
      </c>
      <c r="K9" s="12" t="s">
        <v>104</v>
      </c>
      <c r="L9" s="12" t="s">
        <v>93</v>
      </c>
      <c r="M9" s="12" t="s">
        <v>105</v>
      </c>
      <c r="N9" s="12" t="s">
        <v>106</v>
      </c>
      <c r="O9" s="12" t="s">
        <v>98</v>
      </c>
      <c r="P9" s="12" t="s">
        <v>107</v>
      </c>
      <c r="Q9" s="12" t="s">
        <v>96</v>
      </c>
      <c r="R9" s="12" t="s">
        <v>82</v>
      </c>
      <c r="S9" s="12"/>
      <c r="T9" s="12" t="s">
        <v>86</v>
      </c>
      <c r="U9" s="8"/>
      <c r="V9" s="8"/>
      <c r="W9" s="8"/>
      <c r="X9" s="8"/>
      <c r="Y9" s="9"/>
      <c r="Z9" s="9"/>
      <c r="AA9" s="9"/>
      <c r="AB9" s="9"/>
      <c r="AC9" s="10" t="str">
        <f aca="false">IF(Z9="","",IF(Z9=0,"Unassigned",IF(Z9=1,"Single point",IF(AB9="Yes","Staffed and credentialed","Staffed, credential gap"))))</f>
        <v/>
      </c>
      <c r="AD9" s="10" t="str">
        <f aca="false">IFERROR(INDEX(Lists!$H$3:$H$6,MATCH(AC9,Lists!$G$3:$G$6,0)),"")</f>
        <v/>
      </c>
      <c r="AE9" s="8"/>
      <c r="AF9" s="10" t="str">
        <f aca="false">IFERROR(INDEX(Lists!$B$3:$B$7,MATCH(AE9,Lists!$A$3:$A$7,0)),"")</f>
        <v/>
      </c>
      <c r="AG9" s="8"/>
      <c r="AH9" s="8"/>
      <c r="AI9" s="8"/>
      <c r="AJ9" s="8"/>
      <c r="AK9" s="8"/>
      <c r="AL9" s="8"/>
      <c r="AM9" s="11" t="str">
        <f aca="false">IF(OR(AJ9="",AJ9=0),"",AL9/AJ9)</f>
        <v/>
      </c>
      <c r="AN9" s="8"/>
      <c r="AO9" s="8"/>
      <c r="AP9" s="10" t="str">
        <f aca="false">IF(AN9="","Not assessed",IF(AND(R9="No",AN9="Gap - recommend tailoring"),"INVALID: HSSB is not tailorable",IF(OR(Z9="",Z9=0),"NO NAMED EXECUTOR",IF(AND(N(AF9)&gt;=3,AJ9=""),"Operating claimed with no sample",IF(AND(N(AF9)&gt;=3,Z9=1),"Operating rests on one individual",IF(AND(N(AF9)&gt;=3,AB9&lt;&gt;"Yes"),"Operating claimed below designed credential",IF(AND(R9="No",N(AF9)&lt;3),"HSSB GATE: below Operating",IF(AND(N(AF9)&gt;=3,AJ9&lt;&gt;"",AL9=""),"Sample size with no conforming count","OK"))))))))</f>
        <v>Not assessed</v>
      </c>
      <c r="AQ9" s="8"/>
      <c r="AR9" s="8"/>
      <c r="AS9" s="8"/>
    </row>
    <row r="10" customFormat="false" ht="22.35" hidden="false" customHeight="false" outlineLevel="0" collapsed="false">
      <c r="A10" s="6" t="s">
        <v>108</v>
      </c>
      <c r="B10" s="6" t="s">
        <v>109</v>
      </c>
      <c r="C10" s="6" t="s">
        <v>110</v>
      </c>
      <c r="D10" s="6" t="s">
        <v>111</v>
      </c>
      <c r="E10" s="6" t="s">
        <v>112</v>
      </c>
      <c r="F10" s="7"/>
      <c r="G10" s="6" t="s">
        <v>82</v>
      </c>
      <c r="H10" s="6"/>
      <c r="I10" s="6"/>
      <c r="J10" s="6"/>
      <c r="K10" s="6"/>
      <c r="L10" s="6" t="s">
        <v>83</v>
      </c>
      <c r="M10" s="6" t="s">
        <v>84</v>
      </c>
      <c r="N10" s="6"/>
      <c r="O10" s="6"/>
      <c r="P10" s="6"/>
      <c r="Q10" s="6"/>
      <c r="R10" s="6" t="s">
        <v>85</v>
      </c>
      <c r="S10" s="6" t="s">
        <v>113</v>
      </c>
      <c r="T10" s="6" t="s">
        <v>86</v>
      </c>
      <c r="U10" s="8"/>
      <c r="V10" s="8"/>
      <c r="W10" s="8"/>
      <c r="X10" s="8"/>
      <c r="Y10" s="9"/>
      <c r="Z10" s="9"/>
      <c r="AA10" s="9"/>
      <c r="AB10" s="9"/>
      <c r="AC10" s="10" t="str">
        <f aca="false">IF(Z10="","",IF(Z10=0,"Unassigned",IF(Z10=1,"Single point",IF(AB10="Yes","Staffed and credentialed","Staffed, credential gap"))))</f>
        <v/>
      </c>
      <c r="AD10" s="10" t="str">
        <f aca="false">IFERROR(INDEX(Lists!$H$3:$H$6,MATCH(AC10,Lists!$G$3:$G$6,0)),"")</f>
        <v/>
      </c>
      <c r="AE10" s="8"/>
      <c r="AF10" s="10" t="str">
        <f aca="false">IFERROR(INDEX(Lists!$B$3:$B$7,MATCH(AE10,Lists!$A$3:$A$7,0)),"")</f>
        <v/>
      </c>
      <c r="AG10" s="8"/>
      <c r="AH10" s="8"/>
      <c r="AI10" s="8"/>
      <c r="AJ10" s="8"/>
      <c r="AK10" s="8"/>
      <c r="AL10" s="8"/>
      <c r="AM10" s="11" t="str">
        <f aca="false">IF(OR(AJ10="",AJ10=0),"",AL10/AJ10)</f>
        <v/>
      </c>
      <c r="AN10" s="8"/>
      <c r="AO10" s="8"/>
      <c r="AP10" s="10" t="str">
        <f aca="false">IF(AN10="","Not assessed",IF(AND(R10="No",AN10="Gap - recommend tailoring"),"INVALID: HSSB is not tailorable",IF(OR(Z10="",Z10=0),"NO NAMED EXECUTOR",IF(AND(N(AF10)&gt;=3,AJ10=""),"Operating claimed with no sample",IF(AND(N(AF10)&gt;=3,Z10=1),"Operating rests on one individual",IF(AND(N(AF10)&gt;=3,AB10&lt;&gt;"Yes"),"Operating claimed below designed credential",IF(AND(R10="No",N(AF10)&lt;3),"HSSB GATE: below Operating",IF(AND(N(AF10)&gt;=3,AJ10&lt;&gt;"",AL10=""),"Sample size with no conforming count","OK"))))))))</f>
        <v>Not assessed</v>
      </c>
      <c r="AQ10" s="8"/>
      <c r="AR10" s="8"/>
      <c r="AS10" s="8"/>
    </row>
    <row r="11" customFormat="false" ht="22.35" hidden="false" customHeight="false" outlineLevel="0" collapsed="false">
      <c r="A11" s="6" t="s">
        <v>114</v>
      </c>
      <c r="B11" s="6" t="s">
        <v>109</v>
      </c>
      <c r="C11" s="6" t="s">
        <v>110</v>
      </c>
      <c r="D11" s="6" t="s">
        <v>111</v>
      </c>
      <c r="E11" s="6" t="s">
        <v>115</v>
      </c>
      <c r="F11" s="7"/>
      <c r="G11" s="6" t="s">
        <v>82</v>
      </c>
      <c r="H11" s="6"/>
      <c r="I11" s="6"/>
      <c r="J11" s="6"/>
      <c r="K11" s="6"/>
      <c r="L11" s="6" t="s">
        <v>83</v>
      </c>
      <c r="M11" s="6" t="s">
        <v>84</v>
      </c>
      <c r="N11" s="6"/>
      <c r="O11" s="6"/>
      <c r="P11" s="6"/>
      <c r="Q11" s="6"/>
      <c r="R11" s="6" t="s">
        <v>85</v>
      </c>
      <c r="S11" s="6" t="s">
        <v>113</v>
      </c>
      <c r="T11" s="6" t="s">
        <v>86</v>
      </c>
      <c r="U11" s="8"/>
      <c r="V11" s="8"/>
      <c r="W11" s="8"/>
      <c r="X11" s="8"/>
      <c r="Y11" s="9"/>
      <c r="Z11" s="9"/>
      <c r="AA11" s="9"/>
      <c r="AB11" s="9"/>
      <c r="AC11" s="10" t="str">
        <f aca="false">IF(Z11="","",IF(Z11=0,"Unassigned",IF(Z11=1,"Single point",IF(AB11="Yes","Staffed and credentialed","Staffed, credential gap"))))</f>
        <v/>
      </c>
      <c r="AD11" s="10" t="str">
        <f aca="false">IFERROR(INDEX(Lists!$H$3:$H$6,MATCH(AC11,Lists!$G$3:$G$6,0)),"")</f>
        <v/>
      </c>
      <c r="AE11" s="8"/>
      <c r="AF11" s="10" t="str">
        <f aca="false">IFERROR(INDEX(Lists!$B$3:$B$7,MATCH(AE11,Lists!$A$3:$A$7,0)),"")</f>
        <v/>
      </c>
      <c r="AG11" s="8"/>
      <c r="AH11" s="8"/>
      <c r="AI11" s="8"/>
      <c r="AJ11" s="8"/>
      <c r="AK11" s="8"/>
      <c r="AL11" s="8"/>
      <c r="AM11" s="11" t="str">
        <f aca="false">IF(OR(AJ11="",AJ11=0),"",AL11/AJ11)</f>
        <v/>
      </c>
      <c r="AN11" s="8"/>
      <c r="AO11" s="8"/>
      <c r="AP11" s="10" t="str">
        <f aca="false">IF(AN11="","Not assessed",IF(AND(R11="No",AN11="Gap - recommend tailoring"),"INVALID: HSSB is not tailorable",IF(OR(Z11="",Z11=0),"NO NAMED EXECUTOR",IF(AND(N(AF11)&gt;=3,AJ11=""),"Operating claimed with no sample",IF(AND(N(AF11)&gt;=3,Z11=1),"Operating rests on one individual",IF(AND(N(AF11)&gt;=3,AB11&lt;&gt;"Yes"),"Operating claimed below designed credential",IF(AND(R11="No",N(AF11)&lt;3),"HSSB GATE: below Operating",IF(AND(N(AF11)&gt;=3,AJ11&lt;&gt;"",AL11=""),"Sample size with no conforming count","OK"))))))))</f>
        <v>Not assessed</v>
      </c>
      <c r="AQ11" s="8"/>
      <c r="AR11" s="8"/>
      <c r="AS11" s="8"/>
    </row>
    <row r="12" customFormat="false" ht="22.35" hidden="false" customHeight="false" outlineLevel="0" collapsed="false">
      <c r="A12" s="6" t="s">
        <v>116</v>
      </c>
      <c r="B12" s="6" t="s">
        <v>109</v>
      </c>
      <c r="C12" s="6" t="s">
        <v>110</v>
      </c>
      <c r="D12" s="6" t="s">
        <v>111</v>
      </c>
      <c r="E12" s="6" t="s">
        <v>117</v>
      </c>
      <c r="F12" s="7"/>
      <c r="G12" s="6" t="s">
        <v>82</v>
      </c>
      <c r="H12" s="6"/>
      <c r="I12" s="6"/>
      <c r="J12" s="6"/>
      <c r="K12" s="6"/>
      <c r="L12" s="6" t="s">
        <v>83</v>
      </c>
      <c r="M12" s="6" t="s">
        <v>84</v>
      </c>
      <c r="N12" s="6"/>
      <c r="O12" s="6"/>
      <c r="P12" s="6"/>
      <c r="Q12" s="6"/>
      <c r="R12" s="6" t="s">
        <v>85</v>
      </c>
      <c r="S12" s="6" t="s">
        <v>113</v>
      </c>
      <c r="T12" s="6" t="s">
        <v>86</v>
      </c>
      <c r="U12" s="8"/>
      <c r="V12" s="8"/>
      <c r="W12" s="8"/>
      <c r="X12" s="8"/>
      <c r="Y12" s="9"/>
      <c r="Z12" s="9"/>
      <c r="AA12" s="9"/>
      <c r="AB12" s="9"/>
      <c r="AC12" s="10" t="str">
        <f aca="false">IF(Z12="","",IF(Z12=0,"Unassigned",IF(Z12=1,"Single point",IF(AB12="Yes","Staffed and credentialed","Staffed, credential gap"))))</f>
        <v/>
      </c>
      <c r="AD12" s="10" t="str">
        <f aca="false">IFERROR(INDEX(Lists!$H$3:$H$6,MATCH(AC12,Lists!$G$3:$G$6,0)),"")</f>
        <v/>
      </c>
      <c r="AE12" s="8"/>
      <c r="AF12" s="10" t="str">
        <f aca="false">IFERROR(INDEX(Lists!$B$3:$B$7,MATCH(AE12,Lists!$A$3:$A$7,0)),"")</f>
        <v/>
      </c>
      <c r="AG12" s="8"/>
      <c r="AH12" s="8"/>
      <c r="AI12" s="8"/>
      <c r="AJ12" s="8"/>
      <c r="AK12" s="8"/>
      <c r="AL12" s="8"/>
      <c r="AM12" s="11" t="str">
        <f aca="false">IF(OR(AJ12="",AJ12=0),"",AL12/AJ12)</f>
        <v/>
      </c>
      <c r="AN12" s="8"/>
      <c r="AO12" s="8"/>
      <c r="AP12" s="10" t="str">
        <f aca="false">IF(AN12="","Not assessed",IF(AND(R12="No",AN12="Gap - recommend tailoring"),"INVALID: HSSB is not tailorable",IF(OR(Z12="",Z12=0),"NO NAMED EXECUTOR",IF(AND(N(AF12)&gt;=3,AJ12=""),"Operating claimed with no sample",IF(AND(N(AF12)&gt;=3,Z12=1),"Operating rests on one individual",IF(AND(N(AF12)&gt;=3,AB12&lt;&gt;"Yes"),"Operating claimed below designed credential",IF(AND(R12="No",N(AF12)&lt;3),"HSSB GATE: below Operating",IF(AND(N(AF12)&gt;=3,AJ12&lt;&gt;"",AL12=""),"Sample size with no conforming count","OK"))))))))</f>
        <v>Not assessed</v>
      </c>
      <c r="AQ12" s="8"/>
      <c r="AR12" s="8"/>
      <c r="AS12" s="8"/>
    </row>
    <row r="13" customFormat="false" ht="22.35" hidden="false" customHeight="false" outlineLevel="0" collapsed="false">
      <c r="A13" s="6" t="s">
        <v>118</v>
      </c>
      <c r="B13" s="6" t="s">
        <v>109</v>
      </c>
      <c r="C13" s="6" t="s">
        <v>110</v>
      </c>
      <c r="D13" s="6" t="s">
        <v>111</v>
      </c>
      <c r="E13" s="6" t="s">
        <v>119</v>
      </c>
      <c r="F13" s="7"/>
      <c r="G13" s="6" t="s">
        <v>82</v>
      </c>
      <c r="H13" s="6"/>
      <c r="I13" s="6"/>
      <c r="J13" s="6"/>
      <c r="K13" s="6"/>
      <c r="L13" s="6" t="s">
        <v>83</v>
      </c>
      <c r="M13" s="6" t="s">
        <v>84</v>
      </c>
      <c r="N13" s="6"/>
      <c r="O13" s="6"/>
      <c r="P13" s="6"/>
      <c r="Q13" s="6"/>
      <c r="R13" s="6" t="s">
        <v>85</v>
      </c>
      <c r="S13" s="6" t="s">
        <v>113</v>
      </c>
      <c r="T13" s="6" t="s">
        <v>86</v>
      </c>
      <c r="U13" s="8"/>
      <c r="V13" s="8"/>
      <c r="W13" s="8"/>
      <c r="X13" s="8"/>
      <c r="Y13" s="9"/>
      <c r="Z13" s="9"/>
      <c r="AA13" s="9"/>
      <c r="AB13" s="9"/>
      <c r="AC13" s="10" t="str">
        <f aca="false">IF(Z13="","",IF(Z13=0,"Unassigned",IF(Z13=1,"Single point",IF(AB13="Yes","Staffed and credentialed","Staffed, credential gap"))))</f>
        <v/>
      </c>
      <c r="AD13" s="10" t="str">
        <f aca="false">IFERROR(INDEX(Lists!$H$3:$H$6,MATCH(AC13,Lists!$G$3:$G$6,0)),"")</f>
        <v/>
      </c>
      <c r="AE13" s="8"/>
      <c r="AF13" s="10" t="str">
        <f aca="false">IFERROR(INDEX(Lists!$B$3:$B$7,MATCH(AE13,Lists!$A$3:$A$7,0)),"")</f>
        <v/>
      </c>
      <c r="AG13" s="8"/>
      <c r="AH13" s="8"/>
      <c r="AI13" s="8"/>
      <c r="AJ13" s="8"/>
      <c r="AK13" s="8"/>
      <c r="AL13" s="8"/>
      <c r="AM13" s="11" t="str">
        <f aca="false">IF(OR(AJ13="",AJ13=0),"",AL13/AJ13)</f>
        <v/>
      </c>
      <c r="AN13" s="8"/>
      <c r="AO13" s="8"/>
      <c r="AP13" s="10" t="str">
        <f aca="false">IF(AN13="","Not assessed",IF(AND(R13="No",AN13="Gap - recommend tailoring"),"INVALID: HSSB is not tailorable",IF(OR(Z13="",Z13=0),"NO NAMED EXECUTOR",IF(AND(N(AF13)&gt;=3,AJ13=""),"Operating claimed with no sample",IF(AND(N(AF13)&gt;=3,Z13=1),"Operating rests on one individual",IF(AND(N(AF13)&gt;=3,AB13&lt;&gt;"Yes"),"Operating claimed below designed credential",IF(AND(R13="No",N(AF13)&lt;3),"HSSB GATE: below Operating",IF(AND(N(AF13)&gt;=3,AJ13&lt;&gt;"",AL13=""),"Sample size with no conforming count","OK"))))))))</f>
        <v>Not assessed</v>
      </c>
      <c r="AQ13" s="8"/>
      <c r="AR13" s="8"/>
      <c r="AS13" s="8"/>
    </row>
    <row r="14" customFormat="false" ht="22.35" hidden="false" customHeight="false" outlineLevel="0" collapsed="false">
      <c r="A14" s="6" t="s">
        <v>120</v>
      </c>
      <c r="B14" s="6" t="s">
        <v>109</v>
      </c>
      <c r="C14" s="6" t="s">
        <v>110</v>
      </c>
      <c r="D14" s="6" t="s">
        <v>111</v>
      </c>
      <c r="E14" s="6" t="s">
        <v>121</v>
      </c>
      <c r="F14" s="7"/>
      <c r="G14" s="6" t="s">
        <v>82</v>
      </c>
      <c r="H14" s="6"/>
      <c r="I14" s="6"/>
      <c r="J14" s="6"/>
      <c r="K14" s="6"/>
      <c r="L14" s="6" t="s">
        <v>83</v>
      </c>
      <c r="M14" s="6" t="s">
        <v>84</v>
      </c>
      <c r="N14" s="6"/>
      <c r="O14" s="6"/>
      <c r="P14" s="6"/>
      <c r="Q14" s="6"/>
      <c r="R14" s="6" t="s">
        <v>85</v>
      </c>
      <c r="S14" s="6" t="s">
        <v>113</v>
      </c>
      <c r="T14" s="6" t="s">
        <v>86</v>
      </c>
      <c r="U14" s="8"/>
      <c r="V14" s="8"/>
      <c r="W14" s="8"/>
      <c r="X14" s="8"/>
      <c r="Y14" s="9"/>
      <c r="Z14" s="9"/>
      <c r="AA14" s="9"/>
      <c r="AB14" s="9"/>
      <c r="AC14" s="10" t="str">
        <f aca="false">IF(Z14="","",IF(Z14=0,"Unassigned",IF(Z14=1,"Single point",IF(AB14="Yes","Staffed and credentialed","Staffed, credential gap"))))</f>
        <v/>
      </c>
      <c r="AD14" s="10" t="str">
        <f aca="false">IFERROR(INDEX(Lists!$H$3:$H$6,MATCH(AC14,Lists!$G$3:$G$6,0)),"")</f>
        <v/>
      </c>
      <c r="AE14" s="8"/>
      <c r="AF14" s="10" t="str">
        <f aca="false">IFERROR(INDEX(Lists!$B$3:$B$7,MATCH(AE14,Lists!$A$3:$A$7,0)),"")</f>
        <v/>
      </c>
      <c r="AG14" s="8"/>
      <c r="AH14" s="8"/>
      <c r="AI14" s="8"/>
      <c r="AJ14" s="8"/>
      <c r="AK14" s="8"/>
      <c r="AL14" s="8"/>
      <c r="AM14" s="11" t="str">
        <f aca="false">IF(OR(AJ14="",AJ14=0),"",AL14/AJ14)</f>
        <v/>
      </c>
      <c r="AN14" s="8"/>
      <c r="AO14" s="8"/>
      <c r="AP14" s="10" t="str">
        <f aca="false">IF(AN14="","Not assessed",IF(AND(R14="No",AN14="Gap - recommend tailoring"),"INVALID: HSSB is not tailorable",IF(OR(Z14="",Z14=0),"NO NAMED EXECUTOR",IF(AND(N(AF14)&gt;=3,AJ14=""),"Operating claimed with no sample",IF(AND(N(AF14)&gt;=3,Z14=1),"Operating rests on one individual",IF(AND(N(AF14)&gt;=3,AB14&lt;&gt;"Yes"),"Operating claimed below designed credential",IF(AND(R14="No",N(AF14)&lt;3),"HSSB GATE: below Operating",IF(AND(N(AF14)&gt;=3,AJ14&lt;&gt;"",AL14=""),"Sample size with no conforming count","OK"))))))))</f>
        <v>Not assessed</v>
      </c>
      <c r="AQ14" s="8"/>
      <c r="AR14" s="8"/>
      <c r="AS14" s="8"/>
    </row>
    <row r="15" customFormat="false" ht="22.35" hidden="false" customHeight="false" outlineLevel="0" collapsed="false">
      <c r="A15" s="6" t="s">
        <v>122</v>
      </c>
      <c r="B15" s="6" t="s">
        <v>109</v>
      </c>
      <c r="C15" s="6" t="s">
        <v>110</v>
      </c>
      <c r="D15" s="6" t="s">
        <v>111</v>
      </c>
      <c r="E15" s="6" t="s">
        <v>123</v>
      </c>
      <c r="F15" s="7"/>
      <c r="G15" s="6" t="s">
        <v>82</v>
      </c>
      <c r="H15" s="6"/>
      <c r="I15" s="6"/>
      <c r="J15" s="6"/>
      <c r="K15" s="6"/>
      <c r="L15" s="6" t="s">
        <v>83</v>
      </c>
      <c r="M15" s="6" t="s">
        <v>84</v>
      </c>
      <c r="N15" s="6"/>
      <c r="O15" s="6"/>
      <c r="P15" s="6"/>
      <c r="Q15" s="6"/>
      <c r="R15" s="6" t="s">
        <v>85</v>
      </c>
      <c r="S15" s="6" t="s">
        <v>113</v>
      </c>
      <c r="T15" s="6" t="s">
        <v>86</v>
      </c>
      <c r="U15" s="8"/>
      <c r="V15" s="8"/>
      <c r="W15" s="8"/>
      <c r="X15" s="8"/>
      <c r="Y15" s="9"/>
      <c r="Z15" s="9"/>
      <c r="AA15" s="9"/>
      <c r="AB15" s="9"/>
      <c r="AC15" s="10" t="str">
        <f aca="false">IF(Z15="","",IF(Z15=0,"Unassigned",IF(Z15=1,"Single point",IF(AB15="Yes","Staffed and credentialed","Staffed, credential gap"))))</f>
        <v/>
      </c>
      <c r="AD15" s="10" t="str">
        <f aca="false">IFERROR(INDEX(Lists!$H$3:$H$6,MATCH(AC15,Lists!$G$3:$G$6,0)),"")</f>
        <v/>
      </c>
      <c r="AE15" s="8"/>
      <c r="AF15" s="10" t="str">
        <f aca="false">IFERROR(INDEX(Lists!$B$3:$B$7,MATCH(AE15,Lists!$A$3:$A$7,0)),"")</f>
        <v/>
      </c>
      <c r="AG15" s="8"/>
      <c r="AH15" s="8"/>
      <c r="AI15" s="8"/>
      <c r="AJ15" s="8"/>
      <c r="AK15" s="8"/>
      <c r="AL15" s="8"/>
      <c r="AM15" s="11" t="str">
        <f aca="false">IF(OR(AJ15="",AJ15=0),"",AL15/AJ15)</f>
        <v/>
      </c>
      <c r="AN15" s="8"/>
      <c r="AO15" s="8"/>
      <c r="AP15" s="10" t="str">
        <f aca="false">IF(AN15="","Not assessed",IF(AND(R15="No",AN15="Gap - recommend tailoring"),"INVALID: HSSB is not tailorable",IF(OR(Z15="",Z15=0),"NO NAMED EXECUTOR",IF(AND(N(AF15)&gt;=3,AJ15=""),"Operating claimed with no sample",IF(AND(N(AF15)&gt;=3,Z15=1),"Operating rests on one individual",IF(AND(N(AF15)&gt;=3,AB15&lt;&gt;"Yes"),"Operating claimed below designed credential",IF(AND(R15="No",N(AF15)&lt;3),"HSSB GATE: below Operating",IF(AND(N(AF15)&gt;=3,AJ15&lt;&gt;"",AL15=""),"Sample size with no conforming count","OK"))))))))</f>
        <v>Not assessed</v>
      </c>
      <c r="AQ15" s="8"/>
      <c r="AR15" s="8"/>
      <c r="AS15" s="8"/>
    </row>
    <row r="16" customFormat="false" ht="22.35" hidden="false" customHeight="false" outlineLevel="0" collapsed="false">
      <c r="A16" s="6" t="s">
        <v>124</v>
      </c>
      <c r="B16" s="6" t="s">
        <v>109</v>
      </c>
      <c r="C16" s="6" t="s">
        <v>110</v>
      </c>
      <c r="D16" s="6" t="s">
        <v>111</v>
      </c>
      <c r="E16" s="6" t="s">
        <v>125</v>
      </c>
      <c r="F16" s="7"/>
      <c r="G16" s="6" t="s">
        <v>82</v>
      </c>
      <c r="H16" s="6"/>
      <c r="I16" s="6"/>
      <c r="J16" s="6"/>
      <c r="K16" s="6"/>
      <c r="L16" s="6" t="s">
        <v>83</v>
      </c>
      <c r="M16" s="6" t="s">
        <v>84</v>
      </c>
      <c r="N16" s="6"/>
      <c r="O16" s="6"/>
      <c r="P16" s="6"/>
      <c r="Q16" s="6"/>
      <c r="R16" s="6" t="s">
        <v>85</v>
      </c>
      <c r="S16" s="6" t="s">
        <v>113</v>
      </c>
      <c r="T16" s="6" t="s">
        <v>86</v>
      </c>
      <c r="U16" s="8"/>
      <c r="V16" s="8"/>
      <c r="W16" s="8"/>
      <c r="X16" s="8"/>
      <c r="Y16" s="9"/>
      <c r="Z16" s="9"/>
      <c r="AA16" s="9"/>
      <c r="AB16" s="9"/>
      <c r="AC16" s="10" t="str">
        <f aca="false">IF(Z16="","",IF(Z16=0,"Unassigned",IF(Z16=1,"Single point",IF(AB16="Yes","Staffed and credentialed","Staffed, credential gap"))))</f>
        <v/>
      </c>
      <c r="AD16" s="10" t="str">
        <f aca="false">IFERROR(INDEX(Lists!$H$3:$H$6,MATCH(AC16,Lists!$G$3:$G$6,0)),"")</f>
        <v/>
      </c>
      <c r="AE16" s="8"/>
      <c r="AF16" s="10" t="str">
        <f aca="false">IFERROR(INDEX(Lists!$B$3:$B$7,MATCH(AE16,Lists!$A$3:$A$7,0)),"")</f>
        <v/>
      </c>
      <c r="AG16" s="8"/>
      <c r="AH16" s="8"/>
      <c r="AI16" s="8"/>
      <c r="AJ16" s="8"/>
      <c r="AK16" s="8"/>
      <c r="AL16" s="8"/>
      <c r="AM16" s="11" t="str">
        <f aca="false">IF(OR(AJ16="",AJ16=0),"",AL16/AJ16)</f>
        <v/>
      </c>
      <c r="AN16" s="8"/>
      <c r="AO16" s="8"/>
      <c r="AP16" s="10" t="str">
        <f aca="false">IF(AN16="","Not assessed",IF(AND(R16="No",AN16="Gap - recommend tailoring"),"INVALID: HSSB is not tailorable",IF(OR(Z16="",Z16=0),"NO NAMED EXECUTOR",IF(AND(N(AF16)&gt;=3,AJ16=""),"Operating claimed with no sample",IF(AND(N(AF16)&gt;=3,Z16=1),"Operating rests on one individual",IF(AND(N(AF16)&gt;=3,AB16&lt;&gt;"Yes"),"Operating claimed below designed credential",IF(AND(R16="No",N(AF16)&lt;3),"HSSB GATE: below Operating",IF(AND(N(AF16)&gt;=3,AJ16&lt;&gt;"",AL16=""),"Sample size with no conforming count","OK"))))))))</f>
        <v>Not assessed</v>
      </c>
      <c r="AQ16" s="8"/>
      <c r="AR16" s="8"/>
      <c r="AS16" s="8"/>
    </row>
    <row r="17" customFormat="false" ht="22.35" hidden="false" customHeight="false" outlineLevel="0" collapsed="false">
      <c r="A17" s="6" t="s">
        <v>126</v>
      </c>
      <c r="B17" s="6" t="s">
        <v>109</v>
      </c>
      <c r="C17" s="6" t="s">
        <v>110</v>
      </c>
      <c r="D17" s="6" t="s">
        <v>111</v>
      </c>
      <c r="E17" s="6" t="s">
        <v>127</v>
      </c>
      <c r="F17" s="7"/>
      <c r="G17" s="6" t="s">
        <v>82</v>
      </c>
      <c r="H17" s="6"/>
      <c r="I17" s="6"/>
      <c r="J17" s="6"/>
      <c r="K17" s="6"/>
      <c r="L17" s="6" t="s">
        <v>83</v>
      </c>
      <c r="M17" s="6" t="s">
        <v>84</v>
      </c>
      <c r="N17" s="6"/>
      <c r="O17" s="6"/>
      <c r="P17" s="6"/>
      <c r="Q17" s="6"/>
      <c r="R17" s="6" t="s">
        <v>85</v>
      </c>
      <c r="S17" s="6" t="s">
        <v>113</v>
      </c>
      <c r="T17" s="6" t="s">
        <v>86</v>
      </c>
      <c r="U17" s="8"/>
      <c r="V17" s="8"/>
      <c r="W17" s="8"/>
      <c r="X17" s="8"/>
      <c r="Y17" s="9"/>
      <c r="Z17" s="9"/>
      <c r="AA17" s="9"/>
      <c r="AB17" s="9"/>
      <c r="AC17" s="10" t="str">
        <f aca="false">IF(Z17="","",IF(Z17=0,"Unassigned",IF(Z17=1,"Single point",IF(AB17="Yes","Staffed and credentialed","Staffed, credential gap"))))</f>
        <v/>
      </c>
      <c r="AD17" s="10" t="str">
        <f aca="false">IFERROR(INDEX(Lists!$H$3:$H$6,MATCH(AC17,Lists!$G$3:$G$6,0)),"")</f>
        <v/>
      </c>
      <c r="AE17" s="8"/>
      <c r="AF17" s="10" t="str">
        <f aca="false">IFERROR(INDEX(Lists!$B$3:$B$7,MATCH(AE17,Lists!$A$3:$A$7,0)),"")</f>
        <v/>
      </c>
      <c r="AG17" s="8"/>
      <c r="AH17" s="8"/>
      <c r="AI17" s="8"/>
      <c r="AJ17" s="8"/>
      <c r="AK17" s="8"/>
      <c r="AL17" s="8"/>
      <c r="AM17" s="11" t="str">
        <f aca="false">IF(OR(AJ17="",AJ17=0),"",AL17/AJ17)</f>
        <v/>
      </c>
      <c r="AN17" s="8"/>
      <c r="AO17" s="8"/>
      <c r="AP17" s="10" t="str">
        <f aca="false">IF(AN17="","Not assessed",IF(AND(R17="No",AN17="Gap - recommend tailoring"),"INVALID: HSSB is not tailorable",IF(OR(Z17="",Z17=0),"NO NAMED EXECUTOR",IF(AND(N(AF17)&gt;=3,AJ17=""),"Operating claimed with no sample",IF(AND(N(AF17)&gt;=3,Z17=1),"Operating rests on one individual",IF(AND(N(AF17)&gt;=3,AB17&lt;&gt;"Yes"),"Operating claimed below designed credential",IF(AND(R17="No",N(AF17)&lt;3),"HSSB GATE: below Operating",IF(AND(N(AF17)&gt;=3,AJ17&lt;&gt;"",AL17=""),"Sample size with no conforming count","OK"))))))))</f>
        <v>Not assessed</v>
      </c>
      <c r="AQ17" s="8"/>
      <c r="AR17" s="8"/>
      <c r="AS17" s="8"/>
    </row>
    <row r="18" customFormat="false" ht="22.35" hidden="false" customHeight="false" outlineLevel="0" collapsed="false">
      <c r="A18" s="6" t="s">
        <v>128</v>
      </c>
      <c r="B18" s="6" t="s">
        <v>109</v>
      </c>
      <c r="C18" s="6" t="s">
        <v>110</v>
      </c>
      <c r="D18" s="6" t="s">
        <v>111</v>
      </c>
      <c r="E18" s="6" t="s">
        <v>129</v>
      </c>
      <c r="F18" s="7"/>
      <c r="G18" s="6" t="s">
        <v>82</v>
      </c>
      <c r="H18" s="6"/>
      <c r="I18" s="6"/>
      <c r="J18" s="6"/>
      <c r="K18" s="6"/>
      <c r="L18" s="6" t="s">
        <v>83</v>
      </c>
      <c r="M18" s="6" t="s">
        <v>84</v>
      </c>
      <c r="N18" s="6"/>
      <c r="O18" s="6"/>
      <c r="P18" s="6"/>
      <c r="Q18" s="6"/>
      <c r="R18" s="6" t="s">
        <v>85</v>
      </c>
      <c r="S18" s="6" t="s">
        <v>113</v>
      </c>
      <c r="T18" s="6" t="s">
        <v>86</v>
      </c>
      <c r="U18" s="8"/>
      <c r="V18" s="8"/>
      <c r="W18" s="8"/>
      <c r="X18" s="8"/>
      <c r="Y18" s="9"/>
      <c r="Z18" s="9"/>
      <c r="AA18" s="9"/>
      <c r="AB18" s="9"/>
      <c r="AC18" s="10" t="str">
        <f aca="false">IF(Z18="","",IF(Z18=0,"Unassigned",IF(Z18=1,"Single point",IF(AB18="Yes","Staffed and credentialed","Staffed, credential gap"))))</f>
        <v/>
      </c>
      <c r="AD18" s="10" t="str">
        <f aca="false">IFERROR(INDEX(Lists!$H$3:$H$6,MATCH(AC18,Lists!$G$3:$G$6,0)),"")</f>
        <v/>
      </c>
      <c r="AE18" s="8"/>
      <c r="AF18" s="10" t="str">
        <f aca="false">IFERROR(INDEX(Lists!$B$3:$B$7,MATCH(AE18,Lists!$A$3:$A$7,0)),"")</f>
        <v/>
      </c>
      <c r="AG18" s="8"/>
      <c r="AH18" s="8"/>
      <c r="AI18" s="8"/>
      <c r="AJ18" s="8"/>
      <c r="AK18" s="8"/>
      <c r="AL18" s="8"/>
      <c r="AM18" s="11" t="str">
        <f aca="false">IF(OR(AJ18="",AJ18=0),"",AL18/AJ18)</f>
        <v/>
      </c>
      <c r="AN18" s="8"/>
      <c r="AO18" s="8"/>
      <c r="AP18" s="10" t="str">
        <f aca="false">IF(AN18="","Not assessed",IF(AND(R18="No",AN18="Gap - recommend tailoring"),"INVALID: HSSB is not tailorable",IF(OR(Z18="",Z18=0),"NO NAMED EXECUTOR",IF(AND(N(AF18)&gt;=3,AJ18=""),"Operating claimed with no sample",IF(AND(N(AF18)&gt;=3,Z18=1),"Operating rests on one individual",IF(AND(N(AF18)&gt;=3,AB18&lt;&gt;"Yes"),"Operating claimed below designed credential",IF(AND(R18="No",N(AF18)&lt;3),"HSSB GATE: below Operating",IF(AND(N(AF18)&gt;=3,AJ18&lt;&gt;"",AL18=""),"Sample size with no conforming count","OK"))))))))</f>
        <v>Not assessed</v>
      </c>
      <c r="AQ18" s="8"/>
      <c r="AR18" s="8"/>
      <c r="AS18" s="8"/>
    </row>
    <row r="19" customFormat="false" ht="22.35" hidden="false" customHeight="false" outlineLevel="0" collapsed="false">
      <c r="A19" s="6" t="s">
        <v>130</v>
      </c>
      <c r="B19" s="6" t="s">
        <v>109</v>
      </c>
      <c r="C19" s="6" t="s">
        <v>110</v>
      </c>
      <c r="D19" s="6" t="s">
        <v>111</v>
      </c>
      <c r="E19" s="6" t="s">
        <v>131</v>
      </c>
      <c r="F19" s="7"/>
      <c r="G19" s="6" t="s">
        <v>82</v>
      </c>
      <c r="H19" s="6"/>
      <c r="I19" s="6"/>
      <c r="J19" s="6"/>
      <c r="K19" s="6"/>
      <c r="L19" s="6" t="s">
        <v>83</v>
      </c>
      <c r="M19" s="6" t="s">
        <v>84</v>
      </c>
      <c r="N19" s="6"/>
      <c r="O19" s="6"/>
      <c r="P19" s="6"/>
      <c r="Q19" s="6"/>
      <c r="R19" s="6" t="s">
        <v>85</v>
      </c>
      <c r="S19" s="6" t="s">
        <v>113</v>
      </c>
      <c r="T19" s="6" t="s">
        <v>86</v>
      </c>
      <c r="U19" s="8"/>
      <c r="V19" s="8"/>
      <c r="W19" s="8"/>
      <c r="X19" s="8"/>
      <c r="Y19" s="9"/>
      <c r="Z19" s="9"/>
      <c r="AA19" s="9"/>
      <c r="AB19" s="9"/>
      <c r="AC19" s="10" t="str">
        <f aca="false">IF(Z19="","",IF(Z19=0,"Unassigned",IF(Z19=1,"Single point",IF(AB19="Yes","Staffed and credentialed","Staffed, credential gap"))))</f>
        <v/>
      </c>
      <c r="AD19" s="10" t="str">
        <f aca="false">IFERROR(INDEX(Lists!$H$3:$H$6,MATCH(AC19,Lists!$G$3:$G$6,0)),"")</f>
        <v/>
      </c>
      <c r="AE19" s="8"/>
      <c r="AF19" s="10" t="str">
        <f aca="false">IFERROR(INDEX(Lists!$B$3:$B$7,MATCH(AE19,Lists!$A$3:$A$7,0)),"")</f>
        <v/>
      </c>
      <c r="AG19" s="8"/>
      <c r="AH19" s="8"/>
      <c r="AI19" s="8"/>
      <c r="AJ19" s="8"/>
      <c r="AK19" s="8"/>
      <c r="AL19" s="8"/>
      <c r="AM19" s="11" t="str">
        <f aca="false">IF(OR(AJ19="",AJ19=0),"",AL19/AJ19)</f>
        <v/>
      </c>
      <c r="AN19" s="8"/>
      <c r="AO19" s="8"/>
      <c r="AP19" s="10" t="str">
        <f aca="false">IF(AN19="","Not assessed",IF(AND(R19="No",AN19="Gap - recommend tailoring"),"INVALID: HSSB is not tailorable",IF(OR(Z19="",Z19=0),"NO NAMED EXECUTOR",IF(AND(N(AF19)&gt;=3,AJ19=""),"Operating claimed with no sample",IF(AND(N(AF19)&gt;=3,Z19=1),"Operating rests on one individual",IF(AND(N(AF19)&gt;=3,AB19&lt;&gt;"Yes"),"Operating claimed below designed credential",IF(AND(R19="No",N(AF19)&lt;3),"HSSB GATE: below Operating",IF(AND(N(AF19)&gt;=3,AJ19&lt;&gt;"",AL19=""),"Sample size with no conforming count","OK"))))))))</f>
        <v>Not assessed</v>
      </c>
      <c r="AQ19" s="8"/>
      <c r="AR19" s="8"/>
      <c r="AS19" s="8"/>
    </row>
    <row r="20" customFormat="false" ht="22.35" hidden="false" customHeight="false" outlineLevel="0" collapsed="false">
      <c r="A20" s="6" t="s">
        <v>132</v>
      </c>
      <c r="B20" s="6" t="s">
        <v>109</v>
      </c>
      <c r="C20" s="6" t="s">
        <v>110</v>
      </c>
      <c r="D20" s="6" t="s">
        <v>111</v>
      </c>
      <c r="E20" s="6" t="s">
        <v>133</v>
      </c>
      <c r="F20" s="7"/>
      <c r="G20" s="6" t="s">
        <v>82</v>
      </c>
      <c r="H20" s="6"/>
      <c r="I20" s="6"/>
      <c r="J20" s="6"/>
      <c r="K20" s="6"/>
      <c r="L20" s="6" t="s">
        <v>83</v>
      </c>
      <c r="M20" s="6" t="s">
        <v>84</v>
      </c>
      <c r="N20" s="6"/>
      <c r="O20" s="6"/>
      <c r="P20" s="6"/>
      <c r="Q20" s="6"/>
      <c r="R20" s="6" t="s">
        <v>85</v>
      </c>
      <c r="S20" s="6" t="s">
        <v>113</v>
      </c>
      <c r="T20" s="6" t="s">
        <v>86</v>
      </c>
      <c r="U20" s="8"/>
      <c r="V20" s="8"/>
      <c r="W20" s="8"/>
      <c r="X20" s="8"/>
      <c r="Y20" s="9"/>
      <c r="Z20" s="9"/>
      <c r="AA20" s="9"/>
      <c r="AB20" s="9"/>
      <c r="AC20" s="10" t="str">
        <f aca="false">IF(Z20="","",IF(Z20=0,"Unassigned",IF(Z20=1,"Single point",IF(AB20="Yes","Staffed and credentialed","Staffed, credential gap"))))</f>
        <v/>
      </c>
      <c r="AD20" s="10" t="str">
        <f aca="false">IFERROR(INDEX(Lists!$H$3:$H$6,MATCH(AC20,Lists!$G$3:$G$6,0)),"")</f>
        <v/>
      </c>
      <c r="AE20" s="8"/>
      <c r="AF20" s="10" t="str">
        <f aca="false">IFERROR(INDEX(Lists!$B$3:$B$7,MATCH(AE20,Lists!$A$3:$A$7,0)),"")</f>
        <v/>
      </c>
      <c r="AG20" s="8"/>
      <c r="AH20" s="8"/>
      <c r="AI20" s="8"/>
      <c r="AJ20" s="8"/>
      <c r="AK20" s="8"/>
      <c r="AL20" s="8"/>
      <c r="AM20" s="11" t="str">
        <f aca="false">IF(OR(AJ20="",AJ20=0),"",AL20/AJ20)</f>
        <v/>
      </c>
      <c r="AN20" s="8"/>
      <c r="AO20" s="8"/>
      <c r="AP20" s="10" t="str">
        <f aca="false">IF(AN20="","Not assessed",IF(AND(R20="No",AN20="Gap - recommend tailoring"),"INVALID: HSSB is not tailorable",IF(OR(Z20="",Z20=0),"NO NAMED EXECUTOR",IF(AND(N(AF20)&gt;=3,AJ20=""),"Operating claimed with no sample",IF(AND(N(AF20)&gt;=3,Z20=1),"Operating rests on one individual",IF(AND(N(AF20)&gt;=3,AB20&lt;&gt;"Yes"),"Operating claimed below designed credential",IF(AND(R20="No",N(AF20)&lt;3),"HSSB GATE: below Operating",IF(AND(N(AF20)&gt;=3,AJ20&lt;&gt;"",AL20=""),"Sample size with no conforming count","OK"))))))))</f>
        <v>Not assessed</v>
      </c>
      <c r="AQ20" s="8"/>
      <c r="AR20" s="8"/>
      <c r="AS20" s="8"/>
    </row>
    <row r="21" customFormat="false" ht="22.35" hidden="false" customHeight="false" outlineLevel="0" collapsed="false">
      <c r="A21" s="6" t="s">
        <v>134</v>
      </c>
      <c r="B21" s="6" t="s">
        <v>109</v>
      </c>
      <c r="C21" s="6" t="s">
        <v>135</v>
      </c>
      <c r="D21" s="6" t="s">
        <v>136</v>
      </c>
      <c r="E21" s="6" t="s">
        <v>81</v>
      </c>
      <c r="F21" s="7"/>
      <c r="G21" s="6" t="s">
        <v>82</v>
      </c>
      <c r="H21" s="6"/>
      <c r="I21" s="6"/>
      <c r="J21" s="6"/>
      <c r="K21" s="6"/>
      <c r="L21" s="6" t="s">
        <v>83</v>
      </c>
      <c r="M21" s="6" t="s">
        <v>84</v>
      </c>
      <c r="N21" s="6"/>
      <c r="O21" s="6"/>
      <c r="P21" s="6"/>
      <c r="Q21" s="6"/>
      <c r="R21" s="6" t="s">
        <v>85</v>
      </c>
      <c r="S21" s="6"/>
      <c r="T21" s="6" t="s">
        <v>86</v>
      </c>
      <c r="U21" s="8"/>
      <c r="V21" s="8"/>
      <c r="W21" s="8"/>
      <c r="X21" s="8"/>
      <c r="Y21" s="9"/>
      <c r="Z21" s="9"/>
      <c r="AA21" s="9"/>
      <c r="AB21" s="9"/>
      <c r="AC21" s="10" t="str">
        <f aca="false">IF(Z21="","",IF(Z21=0,"Unassigned",IF(Z21=1,"Single point",IF(AB21="Yes","Staffed and credentialed","Staffed, credential gap"))))</f>
        <v/>
      </c>
      <c r="AD21" s="10" t="str">
        <f aca="false">IFERROR(INDEX(Lists!$H$3:$H$6,MATCH(AC21,Lists!$G$3:$G$6,0)),"")</f>
        <v/>
      </c>
      <c r="AE21" s="8"/>
      <c r="AF21" s="10" t="str">
        <f aca="false">IFERROR(INDEX(Lists!$B$3:$B$7,MATCH(AE21,Lists!$A$3:$A$7,0)),"")</f>
        <v/>
      </c>
      <c r="AG21" s="8"/>
      <c r="AH21" s="8"/>
      <c r="AI21" s="8"/>
      <c r="AJ21" s="8"/>
      <c r="AK21" s="8"/>
      <c r="AL21" s="8"/>
      <c r="AM21" s="11" t="str">
        <f aca="false">IF(OR(AJ21="",AJ21=0),"",AL21/AJ21)</f>
        <v/>
      </c>
      <c r="AN21" s="8"/>
      <c r="AO21" s="8"/>
      <c r="AP21" s="10" t="str">
        <f aca="false">IF(AN21="","Not assessed",IF(AND(R21="No",AN21="Gap - recommend tailoring"),"INVALID: HSSB is not tailorable",IF(OR(Z21="",Z21=0),"NO NAMED EXECUTOR",IF(AND(N(AF21)&gt;=3,AJ21=""),"Operating claimed with no sample",IF(AND(N(AF21)&gt;=3,Z21=1),"Operating rests on one individual",IF(AND(N(AF21)&gt;=3,AB21&lt;&gt;"Yes"),"Operating claimed below designed credential",IF(AND(R21="No",N(AF21)&lt;3),"HSSB GATE: below Operating",IF(AND(N(AF21)&gt;=3,AJ21&lt;&gt;"",AL21=""),"Sample size with no conforming count","OK"))))))))</f>
        <v>Not assessed</v>
      </c>
      <c r="AQ21" s="8"/>
      <c r="AR21" s="8"/>
      <c r="AS21" s="8"/>
    </row>
    <row r="22" customFormat="false" ht="22.35" hidden="false" customHeight="false" outlineLevel="0" collapsed="false">
      <c r="A22" s="6" t="s">
        <v>137</v>
      </c>
      <c r="B22" s="6" t="s">
        <v>109</v>
      </c>
      <c r="C22" s="6" t="s">
        <v>135</v>
      </c>
      <c r="D22" s="6" t="s">
        <v>136</v>
      </c>
      <c r="E22" s="6" t="s">
        <v>88</v>
      </c>
      <c r="F22" s="7"/>
      <c r="G22" s="6" t="s">
        <v>82</v>
      </c>
      <c r="H22" s="6"/>
      <c r="I22" s="6"/>
      <c r="J22" s="6"/>
      <c r="K22" s="6"/>
      <c r="L22" s="6" t="s">
        <v>83</v>
      </c>
      <c r="M22" s="6" t="s">
        <v>84</v>
      </c>
      <c r="N22" s="6"/>
      <c r="O22" s="6"/>
      <c r="P22" s="6"/>
      <c r="Q22" s="6"/>
      <c r="R22" s="6" t="s">
        <v>85</v>
      </c>
      <c r="S22" s="6"/>
      <c r="T22" s="6" t="s">
        <v>86</v>
      </c>
      <c r="U22" s="8"/>
      <c r="V22" s="8"/>
      <c r="W22" s="8"/>
      <c r="X22" s="8"/>
      <c r="Y22" s="9"/>
      <c r="Z22" s="9"/>
      <c r="AA22" s="9"/>
      <c r="AB22" s="9"/>
      <c r="AC22" s="10" t="str">
        <f aca="false">IF(Z22="","",IF(Z22=0,"Unassigned",IF(Z22=1,"Single point",IF(AB22="Yes","Staffed and credentialed","Staffed, credential gap"))))</f>
        <v/>
      </c>
      <c r="AD22" s="10" t="str">
        <f aca="false">IFERROR(INDEX(Lists!$H$3:$H$6,MATCH(AC22,Lists!$G$3:$G$6,0)),"")</f>
        <v/>
      </c>
      <c r="AE22" s="8"/>
      <c r="AF22" s="10" t="str">
        <f aca="false">IFERROR(INDEX(Lists!$B$3:$B$7,MATCH(AE22,Lists!$A$3:$A$7,0)),"")</f>
        <v/>
      </c>
      <c r="AG22" s="8"/>
      <c r="AH22" s="8"/>
      <c r="AI22" s="8"/>
      <c r="AJ22" s="8"/>
      <c r="AK22" s="8"/>
      <c r="AL22" s="8"/>
      <c r="AM22" s="11" t="str">
        <f aca="false">IF(OR(AJ22="",AJ22=0),"",AL22/AJ22)</f>
        <v/>
      </c>
      <c r="AN22" s="8"/>
      <c r="AO22" s="8"/>
      <c r="AP22" s="10" t="str">
        <f aca="false">IF(AN22="","Not assessed",IF(AND(R22="No",AN22="Gap - recommend tailoring"),"INVALID: HSSB is not tailorable",IF(OR(Z22="",Z22=0),"NO NAMED EXECUTOR",IF(AND(N(AF22)&gt;=3,AJ22=""),"Operating claimed with no sample",IF(AND(N(AF22)&gt;=3,Z22=1),"Operating rests on one individual",IF(AND(N(AF22)&gt;=3,AB22&lt;&gt;"Yes"),"Operating claimed below designed credential",IF(AND(R22="No",N(AF22)&lt;3),"HSSB GATE: below Operating",IF(AND(N(AF22)&gt;=3,AJ22&lt;&gt;"",AL22=""),"Sample size with no conforming count","OK"))))))))</f>
        <v>Not assessed</v>
      </c>
      <c r="AQ22" s="8"/>
      <c r="AR22" s="8"/>
      <c r="AS22" s="8"/>
    </row>
    <row r="23" customFormat="false" ht="22.35" hidden="false" customHeight="false" outlineLevel="0" collapsed="false">
      <c r="A23" s="6" t="s">
        <v>138</v>
      </c>
      <c r="B23" s="6" t="s">
        <v>109</v>
      </c>
      <c r="C23" s="6" t="s">
        <v>139</v>
      </c>
      <c r="D23" s="6" t="s">
        <v>140</v>
      </c>
      <c r="E23" s="6" t="s">
        <v>81</v>
      </c>
      <c r="F23" s="7"/>
      <c r="G23" s="6" t="s">
        <v>82</v>
      </c>
      <c r="H23" s="6"/>
      <c r="I23" s="6"/>
      <c r="J23" s="6"/>
      <c r="K23" s="6"/>
      <c r="L23" s="6" t="s">
        <v>83</v>
      </c>
      <c r="M23" s="6" t="s">
        <v>84</v>
      </c>
      <c r="N23" s="6"/>
      <c r="O23" s="6"/>
      <c r="P23" s="6"/>
      <c r="Q23" s="6"/>
      <c r="R23" s="6" t="s">
        <v>85</v>
      </c>
      <c r="S23" s="6" t="s">
        <v>141</v>
      </c>
      <c r="T23" s="6" t="s">
        <v>86</v>
      </c>
      <c r="U23" s="8"/>
      <c r="V23" s="8"/>
      <c r="W23" s="8"/>
      <c r="X23" s="8"/>
      <c r="Y23" s="9"/>
      <c r="Z23" s="9"/>
      <c r="AA23" s="9"/>
      <c r="AB23" s="9"/>
      <c r="AC23" s="10" t="str">
        <f aca="false">IF(Z23="","",IF(Z23=0,"Unassigned",IF(Z23=1,"Single point",IF(AB23="Yes","Staffed and credentialed","Staffed, credential gap"))))</f>
        <v/>
      </c>
      <c r="AD23" s="10" t="str">
        <f aca="false">IFERROR(INDEX(Lists!$H$3:$H$6,MATCH(AC23,Lists!$G$3:$G$6,0)),"")</f>
        <v/>
      </c>
      <c r="AE23" s="8"/>
      <c r="AF23" s="10" t="str">
        <f aca="false">IFERROR(INDEX(Lists!$B$3:$B$7,MATCH(AE23,Lists!$A$3:$A$7,0)),"")</f>
        <v/>
      </c>
      <c r="AG23" s="8"/>
      <c r="AH23" s="8"/>
      <c r="AI23" s="8"/>
      <c r="AJ23" s="8"/>
      <c r="AK23" s="8"/>
      <c r="AL23" s="8"/>
      <c r="AM23" s="11" t="str">
        <f aca="false">IF(OR(AJ23="",AJ23=0),"",AL23/AJ23)</f>
        <v/>
      </c>
      <c r="AN23" s="8"/>
      <c r="AO23" s="8"/>
      <c r="AP23" s="10" t="str">
        <f aca="false">IF(AN23="","Not assessed",IF(AND(R23="No",AN23="Gap - recommend tailoring"),"INVALID: HSSB is not tailorable",IF(OR(Z23="",Z23=0),"NO NAMED EXECUTOR",IF(AND(N(AF23)&gt;=3,AJ23=""),"Operating claimed with no sample",IF(AND(N(AF23)&gt;=3,Z23=1),"Operating rests on one individual",IF(AND(N(AF23)&gt;=3,AB23&lt;&gt;"Yes"),"Operating claimed below designed credential",IF(AND(R23="No",N(AF23)&lt;3),"HSSB GATE: below Operating",IF(AND(N(AF23)&gt;=3,AJ23&lt;&gt;"",AL23=""),"Sample size with no conforming count","OK"))))))))</f>
        <v>Not assessed</v>
      </c>
      <c r="AQ23" s="8"/>
      <c r="AR23" s="8"/>
      <c r="AS23" s="8"/>
    </row>
    <row r="24" customFormat="false" ht="22.35" hidden="false" customHeight="false" outlineLevel="0" collapsed="false">
      <c r="A24" s="6" t="s">
        <v>142</v>
      </c>
      <c r="B24" s="6" t="s">
        <v>109</v>
      </c>
      <c r="C24" s="6" t="s">
        <v>143</v>
      </c>
      <c r="D24" s="6" t="s">
        <v>144</v>
      </c>
      <c r="E24" s="6" t="s">
        <v>81</v>
      </c>
      <c r="F24" s="7"/>
      <c r="G24" s="6" t="s">
        <v>82</v>
      </c>
      <c r="H24" s="6"/>
      <c r="I24" s="6"/>
      <c r="J24" s="6"/>
      <c r="K24" s="6"/>
      <c r="L24" s="6" t="s">
        <v>83</v>
      </c>
      <c r="M24" s="6" t="s">
        <v>84</v>
      </c>
      <c r="N24" s="6"/>
      <c r="O24" s="6"/>
      <c r="P24" s="6"/>
      <c r="Q24" s="6"/>
      <c r="R24" s="6" t="s">
        <v>85</v>
      </c>
      <c r="S24" s="6"/>
      <c r="T24" s="6" t="s">
        <v>86</v>
      </c>
      <c r="U24" s="8"/>
      <c r="V24" s="8"/>
      <c r="W24" s="8"/>
      <c r="X24" s="8"/>
      <c r="Y24" s="9"/>
      <c r="Z24" s="9"/>
      <c r="AA24" s="9"/>
      <c r="AB24" s="9"/>
      <c r="AC24" s="10" t="str">
        <f aca="false">IF(Z24="","",IF(Z24=0,"Unassigned",IF(Z24=1,"Single point",IF(AB24="Yes","Staffed and credentialed","Staffed, credential gap"))))</f>
        <v/>
      </c>
      <c r="AD24" s="10" t="str">
        <f aca="false">IFERROR(INDEX(Lists!$H$3:$H$6,MATCH(AC24,Lists!$G$3:$G$6,0)),"")</f>
        <v/>
      </c>
      <c r="AE24" s="8"/>
      <c r="AF24" s="10" t="str">
        <f aca="false">IFERROR(INDEX(Lists!$B$3:$B$7,MATCH(AE24,Lists!$A$3:$A$7,0)),"")</f>
        <v/>
      </c>
      <c r="AG24" s="8"/>
      <c r="AH24" s="8"/>
      <c r="AI24" s="8"/>
      <c r="AJ24" s="8"/>
      <c r="AK24" s="8"/>
      <c r="AL24" s="8"/>
      <c r="AM24" s="11" t="str">
        <f aca="false">IF(OR(AJ24="",AJ24=0),"",AL24/AJ24)</f>
        <v/>
      </c>
      <c r="AN24" s="8"/>
      <c r="AO24" s="8"/>
      <c r="AP24" s="10" t="str">
        <f aca="false">IF(AN24="","Not assessed",IF(AND(R24="No",AN24="Gap - recommend tailoring"),"INVALID: HSSB is not tailorable",IF(OR(Z24="",Z24=0),"NO NAMED EXECUTOR",IF(AND(N(AF24)&gt;=3,AJ24=""),"Operating claimed with no sample",IF(AND(N(AF24)&gt;=3,Z24=1),"Operating rests on one individual",IF(AND(N(AF24)&gt;=3,AB24&lt;&gt;"Yes"),"Operating claimed below designed credential",IF(AND(R24="No",N(AF24)&lt;3),"HSSB GATE: below Operating",IF(AND(N(AF24)&gt;=3,AJ24&lt;&gt;"",AL24=""),"Sample size with no conforming count","OK"))))))))</f>
        <v>Not assessed</v>
      </c>
      <c r="AQ24" s="8"/>
      <c r="AR24" s="8"/>
      <c r="AS24" s="8"/>
    </row>
    <row r="25" customFormat="false" ht="22.35" hidden="false" customHeight="false" outlineLevel="0" collapsed="false">
      <c r="A25" s="6" t="s">
        <v>145</v>
      </c>
      <c r="B25" s="6" t="s">
        <v>109</v>
      </c>
      <c r="C25" s="6" t="s">
        <v>146</v>
      </c>
      <c r="D25" s="6" t="s">
        <v>147</v>
      </c>
      <c r="E25" s="6" t="s">
        <v>81</v>
      </c>
      <c r="F25" s="7"/>
      <c r="G25" s="6" t="s">
        <v>82</v>
      </c>
      <c r="H25" s="6"/>
      <c r="I25" s="6"/>
      <c r="J25" s="6"/>
      <c r="K25" s="6"/>
      <c r="L25" s="6" t="s">
        <v>83</v>
      </c>
      <c r="M25" s="6" t="s">
        <v>84</v>
      </c>
      <c r="N25" s="6"/>
      <c r="O25" s="6"/>
      <c r="P25" s="6"/>
      <c r="Q25" s="6"/>
      <c r="R25" s="6" t="s">
        <v>85</v>
      </c>
      <c r="S25" s="6"/>
      <c r="T25" s="6" t="s">
        <v>86</v>
      </c>
      <c r="U25" s="8"/>
      <c r="V25" s="8"/>
      <c r="W25" s="8"/>
      <c r="X25" s="8"/>
      <c r="Y25" s="9"/>
      <c r="Z25" s="9"/>
      <c r="AA25" s="9"/>
      <c r="AB25" s="9"/>
      <c r="AC25" s="10" t="str">
        <f aca="false">IF(Z25="","",IF(Z25=0,"Unassigned",IF(Z25=1,"Single point",IF(AB25="Yes","Staffed and credentialed","Staffed, credential gap"))))</f>
        <v/>
      </c>
      <c r="AD25" s="10" t="str">
        <f aca="false">IFERROR(INDEX(Lists!$H$3:$H$6,MATCH(AC25,Lists!$G$3:$G$6,0)),"")</f>
        <v/>
      </c>
      <c r="AE25" s="8"/>
      <c r="AF25" s="10" t="str">
        <f aca="false">IFERROR(INDEX(Lists!$B$3:$B$7,MATCH(AE25,Lists!$A$3:$A$7,0)),"")</f>
        <v/>
      </c>
      <c r="AG25" s="8"/>
      <c r="AH25" s="8"/>
      <c r="AI25" s="8"/>
      <c r="AJ25" s="8"/>
      <c r="AK25" s="8"/>
      <c r="AL25" s="8"/>
      <c r="AM25" s="11" t="str">
        <f aca="false">IF(OR(AJ25="",AJ25=0),"",AL25/AJ25)</f>
        <v/>
      </c>
      <c r="AN25" s="8"/>
      <c r="AO25" s="8"/>
      <c r="AP25" s="10" t="str">
        <f aca="false">IF(AN25="","Not assessed",IF(AND(R25="No",AN25="Gap - recommend tailoring"),"INVALID: HSSB is not tailorable",IF(OR(Z25="",Z25=0),"NO NAMED EXECUTOR",IF(AND(N(AF25)&gt;=3,AJ25=""),"Operating claimed with no sample",IF(AND(N(AF25)&gt;=3,Z25=1),"Operating rests on one individual",IF(AND(N(AF25)&gt;=3,AB25&lt;&gt;"Yes"),"Operating claimed below designed credential",IF(AND(R25="No",N(AF25)&lt;3),"HSSB GATE: below Operating",IF(AND(N(AF25)&gt;=3,AJ25&lt;&gt;"",AL25=""),"Sample size with no conforming count","OK"))))))))</f>
        <v>Not assessed</v>
      </c>
      <c r="AQ25" s="8"/>
      <c r="AR25" s="8"/>
      <c r="AS25" s="8"/>
    </row>
    <row r="26" customFormat="false" ht="22.35" hidden="false" customHeight="false" outlineLevel="0" collapsed="false">
      <c r="A26" s="6" t="s">
        <v>148</v>
      </c>
      <c r="B26" s="6" t="s">
        <v>109</v>
      </c>
      <c r="C26" s="6" t="s">
        <v>146</v>
      </c>
      <c r="D26" s="6" t="s">
        <v>147</v>
      </c>
      <c r="E26" s="6" t="s">
        <v>88</v>
      </c>
      <c r="F26" s="7"/>
      <c r="G26" s="6" t="s">
        <v>82</v>
      </c>
      <c r="H26" s="6"/>
      <c r="I26" s="6"/>
      <c r="J26" s="6"/>
      <c r="K26" s="6"/>
      <c r="L26" s="6" t="s">
        <v>83</v>
      </c>
      <c r="M26" s="6" t="s">
        <v>84</v>
      </c>
      <c r="N26" s="6"/>
      <c r="O26" s="6"/>
      <c r="P26" s="6"/>
      <c r="Q26" s="6"/>
      <c r="R26" s="6" t="s">
        <v>85</v>
      </c>
      <c r="S26" s="6"/>
      <c r="T26" s="6" t="s">
        <v>86</v>
      </c>
      <c r="U26" s="8"/>
      <c r="V26" s="8"/>
      <c r="W26" s="8"/>
      <c r="X26" s="8"/>
      <c r="Y26" s="9"/>
      <c r="Z26" s="9"/>
      <c r="AA26" s="9"/>
      <c r="AB26" s="9"/>
      <c r="AC26" s="10" t="str">
        <f aca="false">IF(Z26="","",IF(Z26=0,"Unassigned",IF(Z26=1,"Single point",IF(AB26="Yes","Staffed and credentialed","Staffed, credential gap"))))</f>
        <v/>
      </c>
      <c r="AD26" s="10" t="str">
        <f aca="false">IFERROR(INDEX(Lists!$H$3:$H$6,MATCH(AC26,Lists!$G$3:$G$6,0)),"")</f>
        <v/>
      </c>
      <c r="AE26" s="8"/>
      <c r="AF26" s="10" t="str">
        <f aca="false">IFERROR(INDEX(Lists!$B$3:$B$7,MATCH(AE26,Lists!$A$3:$A$7,0)),"")</f>
        <v/>
      </c>
      <c r="AG26" s="8"/>
      <c r="AH26" s="8"/>
      <c r="AI26" s="8"/>
      <c r="AJ26" s="8"/>
      <c r="AK26" s="8"/>
      <c r="AL26" s="8"/>
      <c r="AM26" s="11" t="str">
        <f aca="false">IF(OR(AJ26="",AJ26=0),"",AL26/AJ26)</f>
        <v/>
      </c>
      <c r="AN26" s="8"/>
      <c r="AO26" s="8"/>
      <c r="AP26" s="10" t="str">
        <f aca="false">IF(AN26="","Not assessed",IF(AND(R26="No",AN26="Gap - recommend tailoring"),"INVALID: HSSB is not tailorable",IF(OR(Z26="",Z26=0),"NO NAMED EXECUTOR",IF(AND(N(AF26)&gt;=3,AJ26=""),"Operating claimed with no sample",IF(AND(N(AF26)&gt;=3,Z26=1),"Operating rests on one individual",IF(AND(N(AF26)&gt;=3,AB26&lt;&gt;"Yes"),"Operating claimed below designed credential",IF(AND(R26="No",N(AF26)&lt;3),"HSSB GATE: below Operating",IF(AND(N(AF26)&gt;=3,AJ26&lt;&gt;"",AL26=""),"Sample size with no conforming count","OK"))))))))</f>
        <v>Not assessed</v>
      </c>
      <c r="AQ26" s="8"/>
      <c r="AR26" s="8"/>
      <c r="AS26" s="8"/>
    </row>
    <row r="27" customFormat="false" ht="22.35" hidden="false" customHeight="false" outlineLevel="0" collapsed="false">
      <c r="A27" s="6" t="s">
        <v>149</v>
      </c>
      <c r="B27" s="6" t="s">
        <v>150</v>
      </c>
      <c r="C27" s="6" t="s">
        <v>151</v>
      </c>
      <c r="D27" s="6" t="s">
        <v>152</v>
      </c>
      <c r="E27" s="6" t="s">
        <v>81</v>
      </c>
      <c r="F27" s="7"/>
      <c r="G27" s="6" t="s">
        <v>82</v>
      </c>
      <c r="H27" s="6"/>
      <c r="I27" s="6"/>
      <c r="J27" s="6"/>
      <c r="K27" s="6"/>
      <c r="L27" s="6" t="s">
        <v>83</v>
      </c>
      <c r="M27" s="6" t="s">
        <v>84</v>
      </c>
      <c r="N27" s="6"/>
      <c r="O27" s="6"/>
      <c r="P27" s="6"/>
      <c r="Q27" s="6"/>
      <c r="R27" s="6" t="s">
        <v>85</v>
      </c>
      <c r="S27" s="6" t="s">
        <v>153</v>
      </c>
      <c r="T27" s="6" t="s">
        <v>154</v>
      </c>
      <c r="U27" s="8"/>
      <c r="V27" s="8"/>
      <c r="W27" s="8"/>
      <c r="X27" s="8"/>
      <c r="Y27" s="9"/>
      <c r="Z27" s="9"/>
      <c r="AA27" s="9"/>
      <c r="AB27" s="9"/>
      <c r="AC27" s="10" t="str">
        <f aca="false">IF(Z27="","",IF(Z27=0,"Unassigned",IF(Z27=1,"Single point",IF(AB27="Yes","Staffed and credentialed","Staffed, credential gap"))))</f>
        <v/>
      </c>
      <c r="AD27" s="10" t="str">
        <f aca="false">IFERROR(INDEX(Lists!$H$3:$H$6,MATCH(AC27,Lists!$G$3:$G$6,0)),"")</f>
        <v/>
      </c>
      <c r="AE27" s="8"/>
      <c r="AF27" s="10" t="str">
        <f aca="false">IFERROR(INDEX(Lists!$B$3:$B$7,MATCH(AE27,Lists!$A$3:$A$7,0)),"")</f>
        <v/>
      </c>
      <c r="AG27" s="8"/>
      <c r="AH27" s="8"/>
      <c r="AI27" s="8"/>
      <c r="AJ27" s="8"/>
      <c r="AK27" s="8"/>
      <c r="AL27" s="8"/>
      <c r="AM27" s="11" t="str">
        <f aca="false">IF(OR(AJ27="",AJ27=0),"",AL27/AJ27)</f>
        <v/>
      </c>
      <c r="AN27" s="8"/>
      <c r="AO27" s="8"/>
      <c r="AP27" s="10" t="str">
        <f aca="false">IF(AN27="","Not assessed",IF(AND(R27="No",AN27="Gap - recommend tailoring"),"INVALID: HSSB is not tailorable",IF(OR(Z27="",Z27=0),"NO NAMED EXECUTOR",IF(AND(N(AF27)&gt;=3,AJ27=""),"Operating claimed with no sample",IF(AND(N(AF27)&gt;=3,Z27=1),"Operating rests on one individual",IF(AND(N(AF27)&gt;=3,AB27&lt;&gt;"Yes"),"Operating claimed below designed credential",IF(AND(R27="No",N(AF27)&lt;3),"HSSB GATE: below Operating",IF(AND(N(AF27)&gt;=3,AJ27&lt;&gt;"",AL27=""),"Sample size with no conforming count","OK"))))))))</f>
        <v>Not assessed</v>
      </c>
      <c r="AQ27" s="8"/>
      <c r="AR27" s="8"/>
      <c r="AS27" s="8"/>
    </row>
    <row r="28" customFormat="false" ht="22.35" hidden="false" customHeight="false" outlineLevel="0" collapsed="false">
      <c r="A28" s="6" t="s">
        <v>155</v>
      </c>
      <c r="B28" s="6" t="s">
        <v>150</v>
      </c>
      <c r="C28" s="6" t="s">
        <v>151</v>
      </c>
      <c r="D28" s="6" t="s">
        <v>152</v>
      </c>
      <c r="E28" s="6" t="s">
        <v>156</v>
      </c>
      <c r="F28" s="7"/>
      <c r="G28" s="6" t="s">
        <v>82</v>
      </c>
      <c r="H28" s="6"/>
      <c r="I28" s="6"/>
      <c r="J28" s="6"/>
      <c r="K28" s="6"/>
      <c r="L28" s="6" t="s">
        <v>83</v>
      </c>
      <c r="M28" s="6" t="s">
        <v>84</v>
      </c>
      <c r="N28" s="6"/>
      <c r="O28" s="6"/>
      <c r="P28" s="6"/>
      <c r="Q28" s="6"/>
      <c r="R28" s="6" t="s">
        <v>85</v>
      </c>
      <c r="S28" s="6" t="s">
        <v>153</v>
      </c>
      <c r="T28" s="6" t="s">
        <v>154</v>
      </c>
      <c r="U28" s="8"/>
      <c r="V28" s="8"/>
      <c r="W28" s="8"/>
      <c r="X28" s="8"/>
      <c r="Y28" s="9"/>
      <c r="Z28" s="9"/>
      <c r="AA28" s="9"/>
      <c r="AB28" s="9"/>
      <c r="AC28" s="10" t="str">
        <f aca="false">IF(Z28="","",IF(Z28=0,"Unassigned",IF(Z28=1,"Single point",IF(AB28="Yes","Staffed and credentialed","Staffed, credential gap"))))</f>
        <v/>
      </c>
      <c r="AD28" s="10" t="str">
        <f aca="false">IFERROR(INDEX(Lists!$H$3:$H$6,MATCH(AC28,Lists!$G$3:$G$6,0)),"")</f>
        <v/>
      </c>
      <c r="AE28" s="8"/>
      <c r="AF28" s="10" t="str">
        <f aca="false">IFERROR(INDEX(Lists!$B$3:$B$7,MATCH(AE28,Lists!$A$3:$A$7,0)),"")</f>
        <v/>
      </c>
      <c r="AG28" s="8"/>
      <c r="AH28" s="8"/>
      <c r="AI28" s="8"/>
      <c r="AJ28" s="8"/>
      <c r="AK28" s="8"/>
      <c r="AL28" s="8"/>
      <c r="AM28" s="11" t="str">
        <f aca="false">IF(OR(AJ28="",AJ28=0),"",AL28/AJ28)</f>
        <v/>
      </c>
      <c r="AN28" s="8"/>
      <c r="AO28" s="8"/>
      <c r="AP28" s="10" t="str">
        <f aca="false">IF(AN28="","Not assessed",IF(AND(R28="No",AN28="Gap - recommend tailoring"),"INVALID: HSSB is not tailorable",IF(OR(Z28="",Z28=0),"NO NAMED EXECUTOR",IF(AND(N(AF28)&gt;=3,AJ28=""),"Operating claimed with no sample",IF(AND(N(AF28)&gt;=3,Z28=1),"Operating rests on one individual",IF(AND(N(AF28)&gt;=3,AB28&lt;&gt;"Yes"),"Operating claimed below designed credential",IF(AND(R28="No",N(AF28)&lt;3),"HSSB GATE: below Operating",IF(AND(N(AF28)&gt;=3,AJ28&lt;&gt;"",AL28=""),"Sample size with no conforming count","OK"))))))))</f>
        <v>Not assessed</v>
      </c>
      <c r="AQ28" s="8"/>
      <c r="AR28" s="8"/>
      <c r="AS28" s="8"/>
    </row>
    <row r="29" customFormat="false" ht="22.35" hidden="false" customHeight="false" outlineLevel="0" collapsed="false">
      <c r="A29" s="6" t="s">
        <v>157</v>
      </c>
      <c r="B29" s="6" t="s">
        <v>150</v>
      </c>
      <c r="C29" s="6" t="s">
        <v>151</v>
      </c>
      <c r="D29" s="6" t="s">
        <v>152</v>
      </c>
      <c r="E29" s="6" t="s">
        <v>158</v>
      </c>
      <c r="F29" s="7"/>
      <c r="G29" s="6" t="s">
        <v>82</v>
      </c>
      <c r="H29" s="6"/>
      <c r="I29" s="6"/>
      <c r="J29" s="6"/>
      <c r="K29" s="6"/>
      <c r="L29" s="6" t="s">
        <v>83</v>
      </c>
      <c r="M29" s="6" t="s">
        <v>84</v>
      </c>
      <c r="N29" s="6"/>
      <c r="O29" s="6"/>
      <c r="P29" s="6"/>
      <c r="Q29" s="6"/>
      <c r="R29" s="6" t="s">
        <v>85</v>
      </c>
      <c r="S29" s="6" t="s">
        <v>153</v>
      </c>
      <c r="T29" s="6" t="s">
        <v>154</v>
      </c>
      <c r="U29" s="8"/>
      <c r="V29" s="8"/>
      <c r="W29" s="8"/>
      <c r="X29" s="8"/>
      <c r="Y29" s="9"/>
      <c r="Z29" s="9"/>
      <c r="AA29" s="9"/>
      <c r="AB29" s="9"/>
      <c r="AC29" s="10" t="str">
        <f aca="false">IF(Z29="","",IF(Z29=0,"Unassigned",IF(Z29=1,"Single point",IF(AB29="Yes","Staffed and credentialed","Staffed, credential gap"))))</f>
        <v/>
      </c>
      <c r="AD29" s="10" t="str">
        <f aca="false">IFERROR(INDEX(Lists!$H$3:$H$6,MATCH(AC29,Lists!$G$3:$G$6,0)),"")</f>
        <v/>
      </c>
      <c r="AE29" s="8"/>
      <c r="AF29" s="10" t="str">
        <f aca="false">IFERROR(INDEX(Lists!$B$3:$B$7,MATCH(AE29,Lists!$A$3:$A$7,0)),"")</f>
        <v/>
      </c>
      <c r="AG29" s="8"/>
      <c r="AH29" s="8"/>
      <c r="AI29" s="8"/>
      <c r="AJ29" s="8"/>
      <c r="AK29" s="8"/>
      <c r="AL29" s="8"/>
      <c r="AM29" s="11" t="str">
        <f aca="false">IF(OR(AJ29="",AJ29=0),"",AL29/AJ29)</f>
        <v/>
      </c>
      <c r="AN29" s="8"/>
      <c r="AO29" s="8"/>
      <c r="AP29" s="10" t="str">
        <f aca="false">IF(AN29="","Not assessed",IF(AND(R29="No",AN29="Gap - recommend tailoring"),"INVALID: HSSB is not tailorable",IF(OR(Z29="",Z29=0),"NO NAMED EXECUTOR",IF(AND(N(AF29)&gt;=3,AJ29=""),"Operating claimed with no sample",IF(AND(N(AF29)&gt;=3,Z29=1),"Operating rests on one individual",IF(AND(N(AF29)&gt;=3,AB29&lt;&gt;"Yes"),"Operating claimed below designed credential",IF(AND(R29="No",N(AF29)&lt;3),"HSSB GATE: below Operating",IF(AND(N(AF29)&gt;=3,AJ29&lt;&gt;"",AL29=""),"Sample size with no conforming count","OK"))))))))</f>
        <v>Not assessed</v>
      </c>
      <c r="AQ29" s="8"/>
      <c r="AR29" s="8"/>
      <c r="AS29" s="8"/>
    </row>
    <row r="30" customFormat="false" ht="22.35" hidden="false" customHeight="false" outlineLevel="0" collapsed="false">
      <c r="A30" s="6" t="s">
        <v>159</v>
      </c>
      <c r="B30" s="6" t="s">
        <v>150</v>
      </c>
      <c r="C30" s="6" t="s">
        <v>151</v>
      </c>
      <c r="D30" s="6" t="s">
        <v>152</v>
      </c>
      <c r="E30" s="6" t="s">
        <v>160</v>
      </c>
      <c r="F30" s="7"/>
      <c r="G30" s="6" t="s">
        <v>82</v>
      </c>
      <c r="H30" s="6"/>
      <c r="I30" s="6"/>
      <c r="J30" s="6"/>
      <c r="K30" s="6"/>
      <c r="L30" s="6" t="s">
        <v>83</v>
      </c>
      <c r="M30" s="6" t="s">
        <v>84</v>
      </c>
      <c r="N30" s="6"/>
      <c r="O30" s="6"/>
      <c r="P30" s="6"/>
      <c r="Q30" s="6"/>
      <c r="R30" s="6" t="s">
        <v>85</v>
      </c>
      <c r="S30" s="6" t="s">
        <v>153</v>
      </c>
      <c r="T30" s="6" t="s">
        <v>154</v>
      </c>
      <c r="U30" s="8"/>
      <c r="V30" s="8"/>
      <c r="W30" s="8"/>
      <c r="X30" s="8"/>
      <c r="Y30" s="9"/>
      <c r="Z30" s="9"/>
      <c r="AA30" s="9"/>
      <c r="AB30" s="9"/>
      <c r="AC30" s="10" t="str">
        <f aca="false">IF(Z30="","",IF(Z30=0,"Unassigned",IF(Z30=1,"Single point",IF(AB30="Yes","Staffed and credentialed","Staffed, credential gap"))))</f>
        <v/>
      </c>
      <c r="AD30" s="10" t="str">
        <f aca="false">IFERROR(INDEX(Lists!$H$3:$H$6,MATCH(AC30,Lists!$G$3:$G$6,0)),"")</f>
        <v/>
      </c>
      <c r="AE30" s="8"/>
      <c r="AF30" s="10" t="str">
        <f aca="false">IFERROR(INDEX(Lists!$B$3:$B$7,MATCH(AE30,Lists!$A$3:$A$7,0)),"")</f>
        <v/>
      </c>
      <c r="AG30" s="8"/>
      <c r="AH30" s="8"/>
      <c r="AI30" s="8"/>
      <c r="AJ30" s="8"/>
      <c r="AK30" s="8"/>
      <c r="AL30" s="8"/>
      <c r="AM30" s="11" t="str">
        <f aca="false">IF(OR(AJ30="",AJ30=0),"",AL30/AJ30)</f>
        <v/>
      </c>
      <c r="AN30" s="8"/>
      <c r="AO30" s="8"/>
      <c r="AP30" s="10" t="str">
        <f aca="false">IF(AN30="","Not assessed",IF(AND(R30="No",AN30="Gap - recommend tailoring"),"INVALID: HSSB is not tailorable",IF(OR(Z30="",Z30=0),"NO NAMED EXECUTOR",IF(AND(N(AF30)&gt;=3,AJ30=""),"Operating claimed with no sample",IF(AND(N(AF30)&gt;=3,Z30=1),"Operating rests on one individual",IF(AND(N(AF30)&gt;=3,AB30&lt;&gt;"Yes"),"Operating claimed below designed credential",IF(AND(R30="No",N(AF30)&lt;3),"HSSB GATE: below Operating",IF(AND(N(AF30)&gt;=3,AJ30&lt;&gt;"",AL30=""),"Sample size with no conforming count","OK"))))))))</f>
        <v>Not assessed</v>
      </c>
      <c r="AQ30" s="8"/>
      <c r="AR30" s="8"/>
      <c r="AS30" s="8"/>
    </row>
    <row r="31" customFormat="false" ht="22.35" hidden="false" customHeight="false" outlineLevel="0" collapsed="false">
      <c r="A31" s="6" t="s">
        <v>161</v>
      </c>
      <c r="B31" s="6" t="s">
        <v>150</v>
      </c>
      <c r="C31" s="6" t="s">
        <v>151</v>
      </c>
      <c r="D31" s="6" t="s">
        <v>152</v>
      </c>
      <c r="E31" s="6" t="s">
        <v>162</v>
      </c>
      <c r="F31" s="7"/>
      <c r="G31" s="6" t="s">
        <v>82</v>
      </c>
      <c r="H31" s="6"/>
      <c r="I31" s="6"/>
      <c r="J31" s="6"/>
      <c r="K31" s="6"/>
      <c r="L31" s="6" t="s">
        <v>83</v>
      </c>
      <c r="M31" s="6" t="s">
        <v>84</v>
      </c>
      <c r="N31" s="6"/>
      <c r="O31" s="6"/>
      <c r="P31" s="6"/>
      <c r="Q31" s="6"/>
      <c r="R31" s="6" t="s">
        <v>85</v>
      </c>
      <c r="S31" s="6" t="s">
        <v>153</v>
      </c>
      <c r="T31" s="6" t="s">
        <v>154</v>
      </c>
      <c r="U31" s="8"/>
      <c r="V31" s="8"/>
      <c r="W31" s="8"/>
      <c r="X31" s="8"/>
      <c r="Y31" s="9"/>
      <c r="Z31" s="9"/>
      <c r="AA31" s="9"/>
      <c r="AB31" s="9"/>
      <c r="AC31" s="10" t="str">
        <f aca="false">IF(Z31="","",IF(Z31=0,"Unassigned",IF(Z31=1,"Single point",IF(AB31="Yes","Staffed and credentialed","Staffed, credential gap"))))</f>
        <v/>
      </c>
      <c r="AD31" s="10" t="str">
        <f aca="false">IFERROR(INDEX(Lists!$H$3:$H$6,MATCH(AC31,Lists!$G$3:$G$6,0)),"")</f>
        <v/>
      </c>
      <c r="AE31" s="8"/>
      <c r="AF31" s="10" t="str">
        <f aca="false">IFERROR(INDEX(Lists!$B$3:$B$7,MATCH(AE31,Lists!$A$3:$A$7,0)),"")</f>
        <v/>
      </c>
      <c r="AG31" s="8"/>
      <c r="AH31" s="8"/>
      <c r="AI31" s="8"/>
      <c r="AJ31" s="8"/>
      <c r="AK31" s="8"/>
      <c r="AL31" s="8"/>
      <c r="AM31" s="11" t="str">
        <f aca="false">IF(OR(AJ31="",AJ31=0),"",AL31/AJ31)</f>
        <v/>
      </c>
      <c r="AN31" s="8"/>
      <c r="AO31" s="8"/>
      <c r="AP31" s="10" t="str">
        <f aca="false">IF(AN31="","Not assessed",IF(AND(R31="No",AN31="Gap - recommend tailoring"),"INVALID: HSSB is not tailorable",IF(OR(Z31="",Z31=0),"NO NAMED EXECUTOR",IF(AND(N(AF31)&gt;=3,AJ31=""),"Operating claimed with no sample",IF(AND(N(AF31)&gt;=3,Z31=1),"Operating rests on one individual",IF(AND(N(AF31)&gt;=3,AB31&lt;&gt;"Yes"),"Operating claimed below designed credential",IF(AND(R31="No",N(AF31)&lt;3),"HSSB GATE: below Operating",IF(AND(N(AF31)&gt;=3,AJ31&lt;&gt;"",AL31=""),"Sample size with no conforming count","OK"))))))))</f>
        <v>Not assessed</v>
      </c>
      <c r="AQ31" s="8"/>
      <c r="AR31" s="8"/>
      <c r="AS31" s="8"/>
    </row>
    <row r="32" customFormat="false" ht="22.35" hidden="false" customHeight="false" outlineLevel="0" collapsed="false">
      <c r="A32" s="6" t="s">
        <v>163</v>
      </c>
      <c r="B32" s="6" t="s">
        <v>150</v>
      </c>
      <c r="C32" s="6" t="s">
        <v>151</v>
      </c>
      <c r="D32" s="6" t="s">
        <v>152</v>
      </c>
      <c r="E32" s="6" t="s">
        <v>164</v>
      </c>
      <c r="F32" s="7"/>
      <c r="G32" s="6" t="s">
        <v>82</v>
      </c>
      <c r="H32" s="6"/>
      <c r="I32" s="6"/>
      <c r="J32" s="6"/>
      <c r="K32" s="6"/>
      <c r="L32" s="6" t="s">
        <v>83</v>
      </c>
      <c r="M32" s="6" t="s">
        <v>84</v>
      </c>
      <c r="N32" s="6"/>
      <c r="O32" s="6"/>
      <c r="P32" s="6"/>
      <c r="Q32" s="6"/>
      <c r="R32" s="6" t="s">
        <v>85</v>
      </c>
      <c r="S32" s="6" t="s">
        <v>153</v>
      </c>
      <c r="T32" s="6" t="s">
        <v>154</v>
      </c>
      <c r="U32" s="8"/>
      <c r="V32" s="8"/>
      <c r="W32" s="8"/>
      <c r="X32" s="8"/>
      <c r="Y32" s="9"/>
      <c r="Z32" s="9"/>
      <c r="AA32" s="9"/>
      <c r="AB32" s="9"/>
      <c r="AC32" s="10" t="str">
        <f aca="false">IF(Z32="","",IF(Z32=0,"Unassigned",IF(Z32=1,"Single point",IF(AB32="Yes","Staffed and credentialed","Staffed, credential gap"))))</f>
        <v/>
      </c>
      <c r="AD32" s="10" t="str">
        <f aca="false">IFERROR(INDEX(Lists!$H$3:$H$6,MATCH(AC32,Lists!$G$3:$G$6,0)),"")</f>
        <v/>
      </c>
      <c r="AE32" s="8"/>
      <c r="AF32" s="10" t="str">
        <f aca="false">IFERROR(INDEX(Lists!$B$3:$B$7,MATCH(AE32,Lists!$A$3:$A$7,0)),"")</f>
        <v/>
      </c>
      <c r="AG32" s="8"/>
      <c r="AH32" s="8"/>
      <c r="AI32" s="8"/>
      <c r="AJ32" s="8"/>
      <c r="AK32" s="8"/>
      <c r="AL32" s="8"/>
      <c r="AM32" s="11" t="str">
        <f aca="false">IF(OR(AJ32="",AJ32=0),"",AL32/AJ32)</f>
        <v/>
      </c>
      <c r="AN32" s="8"/>
      <c r="AO32" s="8"/>
      <c r="AP32" s="10" t="str">
        <f aca="false">IF(AN32="","Not assessed",IF(AND(R32="No",AN32="Gap - recommend tailoring"),"INVALID: HSSB is not tailorable",IF(OR(Z32="",Z32=0),"NO NAMED EXECUTOR",IF(AND(N(AF32)&gt;=3,AJ32=""),"Operating claimed with no sample",IF(AND(N(AF32)&gt;=3,Z32=1),"Operating rests on one individual",IF(AND(N(AF32)&gt;=3,AB32&lt;&gt;"Yes"),"Operating claimed below designed credential",IF(AND(R32="No",N(AF32)&lt;3),"HSSB GATE: below Operating",IF(AND(N(AF32)&gt;=3,AJ32&lt;&gt;"",AL32=""),"Sample size with no conforming count","OK"))))))))</f>
        <v>Not assessed</v>
      </c>
      <c r="AQ32" s="8"/>
      <c r="AR32" s="8"/>
      <c r="AS32" s="8"/>
    </row>
    <row r="33" customFormat="false" ht="22.35" hidden="false" customHeight="false" outlineLevel="0" collapsed="false">
      <c r="A33" s="6" t="s">
        <v>165</v>
      </c>
      <c r="B33" s="6" t="s">
        <v>150</v>
      </c>
      <c r="C33" s="6" t="s">
        <v>151</v>
      </c>
      <c r="D33" s="6" t="s">
        <v>152</v>
      </c>
      <c r="E33" s="6" t="s">
        <v>166</v>
      </c>
      <c r="F33" s="7"/>
      <c r="G33" s="6" t="s">
        <v>82</v>
      </c>
      <c r="H33" s="6"/>
      <c r="I33" s="6"/>
      <c r="J33" s="6"/>
      <c r="K33" s="6"/>
      <c r="L33" s="6" t="s">
        <v>83</v>
      </c>
      <c r="M33" s="6" t="s">
        <v>84</v>
      </c>
      <c r="N33" s="6"/>
      <c r="O33" s="6"/>
      <c r="P33" s="6"/>
      <c r="Q33" s="6"/>
      <c r="R33" s="6" t="s">
        <v>85</v>
      </c>
      <c r="S33" s="6" t="s">
        <v>153</v>
      </c>
      <c r="T33" s="6" t="s">
        <v>154</v>
      </c>
      <c r="U33" s="8"/>
      <c r="V33" s="8"/>
      <c r="W33" s="8"/>
      <c r="X33" s="8"/>
      <c r="Y33" s="9"/>
      <c r="Z33" s="9"/>
      <c r="AA33" s="9"/>
      <c r="AB33" s="9"/>
      <c r="AC33" s="10" t="str">
        <f aca="false">IF(Z33="","",IF(Z33=0,"Unassigned",IF(Z33=1,"Single point",IF(AB33="Yes","Staffed and credentialed","Staffed, credential gap"))))</f>
        <v/>
      </c>
      <c r="AD33" s="10" t="str">
        <f aca="false">IFERROR(INDEX(Lists!$H$3:$H$6,MATCH(AC33,Lists!$G$3:$G$6,0)),"")</f>
        <v/>
      </c>
      <c r="AE33" s="8"/>
      <c r="AF33" s="10" t="str">
        <f aca="false">IFERROR(INDEX(Lists!$B$3:$B$7,MATCH(AE33,Lists!$A$3:$A$7,0)),"")</f>
        <v/>
      </c>
      <c r="AG33" s="8"/>
      <c r="AH33" s="8"/>
      <c r="AI33" s="8"/>
      <c r="AJ33" s="8"/>
      <c r="AK33" s="8"/>
      <c r="AL33" s="8"/>
      <c r="AM33" s="11" t="str">
        <f aca="false">IF(OR(AJ33="",AJ33=0),"",AL33/AJ33)</f>
        <v/>
      </c>
      <c r="AN33" s="8"/>
      <c r="AO33" s="8"/>
      <c r="AP33" s="10" t="str">
        <f aca="false">IF(AN33="","Not assessed",IF(AND(R33="No",AN33="Gap - recommend tailoring"),"INVALID: HSSB is not tailorable",IF(OR(Z33="",Z33=0),"NO NAMED EXECUTOR",IF(AND(N(AF33)&gt;=3,AJ33=""),"Operating claimed with no sample",IF(AND(N(AF33)&gt;=3,Z33=1),"Operating rests on one individual",IF(AND(N(AF33)&gt;=3,AB33&lt;&gt;"Yes"),"Operating claimed below designed credential",IF(AND(R33="No",N(AF33)&lt;3),"HSSB GATE: below Operating",IF(AND(N(AF33)&gt;=3,AJ33&lt;&gt;"",AL33=""),"Sample size with no conforming count","OK"))))))))</f>
        <v>Not assessed</v>
      </c>
      <c r="AQ33" s="8"/>
      <c r="AR33" s="8"/>
      <c r="AS33" s="8"/>
    </row>
    <row r="34" customFormat="false" ht="22.35" hidden="false" customHeight="false" outlineLevel="0" collapsed="false">
      <c r="A34" s="6" t="s">
        <v>167</v>
      </c>
      <c r="B34" s="6" t="s">
        <v>150</v>
      </c>
      <c r="C34" s="6" t="s">
        <v>151</v>
      </c>
      <c r="D34" s="6" t="s">
        <v>152</v>
      </c>
      <c r="E34" s="6" t="s">
        <v>168</v>
      </c>
      <c r="F34" s="7"/>
      <c r="G34" s="6" t="s">
        <v>82</v>
      </c>
      <c r="H34" s="6"/>
      <c r="I34" s="6"/>
      <c r="J34" s="6"/>
      <c r="K34" s="6"/>
      <c r="L34" s="6" t="s">
        <v>83</v>
      </c>
      <c r="M34" s="6" t="s">
        <v>84</v>
      </c>
      <c r="N34" s="6"/>
      <c r="O34" s="6"/>
      <c r="P34" s="6"/>
      <c r="Q34" s="6"/>
      <c r="R34" s="6" t="s">
        <v>85</v>
      </c>
      <c r="S34" s="6" t="s">
        <v>153</v>
      </c>
      <c r="T34" s="6" t="s">
        <v>154</v>
      </c>
      <c r="U34" s="8"/>
      <c r="V34" s="8"/>
      <c r="W34" s="8"/>
      <c r="X34" s="8"/>
      <c r="Y34" s="9"/>
      <c r="Z34" s="9"/>
      <c r="AA34" s="9"/>
      <c r="AB34" s="9"/>
      <c r="AC34" s="10" t="str">
        <f aca="false">IF(Z34="","",IF(Z34=0,"Unassigned",IF(Z34=1,"Single point",IF(AB34="Yes","Staffed and credentialed","Staffed, credential gap"))))</f>
        <v/>
      </c>
      <c r="AD34" s="10" t="str">
        <f aca="false">IFERROR(INDEX(Lists!$H$3:$H$6,MATCH(AC34,Lists!$G$3:$G$6,0)),"")</f>
        <v/>
      </c>
      <c r="AE34" s="8"/>
      <c r="AF34" s="10" t="str">
        <f aca="false">IFERROR(INDEX(Lists!$B$3:$B$7,MATCH(AE34,Lists!$A$3:$A$7,0)),"")</f>
        <v/>
      </c>
      <c r="AG34" s="8"/>
      <c r="AH34" s="8"/>
      <c r="AI34" s="8"/>
      <c r="AJ34" s="8"/>
      <c r="AK34" s="8"/>
      <c r="AL34" s="8"/>
      <c r="AM34" s="11" t="str">
        <f aca="false">IF(OR(AJ34="",AJ34=0),"",AL34/AJ34)</f>
        <v/>
      </c>
      <c r="AN34" s="8"/>
      <c r="AO34" s="8"/>
      <c r="AP34" s="10" t="str">
        <f aca="false">IF(AN34="","Not assessed",IF(AND(R34="No",AN34="Gap - recommend tailoring"),"INVALID: HSSB is not tailorable",IF(OR(Z34="",Z34=0),"NO NAMED EXECUTOR",IF(AND(N(AF34)&gt;=3,AJ34=""),"Operating claimed with no sample",IF(AND(N(AF34)&gt;=3,Z34=1),"Operating rests on one individual",IF(AND(N(AF34)&gt;=3,AB34&lt;&gt;"Yes"),"Operating claimed below designed credential",IF(AND(R34="No",N(AF34)&lt;3),"HSSB GATE: below Operating",IF(AND(N(AF34)&gt;=3,AJ34&lt;&gt;"",AL34=""),"Sample size with no conforming count","OK"))))))))</f>
        <v>Not assessed</v>
      </c>
      <c r="AQ34" s="8"/>
      <c r="AR34" s="8"/>
      <c r="AS34" s="8"/>
    </row>
    <row r="35" customFormat="false" ht="22.35" hidden="false" customHeight="false" outlineLevel="0" collapsed="false">
      <c r="A35" s="6" t="s">
        <v>169</v>
      </c>
      <c r="B35" s="6" t="s">
        <v>150</v>
      </c>
      <c r="C35" s="6" t="s">
        <v>151</v>
      </c>
      <c r="D35" s="6" t="s">
        <v>152</v>
      </c>
      <c r="E35" s="6" t="s">
        <v>170</v>
      </c>
      <c r="F35" s="7"/>
      <c r="G35" s="6" t="s">
        <v>82</v>
      </c>
      <c r="H35" s="6"/>
      <c r="I35" s="6"/>
      <c r="J35" s="6"/>
      <c r="K35" s="6"/>
      <c r="L35" s="6" t="s">
        <v>83</v>
      </c>
      <c r="M35" s="6" t="s">
        <v>84</v>
      </c>
      <c r="N35" s="6"/>
      <c r="O35" s="6"/>
      <c r="P35" s="6"/>
      <c r="Q35" s="6"/>
      <c r="R35" s="6" t="s">
        <v>85</v>
      </c>
      <c r="S35" s="6" t="s">
        <v>153</v>
      </c>
      <c r="T35" s="6" t="s">
        <v>154</v>
      </c>
      <c r="U35" s="8"/>
      <c r="V35" s="8"/>
      <c r="W35" s="8"/>
      <c r="X35" s="8"/>
      <c r="Y35" s="9"/>
      <c r="Z35" s="9"/>
      <c r="AA35" s="9"/>
      <c r="AB35" s="9"/>
      <c r="AC35" s="10" t="str">
        <f aca="false">IF(Z35="","",IF(Z35=0,"Unassigned",IF(Z35=1,"Single point",IF(AB35="Yes","Staffed and credentialed","Staffed, credential gap"))))</f>
        <v/>
      </c>
      <c r="AD35" s="10" t="str">
        <f aca="false">IFERROR(INDEX(Lists!$H$3:$H$6,MATCH(AC35,Lists!$G$3:$G$6,0)),"")</f>
        <v/>
      </c>
      <c r="AE35" s="8"/>
      <c r="AF35" s="10" t="str">
        <f aca="false">IFERROR(INDEX(Lists!$B$3:$B$7,MATCH(AE35,Lists!$A$3:$A$7,0)),"")</f>
        <v/>
      </c>
      <c r="AG35" s="8"/>
      <c r="AH35" s="8"/>
      <c r="AI35" s="8"/>
      <c r="AJ35" s="8"/>
      <c r="AK35" s="8"/>
      <c r="AL35" s="8"/>
      <c r="AM35" s="11" t="str">
        <f aca="false">IF(OR(AJ35="",AJ35=0),"",AL35/AJ35)</f>
        <v/>
      </c>
      <c r="AN35" s="8"/>
      <c r="AO35" s="8"/>
      <c r="AP35" s="10" t="str">
        <f aca="false">IF(AN35="","Not assessed",IF(AND(R35="No",AN35="Gap - recommend tailoring"),"INVALID: HSSB is not tailorable",IF(OR(Z35="",Z35=0),"NO NAMED EXECUTOR",IF(AND(N(AF35)&gt;=3,AJ35=""),"Operating claimed with no sample",IF(AND(N(AF35)&gt;=3,Z35=1),"Operating rests on one individual",IF(AND(N(AF35)&gt;=3,AB35&lt;&gt;"Yes"),"Operating claimed below designed credential",IF(AND(R35="No",N(AF35)&lt;3),"HSSB GATE: below Operating",IF(AND(N(AF35)&gt;=3,AJ35&lt;&gt;"",AL35=""),"Sample size with no conforming count","OK"))))))))</f>
        <v>Not assessed</v>
      </c>
      <c r="AQ35" s="8"/>
      <c r="AR35" s="8"/>
      <c r="AS35" s="8"/>
    </row>
    <row r="36" customFormat="false" ht="22.35" hidden="false" customHeight="false" outlineLevel="0" collapsed="false">
      <c r="A36" s="6" t="s">
        <v>171</v>
      </c>
      <c r="B36" s="6" t="s">
        <v>150</v>
      </c>
      <c r="C36" s="6" t="s">
        <v>151</v>
      </c>
      <c r="D36" s="6" t="s">
        <v>152</v>
      </c>
      <c r="E36" s="6" t="s">
        <v>172</v>
      </c>
      <c r="F36" s="7"/>
      <c r="G36" s="6" t="s">
        <v>82</v>
      </c>
      <c r="H36" s="6"/>
      <c r="I36" s="6"/>
      <c r="J36" s="6"/>
      <c r="K36" s="6"/>
      <c r="L36" s="6" t="s">
        <v>83</v>
      </c>
      <c r="M36" s="6" t="s">
        <v>84</v>
      </c>
      <c r="N36" s="6"/>
      <c r="O36" s="6"/>
      <c r="P36" s="6"/>
      <c r="Q36" s="6"/>
      <c r="R36" s="6" t="s">
        <v>85</v>
      </c>
      <c r="S36" s="6" t="s">
        <v>153</v>
      </c>
      <c r="T36" s="6" t="s">
        <v>154</v>
      </c>
      <c r="U36" s="8"/>
      <c r="V36" s="8"/>
      <c r="W36" s="8"/>
      <c r="X36" s="8"/>
      <c r="Y36" s="9"/>
      <c r="Z36" s="9"/>
      <c r="AA36" s="9"/>
      <c r="AB36" s="9"/>
      <c r="AC36" s="10" t="str">
        <f aca="false">IF(Z36="","",IF(Z36=0,"Unassigned",IF(Z36=1,"Single point",IF(AB36="Yes","Staffed and credentialed","Staffed, credential gap"))))</f>
        <v/>
      </c>
      <c r="AD36" s="10" t="str">
        <f aca="false">IFERROR(INDEX(Lists!$H$3:$H$6,MATCH(AC36,Lists!$G$3:$G$6,0)),"")</f>
        <v/>
      </c>
      <c r="AE36" s="8"/>
      <c r="AF36" s="10" t="str">
        <f aca="false">IFERROR(INDEX(Lists!$B$3:$B$7,MATCH(AE36,Lists!$A$3:$A$7,0)),"")</f>
        <v/>
      </c>
      <c r="AG36" s="8"/>
      <c r="AH36" s="8"/>
      <c r="AI36" s="8"/>
      <c r="AJ36" s="8"/>
      <c r="AK36" s="8"/>
      <c r="AL36" s="8"/>
      <c r="AM36" s="11" t="str">
        <f aca="false">IF(OR(AJ36="",AJ36=0),"",AL36/AJ36)</f>
        <v/>
      </c>
      <c r="AN36" s="8"/>
      <c r="AO36" s="8"/>
      <c r="AP36" s="10" t="str">
        <f aca="false">IF(AN36="","Not assessed",IF(AND(R36="No",AN36="Gap - recommend tailoring"),"INVALID: HSSB is not tailorable",IF(OR(Z36="",Z36=0),"NO NAMED EXECUTOR",IF(AND(N(AF36)&gt;=3,AJ36=""),"Operating claimed with no sample",IF(AND(N(AF36)&gt;=3,Z36=1),"Operating rests on one individual",IF(AND(N(AF36)&gt;=3,AB36&lt;&gt;"Yes"),"Operating claimed below designed credential",IF(AND(R36="No",N(AF36)&lt;3),"HSSB GATE: below Operating",IF(AND(N(AF36)&gt;=3,AJ36&lt;&gt;"",AL36=""),"Sample size with no conforming count","OK"))))))))</f>
        <v>Not assessed</v>
      </c>
      <c r="AQ36" s="8"/>
      <c r="AR36" s="8"/>
      <c r="AS36" s="8"/>
    </row>
    <row r="37" customFormat="false" ht="22.35" hidden="false" customHeight="false" outlineLevel="0" collapsed="false">
      <c r="A37" s="6" t="s">
        <v>173</v>
      </c>
      <c r="B37" s="6" t="s">
        <v>150</v>
      </c>
      <c r="C37" s="6" t="s">
        <v>151</v>
      </c>
      <c r="D37" s="6" t="s">
        <v>152</v>
      </c>
      <c r="E37" s="6" t="s">
        <v>174</v>
      </c>
      <c r="F37" s="7"/>
      <c r="G37" s="6" t="s">
        <v>82</v>
      </c>
      <c r="H37" s="6"/>
      <c r="I37" s="6"/>
      <c r="J37" s="6"/>
      <c r="K37" s="6"/>
      <c r="L37" s="6" t="s">
        <v>83</v>
      </c>
      <c r="M37" s="6" t="s">
        <v>84</v>
      </c>
      <c r="N37" s="6"/>
      <c r="O37" s="6"/>
      <c r="P37" s="6"/>
      <c r="Q37" s="6"/>
      <c r="R37" s="6" t="s">
        <v>85</v>
      </c>
      <c r="S37" s="6" t="s">
        <v>153</v>
      </c>
      <c r="T37" s="6" t="s">
        <v>154</v>
      </c>
      <c r="U37" s="8"/>
      <c r="V37" s="8"/>
      <c r="W37" s="8"/>
      <c r="X37" s="8"/>
      <c r="Y37" s="9"/>
      <c r="Z37" s="9"/>
      <c r="AA37" s="9"/>
      <c r="AB37" s="9"/>
      <c r="AC37" s="10" t="str">
        <f aca="false">IF(Z37="","",IF(Z37=0,"Unassigned",IF(Z37=1,"Single point",IF(AB37="Yes","Staffed and credentialed","Staffed, credential gap"))))</f>
        <v/>
      </c>
      <c r="AD37" s="10" t="str">
        <f aca="false">IFERROR(INDEX(Lists!$H$3:$H$6,MATCH(AC37,Lists!$G$3:$G$6,0)),"")</f>
        <v/>
      </c>
      <c r="AE37" s="8"/>
      <c r="AF37" s="10" t="str">
        <f aca="false">IFERROR(INDEX(Lists!$B$3:$B$7,MATCH(AE37,Lists!$A$3:$A$7,0)),"")</f>
        <v/>
      </c>
      <c r="AG37" s="8"/>
      <c r="AH37" s="8"/>
      <c r="AI37" s="8"/>
      <c r="AJ37" s="8"/>
      <c r="AK37" s="8"/>
      <c r="AL37" s="8"/>
      <c r="AM37" s="11" t="str">
        <f aca="false">IF(OR(AJ37="",AJ37=0),"",AL37/AJ37)</f>
        <v/>
      </c>
      <c r="AN37" s="8"/>
      <c r="AO37" s="8"/>
      <c r="AP37" s="10" t="str">
        <f aca="false">IF(AN37="","Not assessed",IF(AND(R37="No",AN37="Gap - recommend tailoring"),"INVALID: HSSB is not tailorable",IF(OR(Z37="",Z37=0),"NO NAMED EXECUTOR",IF(AND(N(AF37)&gt;=3,AJ37=""),"Operating claimed with no sample",IF(AND(N(AF37)&gt;=3,Z37=1),"Operating rests on one individual",IF(AND(N(AF37)&gt;=3,AB37&lt;&gt;"Yes"),"Operating claimed below designed credential",IF(AND(R37="No",N(AF37)&lt;3),"HSSB GATE: below Operating",IF(AND(N(AF37)&gt;=3,AJ37&lt;&gt;"",AL37=""),"Sample size with no conforming count","OK"))))))))</f>
        <v>Not assessed</v>
      </c>
      <c r="AQ37" s="8"/>
      <c r="AR37" s="8"/>
      <c r="AS37" s="8"/>
    </row>
    <row r="38" customFormat="false" ht="22.35" hidden="false" customHeight="false" outlineLevel="0" collapsed="false">
      <c r="A38" s="6" t="s">
        <v>175</v>
      </c>
      <c r="B38" s="6" t="s">
        <v>150</v>
      </c>
      <c r="C38" s="6" t="s">
        <v>151</v>
      </c>
      <c r="D38" s="6" t="s">
        <v>152</v>
      </c>
      <c r="E38" s="6" t="s">
        <v>176</v>
      </c>
      <c r="F38" s="7"/>
      <c r="G38" s="6" t="s">
        <v>82</v>
      </c>
      <c r="H38" s="6"/>
      <c r="I38" s="6"/>
      <c r="J38" s="6"/>
      <c r="K38" s="6"/>
      <c r="L38" s="6" t="s">
        <v>83</v>
      </c>
      <c r="M38" s="6" t="s">
        <v>84</v>
      </c>
      <c r="N38" s="6"/>
      <c r="O38" s="6"/>
      <c r="P38" s="6"/>
      <c r="Q38" s="6"/>
      <c r="R38" s="6" t="s">
        <v>85</v>
      </c>
      <c r="S38" s="6" t="s">
        <v>153</v>
      </c>
      <c r="T38" s="6" t="s">
        <v>154</v>
      </c>
      <c r="U38" s="8"/>
      <c r="V38" s="8"/>
      <c r="W38" s="8"/>
      <c r="X38" s="8"/>
      <c r="Y38" s="9"/>
      <c r="Z38" s="9"/>
      <c r="AA38" s="9"/>
      <c r="AB38" s="9"/>
      <c r="AC38" s="10" t="str">
        <f aca="false">IF(Z38="","",IF(Z38=0,"Unassigned",IF(Z38=1,"Single point",IF(AB38="Yes","Staffed and credentialed","Staffed, credential gap"))))</f>
        <v/>
      </c>
      <c r="AD38" s="10" t="str">
        <f aca="false">IFERROR(INDEX(Lists!$H$3:$H$6,MATCH(AC38,Lists!$G$3:$G$6,0)),"")</f>
        <v/>
      </c>
      <c r="AE38" s="8"/>
      <c r="AF38" s="10" t="str">
        <f aca="false">IFERROR(INDEX(Lists!$B$3:$B$7,MATCH(AE38,Lists!$A$3:$A$7,0)),"")</f>
        <v/>
      </c>
      <c r="AG38" s="8"/>
      <c r="AH38" s="8"/>
      <c r="AI38" s="8"/>
      <c r="AJ38" s="8"/>
      <c r="AK38" s="8"/>
      <c r="AL38" s="8"/>
      <c r="AM38" s="11" t="str">
        <f aca="false">IF(OR(AJ38="",AJ38=0),"",AL38/AJ38)</f>
        <v/>
      </c>
      <c r="AN38" s="8"/>
      <c r="AO38" s="8"/>
      <c r="AP38" s="10" t="str">
        <f aca="false">IF(AN38="","Not assessed",IF(AND(R38="No",AN38="Gap - recommend tailoring"),"INVALID: HSSB is not tailorable",IF(OR(Z38="",Z38=0),"NO NAMED EXECUTOR",IF(AND(N(AF38)&gt;=3,AJ38=""),"Operating claimed with no sample",IF(AND(N(AF38)&gt;=3,Z38=1),"Operating rests on one individual",IF(AND(N(AF38)&gt;=3,AB38&lt;&gt;"Yes"),"Operating claimed below designed credential",IF(AND(R38="No",N(AF38)&lt;3),"HSSB GATE: below Operating",IF(AND(N(AF38)&gt;=3,AJ38&lt;&gt;"",AL38=""),"Sample size with no conforming count","OK"))))))))</f>
        <v>Not assessed</v>
      </c>
      <c r="AQ38" s="8"/>
      <c r="AR38" s="8"/>
      <c r="AS38" s="8"/>
    </row>
    <row r="39" customFormat="false" ht="22.35" hidden="false" customHeight="false" outlineLevel="0" collapsed="false">
      <c r="A39" s="6" t="s">
        <v>177</v>
      </c>
      <c r="B39" s="6" t="s">
        <v>150</v>
      </c>
      <c r="C39" s="6" t="s">
        <v>151</v>
      </c>
      <c r="D39" s="6" t="s">
        <v>152</v>
      </c>
      <c r="E39" s="6" t="s">
        <v>178</v>
      </c>
      <c r="F39" s="7"/>
      <c r="G39" s="6" t="s">
        <v>82</v>
      </c>
      <c r="H39" s="6"/>
      <c r="I39" s="6"/>
      <c r="J39" s="6"/>
      <c r="K39" s="6"/>
      <c r="L39" s="6" t="s">
        <v>83</v>
      </c>
      <c r="M39" s="6" t="s">
        <v>84</v>
      </c>
      <c r="N39" s="6"/>
      <c r="O39" s="6"/>
      <c r="P39" s="6"/>
      <c r="Q39" s="6"/>
      <c r="R39" s="6" t="s">
        <v>85</v>
      </c>
      <c r="S39" s="6" t="s">
        <v>153</v>
      </c>
      <c r="T39" s="6" t="s">
        <v>154</v>
      </c>
      <c r="U39" s="8"/>
      <c r="V39" s="8"/>
      <c r="W39" s="8"/>
      <c r="X39" s="8"/>
      <c r="Y39" s="9"/>
      <c r="Z39" s="9"/>
      <c r="AA39" s="9"/>
      <c r="AB39" s="9"/>
      <c r="AC39" s="10" t="str">
        <f aca="false">IF(Z39="","",IF(Z39=0,"Unassigned",IF(Z39=1,"Single point",IF(AB39="Yes","Staffed and credentialed","Staffed, credential gap"))))</f>
        <v/>
      </c>
      <c r="AD39" s="10" t="str">
        <f aca="false">IFERROR(INDEX(Lists!$H$3:$H$6,MATCH(AC39,Lists!$G$3:$G$6,0)),"")</f>
        <v/>
      </c>
      <c r="AE39" s="8"/>
      <c r="AF39" s="10" t="str">
        <f aca="false">IFERROR(INDEX(Lists!$B$3:$B$7,MATCH(AE39,Lists!$A$3:$A$7,0)),"")</f>
        <v/>
      </c>
      <c r="AG39" s="8"/>
      <c r="AH39" s="8"/>
      <c r="AI39" s="8"/>
      <c r="AJ39" s="8"/>
      <c r="AK39" s="8"/>
      <c r="AL39" s="8"/>
      <c r="AM39" s="11" t="str">
        <f aca="false">IF(OR(AJ39="",AJ39=0),"",AL39/AJ39)</f>
        <v/>
      </c>
      <c r="AN39" s="8"/>
      <c r="AO39" s="8"/>
      <c r="AP39" s="10" t="str">
        <f aca="false">IF(AN39="","Not assessed",IF(AND(R39="No",AN39="Gap - recommend tailoring"),"INVALID: HSSB is not tailorable",IF(OR(Z39="",Z39=0),"NO NAMED EXECUTOR",IF(AND(N(AF39)&gt;=3,AJ39=""),"Operating claimed with no sample",IF(AND(N(AF39)&gt;=3,Z39=1),"Operating rests on one individual",IF(AND(N(AF39)&gt;=3,AB39&lt;&gt;"Yes"),"Operating claimed below designed credential",IF(AND(R39="No",N(AF39)&lt;3),"HSSB GATE: below Operating",IF(AND(N(AF39)&gt;=3,AJ39&lt;&gt;"",AL39=""),"Sample size with no conforming count","OK"))))))))</f>
        <v>Not assessed</v>
      </c>
      <c r="AQ39" s="8"/>
      <c r="AR39" s="8"/>
      <c r="AS39" s="8"/>
    </row>
    <row r="40" customFormat="false" ht="22.35" hidden="false" customHeight="false" outlineLevel="0" collapsed="false">
      <c r="A40" s="6" t="s">
        <v>179</v>
      </c>
      <c r="B40" s="6" t="s">
        <v>150</v>
      </c>
      <c r="C40" s="6" t="s">
        <v>151</v>
      </c>
      <c r="D40" s="6" t="s">
        <v>152</v>
      </c>
      <c r="E40" s="6" t="s">
        <v>180</v>
      </c>
      <c r="F40" s="7"/>
      <c r="G40" s="6" t="s">
        <v>82</v>
      </c>
      <c r="H40" s="6"/>
      <c r="I40" s="6"/>
      <c r="J40" s="6"/>
      <c r="K40" s="6"/>
      <c r="L40" s="6" t="s">
        <v>83</v>
      </c>
      <c r="M40" s="6" t="s">
        <v>84</v>
      </c>
      <c r="N40" s="6"/>
      <c r="O40" s="6"/>
      <c r="P40" s="6"/>
      <c r="Q40" s="6"/>
      <c r="R40" s="6" t="s">
        <v>85</v>
      </c>
      <c r="S40" s="6" t="s">
        <v>153</v>
      </c>
      <c r="T40" s="6" t="s">
        <v>154</v>
      </c>
      <c r="U40" s="8"/>
      <c r="V40" s="8"/>
      <c r="W40" s="8"/>
      <c r="X40" s="8"/>
      <c r="Y40" s="9"/>
      <c r="Z40" s="9"/>
      <c r="AA40" s="9"/>
      <c r="AB40" s="9"/>
      <c r="AC40" s="10" t="str">
        <f aca="false">IF(Z40="","",IF(Z40=0,"Unassigned",IF(Z40=1,"Single point",IF(AB40="Yes","Staffed and credentialed","Staffed, credential gap"))))</f>
        <v/>
      </c>
      <c r="AD40" s="10" t="str">
        <f aca="false">IFERROR(INDEX(Lists!$H$3:$H$6,MATCH(AC40,Lists!$G$3:$G$6,0)),"")</f>
        <v/>
      </c>
      <c r="AE40" s="8"/>
      <c r="AF40" s="10" t="str">
        <f aca="false">IFERROR(INDEX(Lists!$B$3:$B$7,MATCH(AE40,Lists!$A$3:$A$7,0)),"")</f>
        <v/>
      </c>
      <c r="AG40" s="8"/>
      <c r="AH40" s="8"/>
      <c r="AI40" s="8"/>
      <c r="AJ40" s="8"/>
      <c r="AK40" s="8"/>
      <c r="AL40" s="8"/>
      <c r="AM40" s="11" t="str">
        <f aca="false">IF(OR(AJ40="",AJ40=0),"",AL40/AJ40)</f>
        <v/>
      </c>
      <c r="AN40" s="8"/>
      <c r="AO40" s="8"/>
      <c r="AP40" s="10" t="str">
        <f aca="false">IF(AN40="","Not assessed",IF(AND(R40="No",AN40="Gap - recommend tailoring"),"INVALID: HSSB is not tailorable",IF(OR(Z40="",Z40=0),"NO NAMED EXECUTOR",IF(AND(N(AF40)&gt;=3,AJ40=""),"Operating claimed with no sample",IF(AND(N(AF40)&gt;=3,Z40=1),"Operating rests on one individual",IF(AND(N(AF40)&gt;=3,AB40&lt;&gt;"Yes"),"Operating claimed below designed credential",IF(AND(R40="No",N(AF40)&lt;3),"HSSB GATE: below Operating",IF(AND(N(AF40)&gt;=3,AJ40&lt;&gt;"",AL40=""),"Sample size with no conforming count","OK"))))))))</f>
        <v>Not assessed</v>
      </c>
      <c r="AQ40" s="8"/>
      <c r="AR40" s="8"/>
      <c r="AS40" s="8"/>
    </row>
    <row r="41" customFormat="false" ht="22.35" hidden="false" customHeight="false" outlineLevel="0" collapsed="false">
      <c r="A41" s="6" t="s">
        <v>181</v>
      </c>
      <c r="B41" s="6" t="s">
        <v>150</v>
      </c>
      <c r="C41" s="6" t="s">
        <v>151</v>
      </c>
      <c r="D41" s="6" t="s">
        <v>152</v>
      </c>
      <c r="E41" s="6" t="s">
        <v>182</v>
      </c>
      <c r="F41" s="7"/>
      <c r="G41" s="6" t="s">
        <v>82</v>
      </c>
      <c r="H41" s="6"/>
      <c r="I41" s="6"/>
      <c r="J41" s="6"/>
      <c r="K41" s="6"/>
      <c r="L41" s="6" t="s">
        <v>83</v>
      </c>
      <c r="M41" s="6" t="s">
        <v>84</v>
      </c>
      <c r="N41" s="6"/>
      <c r="O41" s="6"/>
      <c r="P41" s="6"/>
      <c r="Q41" s="6"/>
      <c r="R41" s="6" t="s">
        <v>85</v>
      </c>
      <c r="S41" s="6" t="s">
        <v>153</v>
      </c>
      <c r="T41" s="6" t="s">
        <v>154</v>
      </c>
      <c r="U41" s="8"/>
      <c r="V41" s="8"/>
      <c r="W41" s="8"/>
      <c r="X41" s="8"/>
      <c r="Y41" s="9"/>
      <c r="Z41" s="9"/>
      <c r="AA41" s="9"/>
      <c r="AB41" s="9"/>
      <c r="AC41" s="10" t="str">
        <f aca="false">IF(Z41="","",IF(Z41=0,"Unassigned",IF(Z41=1,"Single point",IF(AB41="Yes","Staffed and credentialed","Staffed, credential gap"))))</f>
        <v/>
      </c>
      <c r="AD41" s="10" t="str">
        <f aca="false">IFERROR(INDEX(Lists!$H$3:$H$6,MATCH(AC41,Lists!$G$3:$G$6,0)),"")</f>
        <v/>
      </c>
      <c r="AE41" s="8"/>
      <c r="AF41" s="10" t="str">
        <f aca="false">IFERROR(INDEX(Lists!$B$3:$B$7,MATCH(AE41,Lists!$A$3:$A$7,0)),"")</f>
        <v/>
      </c>
      <c r="AG41" s="8"/>
      <c r="AH41" s="8"/>
      <c r="AI41" s="8"/>
      <c r="AJ41" s="8"/>
      <c r="AK41" s="8"/>
      <c r="AL41" s="8"/>
      <c r="AM41" s="11" t="str">
        <f aca="false">IF(OR(AJ41="",AJ41=0),"",AL41/AJ41)</f>
        <v/>
      </c>
      <c r="AN41" s="8"/>
      <c r="AO41" s="8"/>
      <c r="AP41" s="10" t="str">
        <f aca="false">IF(AN41="","Not assessed",IF(AND(R41="No",AN41="Gap - recommend tailoring"),"INVALID: HSSB is not tailorable",IF(OR(Z41="",Z41=0),"NO NAMED EXECUTOR",IF(AND(N(AF41)&gt;=3,AJ41=""),"Operating claimed with no sample",IF(AND(N(AF41)&gt;=3,Z41=1),"Operating rests on one individual",IF(AND(N(AF41)&gt;=3,AB41&lt;&gt;"Yes"),"Operating claimed below designed credential",IF(AND(R41="No",N(AF41)&lt;3),"HSSB GATE: below Operating",IF(AND(N(AF41)&gt;=3,AJ41&lt;&gt;"",AL41=""),"Sample size with no conforming count","OK"))))))))</f>
        <v>Not assessed</v>
      </c>
      <c r="AQ41" s="8"/>
      <c r="AR41" s="8"/>
      <c r="AS41" s="8"/>
    </row>
    <row r="42" customFormat="false" ht="22.35" hidden="false" customHeight="false" outlineLevel="0" collapsed="false">
      <c r="A42" s="6" t="s">
        <v>183</v>
      </c>
      <c r="B42" s="6" t="s">
        <v>150</v>
      </c>
      <c r="C42" s="6" t="s">
        <v>151</v>
      </c>
      <c r="D42" s="6" t="s">
        <v>152</v>
      </c>
      <c r="E42" s="6" t="s">
        <v>184</v>
      </c>
      <c r="F42" s="7"/>
      <c r="G42" s="6" t="s">
        <v>82</v>
      </c>
      <c r="H42" s="6"/>
      <c r="I42" s="6"/>
      <c r="J42" s="6"/>
      <c r="K42" s="6"/>
      <c r="L42" s="6" t="s">
        <v>83</v>
      </c>
      <c r="M42" s="6" t="s">
        <v>84</v>
      </c>
      <c r="N42" s="6"/>
      <c r="O42" s="6"/>
      <c r="P42" s="6"/>
      <c r="Q42" s="6"/>
      <c r="R42" s="6" t="s">
        <v>85</v>
      </c>
      <c r="S42" s="6" t="s">
        <v>153</v>
      </c>
      <c r="T42" s="6" t="s">
        <v>154</v>
      </c>
      <c r="U42" s="8"/>
      <c r="V42" s="8"/>
      <c r="W42" s="8"/>
      <c r="X42" s="8"/>
      <c r="Y42" s="9"/>
      <c r="Z42" s="9"/>
      <c r="AA42" s="9"/>
      <c r="AB42" s="9"/>
      <c r="AC42" s="10" t="str">
        <f aca="false">IF(Z42="","",IF(Z42=0,"Unassigned",IF(Z42=1,"Single point",IF(AB42="Yes","Staffed and credentialed","Staffed, credential gap"))))</f>
        <v/>
      </c>
      <c r="AD42" s="10" t="str">
        <f aca="false">IFERROR(INDEX(Lists!$H$3:$H$6,MATCH(AC42,Lists!$G$3:$G$6,0)),"")</f>
        <v/>
      </c>
      <c r="AE42" s="8"/>
      <c r="AF42" s="10" t="str">
        <f aca="false">IFERROR(INDEX(Lists!$B$3:$B$7,MATCH(AE42,Lists!$A$3:$A$7,0)),"")</f>
        <v/>
      </c>
      <c r="AG42" s="8"/>
      <c r="AH42" s="8"/>
      <c r="AI42" s="8"/>
      <c r="AJ42" s="8"/>
      <c r="AK42" s="8"/>
      <c r="AL42" s="8"/>
      <c r="AM42" s="11" t="str">
        <f aca="false">IF(OR(AJ42="",AJ42=0),"",AL42/AJ42)</f>
        <v/>
      </c>
      <c r="AN42" s="8"/>
      <c r="AO42" s="8"/>
      <c r="AP42" s="10" t="str">
        <f aca="false">IF(AN42="","Not assessed",IF(AND(R42="No",AN42="Gap - recommend tailoring"),"INVALID: HSSB is not tailorable",IF(OR(Z42="",Z42=0),"NO NAMED EXECUTOR",IF(AND(N(AF42)&gt;=3,AJ42=""),"Operating claimed with no sample",IF(AND(N(AF42)&gt;=3,Z42=1),"Operating rests on one individual",IF(AND(N(AF42)&gt;=3,AB42&lt;&gt;"Yes"),"Operating claimed below designed credential",IF(AND(R42="No",N(AF42)&lt;3),"HSSB GATE: below Operating",IF(AND(N(AF42)&gt;=3,AJ42&lt;&gt;"",AL42=""),"Sample size with no conforming count","OK"))))))))</f>
        <v>Not assessed</v>
      </c>
      <c r="AQ42" s="8"/>
      <c r="AR42" s="8"/>
      <c r="AS42" s="8"/>
    </row>
    <row r="43" customFormat="false" ht="22.35" hidden="false" customHeight="false" outlineLevel="0" collapsed="false">
      <c r="A43" s="6" t="s">
        <v>185</v>
      </c>
      <c r="B43" s="6" t="s">
        <v>150</v>
      </c>
      <c r="C43" s="6" t="s">
        <v>186</v>
      </c>
      <c r="D43" s="6" t="s">
        <v>187</v>
      </c>
      <c r="E43" s="6" t="s">
        <v>81</v>
      </c>
      <c r="F43" s="7"/>
      <c r="G43" s="6" t="s">
        <v>82</v>
      </c>
      <c r="H43" s="6"/>
      <c r="I43" s="6"/>
      <c r="J43" s="6"/>
      <c r="K43" s="6"/>
      <c r="L43" s="6" t="s">
        <v>83</v>
      </c>
      <c r="M43" s="6" t="s">
        <v>84</v>
      </c>
      <c r="N43" s="6"/>
      <c r="O43" s="6"/>
      <c r="P43" s="6"/>
      <c r="Q43" s="6"/>
      <c r="R43" s="6" t="s">
        <v>85</v>
      </c>
      <c r="S43" s="6" t="s">
        <v>188</v>
      </c>
      <c r="T43" s="6" t="s">
        <v>154</v>
      </c>
      <c r="U43" s="8"/>
      <c r="V43" s="8"/>
      <c r="W43" s="8"/>
      <c r="X43" s="8"/>
      <c r="Y43" s="9"/>
      <c r="Z43" s="9"/>
      <c r="AA43" s="9"/>
      <c r="AB43" s="9"/>
      <c r="AC43" s="10" t="str">
        <f aca="false">IF(Z43="","",IF(Z43=0,"Unassigned",IF(Z43=1,"Single point",IF(AB43="Yes","Staffed and credentialed","Staffed, credential gap"))))</f>
        <v/>
      </c>
      <c r="AD43" s="10" t="str">
        <f aca="false">IFERROR(INDEX(Lists!$H$3:$H$6,MATCH(AC43,Lists!$G$3:$G$6,0)),"")</f>
        <v/>
      </c>
      <c r="AE43" s="8"/>
      <c r="AF43" s="10" t="str">
        <f aca="false">IFERROR(INDEX(Lists!$B$3:$B$7,MATCH(AE43,Lists!$A$3:$A$7,0)),"")</f>
        <v/>
      </c>
      <c r="AG43" s="8"/>
      <c r="AH43" s="8"/>
      <c r="AI43" s="8"/>
      <c r="AJ43" s="8"/>
      <c r="AK43" s="8"/>
      <c r="AL43" s="8"/>
      <c r="AM43" s="11" t="str">
        <f aca="false">IF(OR(AJ43="",AJ43=0),"",AL43/AJ43)</f>
        <v/>
      </c>
      <c r="AN43" s="8"/>
      <c r="AO43" s="8"/>
      <c r="AP43" s="10" t="str">
        <f aca="false">IF(AN43="","Not assessed",IF(AND(R43="No",AN43="Gap - recommend tailoring"),"INVALID: HSSB is not tailorable",IF(OR(Z43="",Z43=0),"NO NAMED EXECUTOR",IF(AND(N(AF43)&gt;=3,AJ43=""),"Operating claimed with no sample",IF(AND(N(AF43)&gt;=3,Z43=1),"Operating rests on one individual",IF(AND(N(AF43)&gt;=3,AB43&lt;&gt;"Yes"),"Operating claimed below designed credential",IF(AND(R43="No",N(AF43)&lt;3),"HSSB GATE: below Operating",IF(AND(N(AF43)&gt;=3,AJ43&lt;&gt;"",AL43=""),"Sample size with no conforming count","OK"))))))))</f>
        <v>Not assessed</v>
      </c>
      <c r="AQ43" s="8"/>
      <c r="AR43" s="8"/>
      <c r="AS43" s="8"/>
    </row>
    <row r="44" customFormat="false" ht="22.35" hidden="false" customHeight="false" outlineLevel="0" collapsed="false">
      <c r="A44" s="6" t="s">
        <v>189</v>
      </c>
      <c r="B44" s="6" t="s">
        <v>150</v>
      </c>
      <c r="C44" s="6" t="s">
        <v>186</v>
      </c>
      <c r="D44" s="6" t="s">
        <v>187</v>
      </c>
      <c r="E44" s="6" t="s">
        <v>156</v>
      </c>
      <c r="F44" s="7"/>
      <c r="G44" s="6" t="s">
        <v>82</v>
      </c>
      <c r="H44" s="6"/>
      <c r="I44" s="6"/>
      <c r="J44" s="6"/>
      <c r="K44" s="6"/>
      <c r="L44" s="6" t="s">
        <v>83</v>
      </c>
      <c r="M44" s="6" t="s">
        <v>84</v>
      </c>
      <c r="N44" s="6"/>
      <c r="O44" s="6"/>
      <c r="P44" s="6"/>
      <c r="Q44" s="6"/>
      <c r="R44" s="6" t="s">
        <v>85</v>
      </c>
      <c r="S44" s="6" t="s">
        <v>188</v>
      </c>
      <c r="T44" s="6" t="s">
        <v>154</v>
      </c>
      <c r="U44" s="8"/>
      <c r="V44" s="8"/>
      <c r="W44" s="8"/>
      <c r="X44" s="8"/>
      <c r="Y44" s="9"/>
      <c r="Z44" s="9"/>
      <c r="AA44" s="9"/>
      <c r="AB44" s="9"/>
      <c r="AC44" s="10" t="str">
        <f aca="false">IF(Z44="","",IF(Z44=0,"Unassigned",IF(Z44=1,"Single point",IF(AB44="Yes","Staffed and credentialed","Staffed, credential gap"))))</f>
        <v/>
      </c>
      <c r="AD44" s="10" t="str">
        <f aca="false">IFERROR(INDEX(Lists!$H$3:$H$6,MATCH(AC44,Lists!$G$3:$G$6,0)),"")</f>
        <v/>
      </c>
      <c r="AE44" s="8"/>
      <c r="AF44" s="10" t="str">
        <f aca="false">IFERROR(INDEX(Lists!$B$3:$B$7,MATCH(AE44,Lists!$A$3:$A$7,0)),"")</f>
        <v/>
      </c>
      <c r="AG44" s="8"/>
      <c r="AH44" s="8"/>
      <c r="AI44" s="8"/>
      <c r="AJ44" s="8"/>
      <c r="AK44" s="8"/>
      <c r="AL44" s="8"/>
      <c r="AM44" s="11" t="str">
        <f aca="false">IF(OR(AJ44="",AJ44=0),"",AL44/AJ44)</f>
        <v/>
      </c>
      <c r="AN44" s="8"/>
      <c r="AO44" s="8"/>
      <c r="AP44" s="10" t="str">
        <f aca="false">IF(AN44="","Not assessed",IF(AND(R44="No",AN44="Gap - recommend tailoring"),"INVALID: HSSB is not tailorable",IF(OR(Z44="",Z44=0),"NO NAMED EXECUTOR",IF(AND(N(AF44)&gt;=3,AJ44=""),"Operating claimed with no sample",IF(AND(N(AF44)&gt;=3,Z44=1),"Operating rests on one individual",IF(AND(N(AF44)&gt;=3,AB44&lt;&gt;"Yes"),"Operating claimed below designed credential",IF(AND(R44="No",N(AF44)&lt;3),"HSSB GATE: below Operating",IF(AND(N(AF44)&gt;=3,AJ44&lt;&gt;"",AL44=""),"Sample size with no conforming count","OK"))))))))</f>
        <v>Not assessed</v>
      </c>
      <c r="AQ44" s="8"/>
      <c r="AR44" s="8"/>
      <c r="AS44" s="8"/>
    </row>
    <row r="45" customFormat="false" ht="22.35" hidden="false" customHeight="false" outlineLevel="0" collapsed="false">
      <c r="A45" s="12" t="s">
        <v>190</v>
      </c>
      <c r="B45" s="12" t="s">
        <v>150</v>
      </c>
      <c r="C45" s="12" t="s">
        <v>186</v>
      </c>
      <c r="D45" s="12" t="s">
        <v>187</v>
      </c>
      <c r="E45" s="12" t="s">
        <v>158</v>
      </c>
      <c r="F45" s="12"/>
      <c r="G45" s="13" t="s">
        <v>85</v>
      </c>
      <c r="H45" s="13" t="s">
        <v>191</v>
      </c>
      <c r="I45" s="12" t="s">
        <v>192</v>
      </c>
      <c r="J45" s="12" t="s">
        <v>193</v>
      </c>
      <c r="K45" s="12" t="s">
        <v>194</v>
      </c>
      <c r="L45" s="12" t="s">
        <v>93</v>
      </c>
      <c r="M45" s="12" t="s">
        <v>94</v>
      </c>
      <c r="N45" s="12" t="s">
        <v>95</v>
      </c>
      <c r="O45" s="12" t="s">
        <v>96</v>
      </c>
      <c r="P45" s="12" t="s">
        <v>97</v>
      </c>
      <c r="Q45" s="12" t="s">
        <v>195</v>
      </c>
      <c r="R45" s="12" t="s">
        <v>82</v>
      </c>
      <c r="S45" s="12" t="s">
        <v>188</v>
      </c>
      <c r="T45" s="12" t="s">
        <v>154</v>
      </c>
      <c r="U45" s="8"/>
      <c r="V45" s="8"/>
      <c r="W45" s="8"/>
      <c r="X45" s="8"/>
      <c r="Y45" s="9"/>
      <c r="Z45" s="9"/>
      <c r="AA45" s="9"/>
      <c r="AB45" s="9"/>
      <c r="AC45" s="10" t="str">
        <f aca="false">IF(Z45="","",IF(Z45=0,"Unassigned",IF(Z45=1,"Single point",IF(AB45="Yes","Staffed and credentialed","Staffed, credential gap"))))</f>
        <v/>
      </c>
      <c r="AD45" s="10" t="str">
        <f aca="false">IFERROR(INDEX(Lists!$H$3:$H$6,MATCH(AC45,Lists!$G$3:$G$6,0)),"")</f>
        <v/>
      </c>
      <c r="AE45" s="8"/>
      <c r="AF45" s="10" t="str">
        <f aca="false">IFERROR(INDEX(Lists!$B$3:$B$7,MATCH(AE45,Lists!$A$3:$A$7,0)),"")</f>
        <v/>
      </c>
      <c r="AG45" s="8"/>
      <c r="AH45" s="8"/>
      <c r="AI45" s="8"/>
      <c r="AJ45" s="8"/>
      <c r="AK45" s="8"/>
      <c r="AL45" s="8"/>
      <c r="AM45" s="11" t="str">
        <f aca="false">IF(OR(AJ45="",AJ45=0),"",AL45/AJ45)</f>
        <v/>
      </c>
      <c r="AN45" s="8"/>
      <c r="AO45" s="8"/>
      <c r="AP45" s="10" t="str">
        <f aca="false">IF(AN45="","Not assessed",IF(AND(R45="No",AN45="Gap - recommend tailoring"),"INVALID: HSSB is not tailorable",IF(OR(Z45="",Z45=0),"NO NAMED EXECUTOR",IF(AND(N(AF45)&gt;=3,AJ45=""),"Operating claimed with no sample",IF(AND(N(AF45)&gt;=3,Z45=1),"Operating rests on one individual",IF(AND(N(AF45)&gt;=3,AB45&lt;&gt;"Yes"),"Operating claimed below designed credential",IF(AND(R45="No",N(AF45)&lt;3),"HSSB GATE: below Operating",IF(AND(N(AF45)&gt;=3,AJ45&lt;&gt;"",AL45=""),"Sample size with no conforming count","OK"))))))))</f>
        <v>Not assessed</v>
      </c>
      <c r="AQ45" s="8"/>
      <c r="AR45" s="8"/>
      <c r="AS45" s="8"/>
    </row>
    <row r="46" customFormat="false" ht="22.35" hidden="false" customHeight="false" outlineLevel="0" collapsed="false">
      <c r="A46" s="6" t="s">
        <v>196</v>
      </c>
      <c r="B46" s="6" t="s">
        <v>150</v>
      </c>
      <c r="C46" s="6" t="s">
        <v>186</v>
      </c>
      <c r="D46" s="6" t="s">
        <v>187</v>
      </c>
      <c r="E46" s="6" t="s">
        <v>160</v>
      </c>
      <c r="F46" s="7"/>
      <c r="G46" s="6" t="s">
        <v>82</v>
      </c>
      <c r="H46" s="6"/>
      <c r="I46" s="6"/>
      <c r="J46" s="6"/>
      <c r="K46" s="6"/>
      <c r="L46" s="6" t="s">
        <v>83</v>
      </c>
      <c r="M46" s="6" t="s">
        <v>84</v>
      </c>
      <c r="N46" s="6"/>
      <c r="O46" s="6"/>
      <c r="P46" s="6"/>
      <c r="Q46" s="6"/>
      <c r="R46" s="6" t="s">
        <v>85</v>
      </c>
      <c r="S46" s="6" t="s">
        <v>188</v>
      </c>
      <c r="T46" s="6" t="s">
        <v>154</v>
      </c>
      <c r="U46" s="8"/>
      <c r="V46" s="8"/>
      <c r="W46" s="8"/>
      <c r="X46" s="8"/>
      <c r="Y46" s="9"/>
      <c r="Z46" s="9"/>
      <c r="AA46" s="9"/>
      <c r="AB46" s="9"/>
      <c r="AC46" s="10" t="str">
        <f aca="false">IF(Z46="","",IF(Z46=0,"Unassigned",IF(Z46=1,"Single point",IF(AB46="Yes","Staffed and credentialed","Staffed, credential gap"))))</f>
        <v/>
      </c>
      <c r="AD46" s="10" t="str">
        <f aca="false">IFERROR(INDEX(Lists!$H$3:$H$6,MATCH(AC46,Lists!$G$3:$G$6,0)),"")</f>
        <v/>
      </c>
      <c r="AE46" s="8"/>
      <c r="AF46" s="10" t="str">
        <f aca="false">IFERROR(INDEX(Lists!$B$3:$B$7,MATCH(AE46,Lists!$A$3:$A$7,0)),"")</f>
        <v/>
      </c>
      <c r="AG46" s="8"/>
      <c r="AH46" s="8"/>
      <c r="AI46" s="8"/>
      <c r="AJ46" s="8"/>
      <c r="AK46" s="8"/>
      <c r="AL46" s="8"/>
      <c r="AM46" s="11" t="str">
        <f aca="false">IF(OR(AJ46="",AJ46=0),"",AL46/AJ46)</f>
        <v/>
      </c>
      <c r="AN46" s="8"/>
      <c r="AO46" s="8"/>
      <c r="AP46" s="10" t="str">
        <f aca="false">IF(AN46="","Not assessed",IF(AND(R46="No",AN46="Gap - recommend tailoring"),"INVALID: HSSB is not tailorable",IF(OR(Z46="",Z46=0),"NO NAMED EXECUTOR",IF(AND(N(AF46)&gt;=3,AJ46=""),"Operating claimed with no sample",IF(AND(N(AF46)&gt;=3,Z46=1),"Operating rests on one individual",IF(AND(N(AF46)&gt;=3,AB46&lt;&gt;"Yes"),"Operating claimed below designed credential",IF(AND(R46="No",N(AF46)&lt;3),"HSSB GATE: below Operating",IF(AND(N(AF46)&gt;=3,AJ46&lt;&gt;"",AL46=""),"Sample size with no conforming count","OK"))))))))</f>
        <v>Not assessed</v>
      </c>
      <c r="AQ46" s="8"/>
      <c r="AR46" s="8"/>
      <c r="AS46" s="8"/>
    </row>
    <row r="47" customFormat="false" ht="22.35" hidden="false" customHeight="false" outlineLevel="0" collapsed="false">
      <c r="A47" s="6" t="s">
        <v>197</v>
      </c>
      <c r="B47" s="6" t="s">
        <v>150</v>
      </c>
      <c r="C47" s="6" t="s">
        <v>186</v>
      </c>
      <c r="D47" s="6" t="s">
        <v>187</v>
      </c>
      <c r="E47" s="6" t="s">
        <v>162</v>
      </c>
      <c r="F47" s="7"/>
      <c r="G47" s="6" t="s">
        <v>82</v>
      </c>
      <c r="H47" s="6"/>
      <c r="I47" s="6"/>
      <c r="J47" s="6"/>
      <c r="K47" s="6"/>
      <c r="L47" s="6" t="s">
        <v>83</v>
      </c>
      <c r="M47" s="6" t="s">
        <v>84</v>
      </c>
      <c r="N47" s="6"/>
      <c r="O47" s="6"/>
      <c r="P47" s="6"/>
      <c r="Q47" s="6"/>
      <c r="R47" s="6" t="s">
        <v>85</v>
      </c>
      <c r="S47" s="6" t="s">
        <v>188</v>
      </c>
      <c r="T47" s="6" t="s">
        <v>154</v>
      </c>
      <c r="U47" s="8"/>
      <c r="V47" s="8"/>
      <c r="W47" s="8"/>
      <c r="X47" s="8"/>
      <c r="Y47" s="9"/>
      <c r="Z47" s="9"/>
      <c r="AA47" s="9"/>
      <c r="AB47" s="9"/>
      <c r="AC47" s="10" t="str">
        <f aca="false">IF(Z47="","",IF(Z47=0,"Unassigned",IF(Z47=1,"Single point",IF(AB47="Yes","Staffed and credentialed","Staffed, credential gap"))))</f>
        <v/>
      </c>
      <c r="AD47" s="10" t="str">
        <f aca="false">IFERROR(INDEX(Lists!$H$3:$H$6,MATCH(AC47,Lists!$G$3:$G$6,0)),"")</f>
        <v/>
      </c>
      <c r="AE47" s="8"/>
      <c r="AF47" s="10" t="str">
        <f aca="false">IFERROR(INDEX(Lists!$B$3:$B$7,MATCH(AE47,Lists!$A$3:$A$7,0)),"")</f>
        <v/>
      </c>
      <c r="AG47" s="8"/>
      <c r="AH47" s="8"/>
      <c r="AI47" s="8"/>
      <c r="AJ47" s="8"/>
      <c r="AK47" s="8"/>
      <c r="AL47" s="8"/>
      <c r="AM47" s="11" t="str">
        <f aca="false">IF(OR(AJ47="",AJ47=0),"",AL47/AJ47)</f>
        <v/>
      </c>
      <c r="AN47" s="8"/>
      <c r="AO47" s="8"/>
      <c r="AP47" s="10" t="str">
        <f aca="false">IF(AN47="","Not assessed",IF(AND(R47="No",AN47="Gap - recommend tailoring"),"INVALID: HSSB is not tailorable",IF(OR(Z47="",Z47=0),"NO NAMED EXECUTOR",IF(AND(N(AF47)&gt;=3,AJ47=""),"Operating claimed with no sample",IF(AND(N(AF47)&gt;=3,Z47=1),"Operating rests on one individual",IF(AND(N(AF47)&gt;=3,AB47&lt;&gt;"Yes"),"Operating claimed below designed credential",IF(AND(R47="No",N(AF47)&lt;3),"HSSB GATE: below Operating",IF(AND(N(AF47)&gt;=3,AJ47&lt;&gt;"",AL47=""),"Sample size with no conforming count","OK"))))))))</f>
        <v>Not assessed</v>
      </c>
      <c r="AQ47" s="8"/>
      <c r="AR47" s="8"/>
      <c r="AS47" s="8"/>
    </row>
    <row r="48" customFormat="false" ht="22.35" hidden="false" customHeight="false" outlineLevel="0" collapsed="false">
      <c r="A48" s="6" t="s">
        <v>198</v>
      </c>
      <c r="B48" s="6" t="s">
        <v>150</v>
      </c>
      <c r="C48" s="6" t="s">
        <v>186</v>
      </c>
      <c r="D48" s="6" t="s">
        <v>187</v>
      </c>
      <c r="E48" s="6" t="s">
        <v>164</v>
      </c>
      <c r="F48" s="7"/>
      <c r="G48" s="6" t="s">
        <v>82</v>
      </c>
      <c r="H48" s="6"/>
      <c r="I48" s="6"/>
      <c r="J48" s="6"/>
      <c r="K48" s="6"/>
      <c r="L48" s="6" t="s">
        <v>83</v>
      </c>
      <c r="M48" s="6" t="s">
        <v>84</v>
      </c>
      <c r="N48" s="6"/>
      <c r="O48" s="6"/>
      <c r="P48" s="6"/>
      <c r="Q48" s="6"/>
      <c r="R48" s="6" t="s">
        <v>85</v>
      </c>
      <c r="S48" s="6" t="s">
        <v>188</v>
      </c>
      <c r="T48" s="6" t="s">
        <v>154</v>
      </c>
      <c r="U48" s="8"/>
      <c r="V48" s="8"/>
      <c r="W48" s="8"/>
      <c r="X48" s="8"/>
      <c r="Y48" s="9"/>
      <c r="Z48" s="9"/>
      <c r="AA48" s="9"/>
      <c r="AB48" s="9"/>
      <c r="AC48" s="10" t="str">
        <f aca="false">IF(Z48="","",IF(Z48=0,"Unassigned",IF(Z48=1,"Single point",IF(AB48="Yes","Staffed and credentialed","Staffed, credential gap"))))</f>
        <v/>
      </c>
      <c r="AD48" s="10" t="str">
        <f aca="false">IFERROR(INDEX(Lists!$H$3:$H$6,MATCH(AC48,Lists!$G$3:$G$6,0)),"")</f>
        <v/>
      </c>
      <c r="AE48" s="8"/>
      <c r="AF48" s="10" t="str">
        <f aca="false">IFERROR(INDEX(Lists!$B$3:$B$7,MATCH(AE48,Lists!$A$3:$A$7,0)),"")</f>
        <v/>
      </c>
      <c r="AG48" s="8"/>
      <c r="AH48" s="8"/>
      <c r="AI48" s="8"/>
      <c r="AJ48" s="8"/>
      <c r="AK48" s="8"/>
      <c r="AL48" s="8"/>
      <c r="AM48" s="11" t="str">
        <f aca="false">IF(OR(AJ48="",AJ48=0),"",AL48/AJ48)</f>
        <v/>
      </c>
      <c r="AN48" s="8"/>
      <c r="AO48" s="8"/>
      <c r="AP48" s="10" t="str">
        <f aca="false">IF(AN48="","Not assessed",IF(AND(R48="No",AN48="Gap - recommend tailoring"),"INVALID: HSSB is not tailorable",IF(OR(Z48="",Z48=0),"NO NAMED EXECUTOR",IF(AND(N(AF48)&gt;=3,AJ48=""),"Operating claimed with no sample",IF(AND(N(AF48)&gt;=3,Z48=1),"Operating rests on one individual",IF(AND(N(AF48)&gt;=3,AB48&lt;&gt;"Yes"),"Operating claimed below designed credential",IF(AND(R48="No",N(AF48)&lt;3),"HSSB GATE: below Operating",IF(AND(N(AF48)&gt;=3,AJ48&lt;&gt;"",AL48=""),"Sample size with no conforming count","OK"))))))))</f>
        <v>Not assessed</v>
      </c>
      <c r="AQ48" s="8"/>
      <c r="AR48" s="8"/>
      <c r="AS48" s="8"/>
    </row>
    <row r="49" customFormat="false" ht="22.35" hidden="false" customHeight="false" outlineLevel="0" collapsed="false">
      <c r="A49" s="6" t="s">
        <v>199</v>
      </c>
      <c r="B49" s="6" t="s">
        <v>150</v>
      </c>
      <c r="C49" s="6" t="s">
        <v>186</v>
      </c>
      <c r="D49" s="6" t="s">
        <v>187</v>
      </c>
      <c r="E49" s="6" t="s">
        <v>166</v>
      </c>
      <c r="F49" s="7"/>
      <c r="G49" s="6" t="s">
        <v>82</v>
      </c>
      <c r="H49" s="6"/>
      <c r="I49" s="6"/>
      <c r="J49" s="6"/>
      <c r="K49" s="6"/>
      <c r="L49" s="6" t="s">
        <v>83</v>
      </c>
      <c r="M49" s="6" t="s">
        <v>84</v>
      </c>
      <c r="N49" s="6"/>
      <c r="O49" s="6"/>
      <c r="P49" s="6"/>
      <c r="Q49" s="6"/>
      <c r="R49" s="6" t="s">
        <v>85</v>
      </c>
      <c r="S49" s="6" t="s">
        <v>188</v>
      </c>
      <c r="T49" s="6" t="s">
        <v>154</v>
      </c>
      <c r="U49" s="8"/>
      <c r="V49" s="8"/>
      <c r="W49" s="8"/>
      <c r="X49" s="8"/>
      <c r="Y49" s="9"/>
      <c r="Z49" s="9"/>
      <c r="AA49" s="9"/>
      <c r="AB49" s="9"/>
      <c r="AC49" s="10" t="str">
        <f aca="false">IF(Z49="","",IF(Z49=0,"Unassigned",IF(Z49=1,"Single point",IF(AB49="Yes","Staffed and credentialed","Staffed, credential gap"))))</f>
        <v/>
      </c>
      <c r="AD49" s="10" t="str">
        <f aca="false">IFERROR(INDEX(Lists!$H$3:$H$6,MATCH(AC49,Lists!$G$3:$G$6,0)),"")</f>
        <v/>
      </c>
      <c r="AE49" s="8"/>
      <c r="AF49" s="10" t="str">
        <f aca="false">IFERROR(INDEX(Lists!$B$3:$B$7,MATCH(AE49,Lists!$A$3:$A$7,0)),"")</f>
        <v/>
      </c>
      <c r="AG49" s="8"/>
      <c r="AH49" s="8"/>
      <c r="AI49" s="8"/>
      <c r="AJ49" s="8"/>
      <c r="AK49" s="8"/>
      <c r="AL49" s="8"/>
      <c r="AM49" s="11" t="str">
        <f aca="false">IF(OR(AJ49="",AJ49=0),"",AL49/AJ49)</f>
        <v/>
      </c>
      <c r="AN49" s="8"/>
      <c r="AO49" s="8"/>
      <c r="AP49" s="10" t="str">
        <f aca="false">IF(AN49="","Not assessed",IF(AND(R49="No",AN49="Gap - recommend tailoring"),"INVALID: HSSB is not tailorable",IF(OR(Z49="",Z49=0),"NO NAMED EXECUTOR",IF(AND(N(AF49)&gt;=3,AJ49=""),"Operating claimed with no sample",IF(AND(N(AF49)&gt;=3,Z49=1),"Operating rests on one individual",IF(AND(N(AF49)&gt;=3,AB49&lt;&gt;"Yes"),"Operating claimed below designed credential",IF(AND(R49="No",N(AF49)&lt;3),"HSSB GATE: below Operating",IF(AND(N(AF49)&gt;=3,AJ49&lt;&gt;"",AL49=""),"Sample size with no conforming count","OK"))))))))</f>
        <v>Not assessed</v>
      </c>
      <c r="AQ49" s="8"/>
      <c r="AR49" s="8"/>
      <c r="AS49" s="8"/>
    </row>
    <row r="50" customFormat="false" ht="22.35" hidden="false" customHeight="false" outlineLevel="0" collapsed="false">
      <c r="A50" s="6" t="s">
        <v>200</v>
      </c>
      <c r="B50" s="6" t="s">
        <v>150</v>
      </c>
      <c r="C50" s="6" t="s">
        <v>186</v>
      </c>
      <c r="D50" s="6" t="s">
        <v>187</v>
      </c>
      <c r="E50" s="6" t="s">
        <v>168</v>
      </c>
      <c r="F50" s="7"/>
      <c r="G50" s="6" t="s">
        <v>82</v>
      </c>
      <c r="H50" s="6"/>
      <c r="I50" s="6"/>
      <c r="J50" s="6"/>
      <c r="K50" s="6"/>
      <c r="L50" s="6" t="s">
        <v>83</v>
      </c>
      <c r="M50" s="6" t="s">
        <v>84</v>
      </c>
      <c r="N50" s="6"/>
      <c r="O50" s="6"/>
      <c r="P50" s="6"/>
      <c r="Q50" s="6"/>
      <c r="R50" s="6" t="s">
        <v>85</v>
      </c>
      <c r="S50" s="6" t="s">
        <v>188</v>
      </c>
      <c r="T50" s="6" t="s">
        <v>154</v>
      </c>
      <c r="U50" s="8"/>
      <c r="V50" s="8"/>
      <c r="W50" s="8"/>
      <c r="X50" s="8"/>
      <c r="Y50" s="9"/>
      <c r="Z50" s="9"/>
      <c r="AA50" s="9"/>
      <c r="AB50" s="9"/>
      <c r="AC50" s="10" t="str">
        <f aca="false">IF(Z50="","",IF(Z50=0,"Unassigned",IF(Z50=1,"Single point",IF(AB50="Yes","Staffed and credentialed","Staffed, credential gap"))))</f>
        <v/>
      </c>
      <c r="AD50" s="10" t="str">
        <f aca="false">IFERROR(INDEX(Lists!$H$3:$H$6,MATCH(AC50,Lists!$G$3:$G$6,0)),"")</f>
        <v/>
      </c>
      <c r="AE50" s="8"/>
      <c r="AF50" s="10" t="str">
        <f aca="false">IFERROR(INDEX(Lists!$B$3:$B$7,MATCH(AE50,Lists!$A$3:$A$7,0)),"")</f>
        <v/>
      </c>
      <c r="AG50" s="8"/>
      <c r="AH50" s="8"/>
      <c r="AI50" s="8"/>
      <c r="AJ50" s="8"/>
      <c r="AK50" s="8"/>
      <c r="AL50" s="8"/>
      <c r="AM50" s="11" t="str">
        <f aca="false">IF(OR(AJ50="",AJ50=0),"",AL50/AJ50)</f>
        <v/>
      </c>
      <c r="AN50" s="8"/>
      <c r="AO50" s="8"/>
      <c r="AP50" s="10" t="str">
        <f aca="false">IF(AN50="","Not assessed",IF(AND(R50="No",AN50="Gap - recommend tailoring"),"INVALID: HSSB is not tailorable",IF(OR(Z50="",Z50=0),"NO NAMED EXECUTOR",IF(AND(N(AF50)&gt;=3,AJ50=""),"Operating claimed with no sample",IF(AND(N(AF50)&gt;=3,Z50=1),"Operating rests on one individual",IF(AND(N(AF50)&gt;=3,AB50&lt;&gt;"Yes"),"Operating claimed below designed credential",IF(AND(R50="No",N(AF50)&lt;3),"HSSB GATE: below Operating",IF(AND(N(AF50)&gt;=3,AJ50&lt;&gt;"",AL50=""),"Sample size with no conforming count","OK"))))))))</f>
        <v>Not assessed</v>
      </c>
      <c r="AQ50" s="8"/>
      <c r="AR50" s="8"/>
      <c r="AS50" s="8"/>
    </row>
    <row r="51" customFormat="false" ht="22.35" hidden="false" customHeight="false" outlineLevel="0" collapsed="false">
      <c r="A51" s="6" t="s">
        <v>201</v>
      </c>
      <c r="B51" s="6" t="s">
        <v>150</v>
      </c>
      <c r="C51" s="6" t="s">
        <v>202</v>
      </c>
      <c r="D51" s="6" t="s">
        <v>203</v>
      </c>
      <c r="E51" s="6" t="s">
        <v>81</v>
      </c>
      <c r="F51" s="7"/>
      <c r="G51" s="6" t="s">
        <v>82</v>
      </c>
      <c r="H51" s="6"/>
      <c r="I51" s="6"/>
      <c r="J51" s="6"/>
      <c r="K51" s="6"/>
      <c r="L51" s="6" t="s">
        <v>83</v>
      </c>
      <c r="M51" s="6" t="s">
        <v>84</v>
      </c>
      <c r="N51" s="6"/>
      <c r="O51" s="6"/>
      <c r="P51" s="6"/>
      <c r="Q51" s="6"/>
      <c r="R51" s="6" t="s">
        <v>85</v>
      </c>
      <c r="S51" s="6" t="s">
        <v>204</v>
      </c>
      <c r="T51" s="6" t="s">
        <v>154</v>
      </c>
      <c r="U51" s="8"/>
      <c r="V51" s="8"/>
      <c r="W51" s="8"/>
      <c r="X51" s="8"/>
      <c r="Y51" s="9"/>
      <c r="Z51" s="9"/>
      <c r="AA51" s="9"/>
      <c r="AB51" s="9"/>
      <c r="AC51" s="10" t="str">
        <f aca="false">IF(Z51="","",IF(Z51=0,"Unassigned",IF(Z51=1,"Single point",IF(AB51="Yes","Staffed and credentialed","Staffed, credential gap"))))</f>
        <v/>
      </c>
      <c r="AD51" s="10" t="str">
        <f aca="false">IFERROR(INDEX(Lists!$H$3:$H$6,MATCH(AC51,Lists!$G$3:$G$6,0)),"")</f>
        <v/>
      </c>
      <c r="AE51" s="8"/>
      <c r="AF51" s="10" t="str">
        <f aca="false">IFERROR(INDEX(Lists!$B$3:$B$7,MATCH(AE51,Lists!$A$3:$A$7,0)),"")</f>
        <v/>
      </c>
      <c r="AG51" s="8"/>
      <c r="AH51" s="8"/>
      <c r="AI51" s="8"/>
      <c r="AJ51" s="8"/>
      <c r="AK51" s="8"/>
      <c r="AL51" s="8"/>
      <c r="AM51" s="11" t="str">
        <f aca="false">IF(OR(AJ51="",AJ51=0),"",AL51/AJ51)</f>
        <v/>
      </c>
      <c r="AN51" s="8"/>
      <c r="AO51" s="8"/>
      <c r="AP51" s="10" t="str">
        <f aca="false">IF(AN51="","Not assessed",IF(AND(R51="No",AN51="Gap - recommend tailoring"),"INVALID: HSSB is not tailorable",IF(OR(Z51="",Z51=0),"NO NAMED EXECUTOR",IF(AND(N(AF51)&gt;=3,AJ51=""),"Operating claimed with no sample",IF(AND(N(AF51)&gt;=3,Z51=1),"Operating rests on one individual",IF(AND(N(AF51)&gt;=3,AB51&lt;&gt;"Yes"),"Operating claimed below designed credential",IF(AND(R51="No",N(AF51)&lt;3),"HSSB GATE: below Operating",IF(AND(N(AF51)&gt;=3,AJ51&lt;&gt;"",AL51=""),"Sample size with no conforming count","OK"))))))))</f>
        <v>Not assessed</v>
      </c>
      <c r="AQ51" s="8"/>
      <c r="AR51" s="8"/>
      <c r="AS51" s="8"/>
    </row>
    <row r="52" customFormat="false" ht="22.35" hidden="false" customHeight="false" outlineLevel="0" collapsed="false">
      <c r="A52" s="6" t="s">
        <v>205</v>
      </c>
      <c r="B52" s="6" t="s">
        <v>150</v>
      </c>
      <c r="C52" s="6" t="s">
        <v>202</v>
      </c>
      <c r="D52" s="6" t="s">
        <v>203</v>
      </c>
      <c r="E52" s="6" t="s">
        <v>88</v>
      </c>
      <c r="F52" s="7"/>
      <c r="G52" s="6" t="s">
        <v>82</v>
      </c>
      <c r="H52" s="6"/>
      <c r="I52" s="6"/>
      <c r="J52" s="6"/>
      <c r="K52" s="6"/>
      <c r="L52" s="6" t="s">
        <v>83</v>
      </c>
      <c r="M52" s="6" t="s">
        <v>84</v>
      </c>
      <c r="N52" s="6"/>
      <c r="O52" s="6"/>
      <c r="P52" s="6"/>
      <c r="Q52" s="6"/>
      <c r="R52" s="6" t="s">
        <v>85</v>
      </c>
      <c r="S52" s="6" t="s">
        <v>204</v>
      </c>
      <c r="T52" s="6" t="s">
        <v>154</v>
      </c>
      <c r="U52" s="8"/>
      <c r="V52" s="8"/>
      <c r="W52" s="8"/>
      <c r="X52" s="8"/>
      <c r="Y52" s="9"/>
      <c r="Z52" s="9"/>
      <c r="AA52" s="9"/>
      <c r="AB52" s="9"/>
      <c r="AC52" s="10" t="str">
        <f aca="false">IF(Z52="","",IF(Z52=0,"Unassigned",IF(Z52=1,"Single point",IF(AB52="Yes","Staffed and credentialed","Staffed, credential gap"))))</f>
        <v/>
      </c>
      <c r="AD52" s="10" t="str">
        <f aca="false">IFERROR(INDEX(Lists!$H$3:$H$6,MATCH(AC52,Lists!$G$3:$G$6,0)),"")</f>
        <v/>
      </c>
      <c r="AE52" s="8"/>
      <c r="AF52" s="10" t="str">
        <f aca="false">IFERROR(INDEX(Lists!$B$3:$B$7,MATCH(AE52,Lists!$A$3:$A$7,0)),"")</f>
        <v/>
      </c>
      <c r="AG52" s="8"/>
      <c r="AH52" s="8"/>
      <c r="AI52" s="8"/>
      <c r="AJ52" s="8"/>
      <c r="AK52" s="8"/>
      <c r="AL52" s="8"/>
      <c r="AM52" s="11" t="str">
        <f aca="false">IF(OR(AJ52="",AJ52=0),"",AL52/AJ52)</f>
        <v/>
      </c>
      <c r="AN52" s="8"/>
      <c r="AO52" s="8"/>
      <c r="AP52" s="10" t="str">
        <f aca="false">IF(AN52="","Not assessed",IF(AND(R52="No",AN52="Gap - recommend tailoring"),"INVALID: HSSB is not tailorable",IF(OR(Z52="",Z52=0),"NO NAMED EXECUTOR",IF(AND(N(AF52)&gt;=3,AJ52=""),"Operating claimed with no sample",IF(AND(N(AF52)&gt;=3,Z52=1),"Operating rests on one individual",IF(AND(N(AF52)&gt;=3,AB52&lt;&gt;"Yes"),"Operating claimed below designed credential",IF(AND(R52="No",N(AF52)&lt;3),"HSSB GATE: below Operating",IF(AND(N(AF52)&gt;=3,AJ52&lt;&gt;"",AL52=""),"Sample size with no conforming count","OK"))))))))</f>
        <v>Not assessed</v>
      </c>
      <c r="AQ52" s="8"/>
      <c r="AR52" s="8"/>
      <c r="AS52" s="8"/>
    </row>
    <row r="53" customFormat="false" ht="22.35" hidden="false" customHeight="false" outlineLevel="0" collapsed="false">
      <c r="A53" s="6" t="s">
        <v>206</v>
      </c>
      <c r="B53" s="6" t="s">
        <v>150</v>
      </c>
      <c r="C53" s="6" t="s">
        <v>202</v>
      </c>
      <c r="D53" s="6" t="s">
        <v>203</v>
      </c>
      <c r="E53" s="6" t="s">
        <v>100</v>
      </c>
      <c r="F53" s="7"/>
      <c r="G53" s="6" t="s">
        <v>82</v>
      </c>
      <c r="H53" s="6"/>
      <c r="I53" s="6"/>
      <c r="J53" s="6"/>
      <c r="K53" s="6"/>
      <c r="L53" s="6" t="s">
        <v>83</v>
      </c>
      <c r="M53" s="6" t="s">
        <v>84</v>
      </c>
      <c r="N53" s="6"/>
      <c r="O53" s="6"/>
      <c r="P53" s="6"/>
      <c r="Q53" s="6"/>
      <c r="R53" s="6" t="s">
        <v>85</v>
      </c>
      <c r="S53" s="6" t="s">
        <v>204</v>
      </c>
      <c r="T53" s="6" t="s">
        <v>154</v>
      </c>
      <c r="U53" s="8"/>
      <c r="V53" s="8"/>
      <c r="W53" s="8"/>
      <c r="X53" s="8"/>
      <c r="Y53" s="9"/>
      <c r="Z53" s="9"/>
      <c r="AA53" s="9"/>
      <c r="AB53" s="9"/>
      <c r="AC53" s="10" t="str">
        <f aca="false">IF(Z53="","",IF(Z53=0,"Unassigned",IF(Z53=1,"Single point",IF(AB53="Yes","Staffed and credentialed","Staffed, credential gap"))))</f>
        <v/>
      </c>
      <c r="AD53" s="10" t="str">
        <f aca="false">IFERROR(INDEX(Lists!$H$3:$H$6,MATCH(AC53,Lists!$G$3:$G$6,0)),"")</f>
        <v/>
      </c>
      <c r="AE53" s="8"/>
      <c r="AF53" s="10" t="str">
        <f aca="false">IFERROR(INDEX(Lists!$B$3:$B$7,MATCH(AE53,Lists!$A$3:$A$7,0)),"")</f>
        <v/>
      </c>
      <c r="AG53" s="8"/>
      <c r="AH53" s="8"/>
      <c r="AI53" s="8"/>
      <c r="AJ53" s="8"/>
      <c r="AK53" s="8"/>
      <c r="AL53" s="8"/>
      <c r="AM53" s="11" t="str">
        <f aca="false">IF(OR(AJ53="",AJ53=0),"",AL53/AJ53)</f>
        <v/>
      </c>
      <c r="AN53" s="8"/>
      <c r="AO53" s="8"/>
      <c r="AP53" s="10" t="str">
        <f aca="false">IF(AN53="","Not assessed",IF(AND(R53="No",AN53="Gap - recommend tailoring"),"INVALID: HSSB is not tailorable",IF(OR(Z53="",Z53=0),"NO NAMED EXECUTOR",IF(AND(N(AF53)&gt;=3,AJ53=""),"Operating claimed with no sample",IF(AND(N(AF53)&gt;=3,Z53=1),"Operating rests on one individual",IF(AND(N(AF53)&gt;=3,AB53&lt;&gt;"Yes"),"Operating claimed below designed credential",IF(AND(R53="No",N(AF53)&lt;3),"HSSB GATE: below Operating",IF(AND(N(AF53)&gt;=3,AJ53&lt;&gt;"",AL53=""),"Sample size with no conforming count","OK"))))))))</f>
        <v>Not assessed</v>
      </c>
      <c r="AQ53" s="8"/>
      <c r="AR53" s="8"/>
      <c r="AS53" s="8"/>
    </row>
    <row r="54" customFormat="false" ht="22.35" hidden="false" customHeight="false" outlineLevel="0" collapsed="false">
      <c r="A54" s="6" t="s">
        <v>207</v>
      </c>
      <c r="B54" s="6" t="s">
        <v>150</v>
      </c>
      <c r="C54" s="6" t="s">
        <v>202</v>
      </c>
      <c r="D54" s="6" t="s">
        <v>203</v>
      </c>
      <c r="E54" s="6" t="s">
        <v>102</v>
      </c>
      <c r="F54" s="7"/>
      <c r="G54" s="6" t="s">
        <v>82</v>
      </c>
      <c r="H54" s="6"/>
      <c r="I54" s="6"/>
      <c r="J54" s="6"/>
      <c r="K54" s="6"/>
      <c r="L54" s="6" t="s">
        <v>83</v>
      </c>
      <c r="M54" s="6" t="s">
        <v>84</v>
      </c>
      <c r="N54" s="6"/>
      <c r="O54" s="6"/>
      <c r="P54" s="6"/>
      <c r="Q54" s="6"/>
      <c r="R54" s="6" t="s">
        <v>85</v>
      </c>
      <c r="S54" s="6" t="s">
        <v>204</v>
      </c>
      <c r="T54" s="6" t="s">
        <v>154</v>
      </c>
      <c r="U54" s="8"/>
      <c r="V54" s="8"/>
      <c r="W54" s="8"/>
      <c r="X54" s="8"/>
      <c r="Y54" s="9"/>
      <c r="Z54" s="9"/>
      <c r="AA54" s="9"/>
      <c r="AB54" s="9"/>
      <c r="AC54" s="10" t="str">
        <f aca="false">IF(Z54="","",IF(Z54=0,"Unassigned",IF(Z54=1,"Single point",IF(AB54="Yes","Staffed and credentialed","Staffed, credential gap"))))</f>
        <v/>
      </c>
      <c r="AD54" s="10" t="str">
        <f aca="false">IFERROR(INDEX(Lists!$H$3:$H$6,MATCH(AC54,Lists!$G$3:$G$6,0)),"")</f>
        <v/>
      </c>
      <c r="AE54" s="8"/>
      <c r="AF54" s="10" t="str">
        <f aca="false">IFERROR(INDEX(Lists!$B$3:$B$7,MATCH(AE54,Lists!$A$3:$A$7,0)),"")</f>
        <v/>
      </c>
      <c r="AG54" s="8"/>
      <c r="AH54" s="8"/>
      <c r="AI54" s="8"/>
      <c r="AJ54" s="8"/>
      <c r="AK54" s="8"/>
      <c r="AL54" s="8"/>
      <c r="AM54" s="11" t="str">
        <f aca="false">IF(OR(AJ54="",AJ54=0),"",AL54/AJ54)</f>
        <v/>
      </c>
      <c r="AN54" s="8"/>
      <c r="AO54" s="8"/>
      <c r="AP54" s="10" t="str">
        <f aca="false">IF(AN54="","Not assessed",IF(AND(R54="No",AN54="Gap - recommend tailoring"),"INVALID: HSSB is not tailorable",IF(OR(Z54="",Z54=0),"NO NAMED EXECUTOR",IF(AND(N(AF54)&gt;=3,AJ54=""),"Operating claimed with no sample",IF(AND(N(AF54)&gt;=3,Z54=1),"Operating rests on one individual",IF(AND(N(AF54)&gt;=3,AB54&lt;&gt;"Yes"),"Operating claimed below designed credential",IF(AND(R54="No",N(AF54)&lt;3),"HSSB GATE: below Operating",IF(AND(N(AF54)&gt;=3,AJ54&lt;&gt;"",AL54=""),"Sample size with no conforming count","OK"))))))))</f>
        <v>Not assessed</v>
      </c>
      <c r="AQ54" s="8"/>
      <c r="AR54" s="8"/>
      <c r="AS54" s="8"/>
    </row>
    <row r="55" customFormat="false" ht="22.35" hidden="false" customHeight="false" outlineLevel="0" collapsed="false">
      <c r="A55" s="6" t="s">
        <v>208</v>
      </c>
      <c r="B55" s="6" t="s">
        <v>150</v>
      </c>
      <c r="C55" s="6" t="s">
        <v>202</v>
      </c>
      <c r="D55" s="6" t="s">
        <v>203</v>
      </c>
      <c r="E55" s="6" t="s">
        <v>209</v>
      </c>
      <c r="F55" s="7"/>
      <c r="G55" s="6" t="s">
        <v>82</v>
      </c>
      <c r="H55" s="6"/>
      <c r="I55" s="6"/>
      <c r="J55" s="6"/>
      <c r="K55" s="6"/>
      <c r="L55" s="6" t="s">
        <v>83</v>
      </c>
      <c r="M55" s="6" t="s">
        <v>84</v>
      </c>
      <c r="N55" s="6"/>
      <c r="O55" s="6"/>
      <c r="P55" s="6"/>
      <c r="Q55" s="6"/>
      <c r="R55" s="6" t="s">
        <v>85</v>
      </c>
      <c r="S55" s="6" t="s">
        <v>204</v>
      </c>
      <c r="T55" s="6" t="s">
        <v>154</v>
      </c>
      <c r="U55" s="8"/>
      <c r="V55" s="8"/>
      <c r="W55" s="8"/>
      <c r="X55" s="8"/>
      <c r="Y55" s="9"/>
      <c r="Z55" s="9"/>
      <c r="AA55" s="9"/>
      <c r="AB55" s="9"/>
      <c r="AC55" s="10" t="str">
        <f aca="false">IF(Z55="","",IF(Z55=0,"Unassigned",IF(Z55=1,"Single point",IF(AB55="Yes","Staffed and credentialed","Staffed, credential gap"))))</f>
        <v/>
      </c>
      <c r="AD55" s="10" t="str">
        <f aca="false">IFERROR(INDEX(Lists!$H$3:$H$6,MATCH(AC55,Lists!$G$3:$G$6,0)),"")</f>
        <v/>
      </c>
      <c r="AE55" s="8"/>
      <c r="AF55" s="10" t="str">
        <f aca="false">IFERROR(INDEX(Lists!$B$3:$B$7,MATCH(AE55,Lists!$A$3:$A$7,0)),"")</f>
        <v/>
      </c>
      <c r="AG55" s="8"/>
      <c r="AH55" s="8"/>
      <c r="AI55" s="8"/>
      <c r="AJ55" s="8"/>
      <c r="AK55" s="8"/>
      <c r="AL55" s="8"/>
      <c r="AM55" s="11" t="str">
        <f aca="false">IF(OR(AJ55="",AJ55=0),"",AL55/AJ55)</f>
        <v/>
      </c>
      <c r="AN55" s="8"/>
      <c r="AO55" s="8"/>
      <c r="AP55" s="10" t="str">
        <f aca="false">IF(AN55="","Not assessed",IF(AND(R55="No",AN55="Gap - recommend tailoring"),"INVALID: HSSB is not tailorable",IF(OR(Z55="",Z55=0),"NO NAMED EXECUTOR",IF(AND(N(AF55)&gt;=3,AJ55=""),"Operating claimed with no sample",IF(AND(N(AF55)&gt;=3,Z55=1),"Operating rests on one individual",IF(AND(N(AF55)&gt;=3,AB55&lt;&gt;"Yes"),"Operating claimed below designed credential",IF(AND(R55="No",N(AF55)&lt;3),"HSSB GATE: below Operating",IF(AND(N(AF55)&gt;=3,AJ55&lt;&gt;"",AL55=""),"Sample size with no conforming count","OK"))))))))</f>
        <v>Not assessed</v>
      </c>
      <c r="AQ55" s="8"/>
      <c r="AR55" s="8"/>
      <c r="AS55" s="8"/>
    </row>
    <row r="56" customFormat="false" ht="22.35" hidden="false" customHeight="false" outlineLevel="0" collapsed="false">
      <c r="A56" s="6" t="s">
        <v>210</v>
      </c>
      <c r="B56" s="6" t="s">
        <v>150</v>
      </c>
      <c r="C56" s="6" t="s">
        <v>211</v>
      </c>
      <c r="D56" s="6" t="s">
        <v>212</v>
      </c>
      <c r="E56" s="6" t="s">
        <v>81</v>
      </c>
      <c r="F56" s="7"/>
      <c r="G56" s="6" t="s">
        <v>82</v>
      </c>
      <c r="H56" s="6"/>
      <c r="I56" s="6"/>
      <c r="J56" s="6"/>
      <c r="K56" s="6"/>
      <c r="L56" s="6" t="s">
        <v>83</v>
      </c>
      <c r="M56" s="6" t="s">
        <v>84</v>
      </c>
      <c r="N56" s="6"/>
      <c r="O56" s="6"/>
      <c r="P56" s="6"/>
      <c r="Q56" s="6"/>
      <c r="R56" s="6" t="s">
        <v>85</v>
      </c>
      <c r="S56" s="6"/>
      <c r="T56" s="6" t="s">
        <v>154</v>
      </c>
      <c r="U56" s="8"/>
      <c r="V56" s="8"/>
      <c r="W56" s="8"/>
      <c r="X56" s="8"/>
      <c r="Y56" s="9"/>
      <c r="Z56" s="9"/>
      <c r="AA56" s="9"/>
      <c r="AB56" s="9"/>
      <c r="AC56" s="10" t="str">
        <f aca="false">IF(Z56="","",IF(Z56=0,"Unassigned",IF(Z56=1,"Single point",IF(AB56="Yes","Staffed and credentialed","Staffed, credential gap"))))</f>
        <v/>
      </c>
      <c r="AD56" s="10" t="str">
        <f aca="false">IFERROR(INDEX(Lists!$H$3:$H$6,MATCH(AC56,Lists!$G$3:$G$6,0)),"")</f>
        <v/>
      </c>
      <c r="AE56" s="8"/>
      <c r="AF56" s="10" t="str">
        <f aca="false">IFERROR(INDEX(Lists!$B$3:$B$7,MATCH(AE56,Lists!$A$3:$A$7,0)),"")</f>
        <v/>
      </c>
      <c r="AG56" s="8"/>
      <c r="AH56" s="8"/>
      <c r="AI56" s="8"/>
      <c r="AJ56" s="8"/>
      <c r="AK56" s="8"/>
      <c r="AL56" s="8"/>
      <c r="AM56" s="11" t="str">
        <f aca="false">IF(OR(AJ56="",AJ56=0),"",AL56/AJ56)</f>
        <v/>
      </c>
      <c r="AN56" s="8"/>
      <c r="AO56" s="8"/>
      <c r="AP56" s="10" t="str">
        <f aca="false">IF(AN56="","Not assessed",IF(AND(R56="No",AN56="Gap - recommend tailoring"),"INVALID: HSSB is not tailorable",IF(OR(Z56="",Z56=0),"NO NAMED EXECUTOR",IF(AND(N(AF56)&gt;=3,AJ56=""),"Operating claimed with no sample",IF(AND(N(AF56)&gt;=3,Z56=1),"Operating rests on one individual",IF(AND(N(AF56)&gt;=3,AB56&lt;&gt;"Yes"),"Operating claimed below designed credential",IF(AND(R56="No",N(AF56)&lt;3),"HSSB GATE: below Operating",IF(AND(N(AF56)&gt;=3,AJ56&lt;&gt;"",AL56=""),"Sample size with no conforming count","OK"))))))))</f>
        <v>Not assessed</v>
      </c>
      <c r="AQ56" s="8"/>
      <c r="AR56" s="8"/>
      <c r="AS56" s="8"/>
    </row>
    <row r="57" customFormat="false" ht="22.35" hidden="false" customHeight="false" outlineLevel="0" collapsed="false">
      <c r="A57" s="6" t="s">
        <v>213</v>
      </c>
      <c r="B57" s="6" t="s">
        <v>150</v>
      </c>
      <c r="C57" s="6" t="s">
        <v>211</v>
      </c>
      <c r="D57" s="6" t="s">
        <v>212</v>
      </c>
      <c r="E57" s="6" t="s">
        <v>88</v>
      </c>
      <c r="F57" s="7"/>
      <c r="G57" s="6" t="s">
        <v>82</v>
      </c>
      <c r="H57" s="6"/>
      <c r="I57" s="6"/>
      <c r="J57" s="6"/>
      <c r="K57" s="6"/>
      <c r="L57" s="6" t="s">
        <v>83</v>
      </c>
      <c r="M57" s="6" t="s">
        <v>84</v>
      </c>
      <c r="N57" s="6"/>
      <c r="O57" s="6"/>
      <c r="P57" s="6"/>
      <c r="Q57" s="6"/>
      <c r="R57" s="6" t="s">
        <v>85</v>
      </c>
      <c r="S57" s="6"/>
      <c r="T57" s="6" t="s">
        <v>154</v>
      </c>
      <c r="U57" s="8"/>
      <c r="V57" s="8"/>
      <c r="W57" s="8"/>
      <c r="X57" s="8"/>
      <c r="Y57" s="9"/>
      <c r="Z57" s="9"/>
      <c r="AA57" s="9"/>
      <c r="AB57" s="9"/>
      <c r="AC57" s="10" t="str">
        <f aca="false">IF(Z57="","",IF(Z57=0,"Unassigned",IF(Z57=1,"Single point",IF(AB57="Yes","Staffed and credentialed","Staffed, credential gap"))))</f>
        <v/>
      </c>
      <c r="AD57" s="10" t="str">
        <f aca="false">IFERROR(INDEX(Lists!$H$3:$H$6,MATCH(AC57,Lists!$G$3:$G$6,0)),"")</f>
        <v/>
      </c>
      <c r="AE57" s="8"/>
      <c r="AF57" s="10" t="str">
        <f aca="false">IFERROR(INDEX(Lists!$B$3:$B$7,MATCH(AE57,Lists!$A$3:$A$7,0)),"")</f>
        <v/>
      </c>
      <c r="AG57" s="8"/>
      <c r="AH57" s="8"/>
      <c r="AI57" s="8"/>
      <c r="AJ57" s="8"/>
      <c r="AK57" s="8"/>
      <c r="AL57" s="8"/>
      <c r="AM57" s="11" t="str">
        <f aca="false">IF(OR(AJ57="",AJ57=0),"",AL57/AJ57)</f>
        <v/>
      </c>
      <c r="AN57" s="8"/>
      <c r="AO57" s="8"/>
      <c r="AP57" s="10" t="str">
        <f aca="false">IF(AN57="","Not assessed",IF(AND(R57="No",AN57="Gap - recommend tailoring"),"INVALID: HSSB is not tailorable",IF(OR(Z57="",Z57=0),"NO NAMED EXECUTOR",IF(AND(N(AF57)&gt;=3,AJ57=""),"Operating claimed with no sample",IF(AND(N(AF57)&gt;=3,Z57=1),"Operating rests on one individual",IF(AND(N(AF57)&gt;=3,AB57&lt;&gt;"Yes"),"Operating claimed below designed credential",IF(AND(R57="No",N(AF57)&lt;3),"HSSB GATE: below Operating",IF(AND(N(AF57)&gt;=3,AJ57&lt;&gt;"",AL57=""),"Sample size with no conforming count","OK"))))))))</f>
        <v>Not assessed</v>
      </c>
      <c r="AQ57" s="8"/>
      <c r="AR57" s="8"/>
      <c r="AS57" s="8"/>
    </row>
    <row r="58" customFormat="false" ht="22.35" hidden="false" customHeight="false" outlineLevel="0" collapsed="false">
      <c r="A58" s="6" t="s">
        <v>214</v>
      </c>
      <c r="B58" s="6" t="s">
        <v>150</v>
      </c>
      <c r="C58" s="6" t="s">
        <v>215</v>
      </c>
      <c r="D58" s="6" t="s">
        <v>216</v>
      </c>
      <c r="E58" s="6" t="s">
        <v>112</v>
      </c>
      <c r="F58" s="7"/>
      <c r="G58" s="6" t="s">
        <v>82</v>
      </c>
      <c r="H58" s="6"/>
      <c r="I58" s="6"/>
      <c r="J58" s="6"/>
      <c r="K58" s="6"/>
      <c r="L58" s="6" t="s">
        <v>83</v>
      </c>
      <c r="M58" s="6" t="s">
        <v>84</v>
      </c>
      <c r="N58" s="6"/>
      <c r="O58" s="6"/>
      <c r="P58" s="6"/>
      <c r="Q58" s="6"/>
      <c r="R58" s="6" t="s">
        <v>85</v>
      </c>
      <c r="S58" s="6"/>
      <c r="T58" s="6" t="s">
        <v>154</v>
      </c>
      <c r="U58" s="8"/>
      <c r="V58" s="8"/>
      <c r="W58" s="8"/>
      <c r="X58" s="8"/>
      <c r="Y58" s="9"/>
      <c r="Z58" s="9"/>
      <c r="AA58" s="9"/>
      <c r="AB58" s="9"/>
      <c r="AC58" s="10" t="str">
        <f aca="false">IF(Z58="","",IF(Z58=0,"Unassigned",IF(Z58=1,"Single point",IF(AB58="Yes","Staffed and credentialed","Staffed, credential gap"))))</f>
        <v/>
      </c>
      <c r="AD58" s="10" t="str">
        <f aca="false">IFERROR(INDEX(Lists!$H$3:$H$6,MATCH(AC58,Lists!$G$3:$G$6,0)),"")</f>
        <v/>
      </c>
      <c r="AE58" s="8"/>
      <c r="AF58" s="10" t="str">
        <f aca="false">IFERROR(INDEX(Lists!$B$3:$B$7,MATCH(AE58,Lists!$A$3:$A$7,0)),"")</f>
        <v/>
      </c>
      <c r="AG58" s="8"/>
      <c r="AH58" s="8"/>
      <c r="AI58" s="8"/>
      <c r="AJ58" s="8"/>
      <c r="AK58" s="8"/>
      <c r="AL58" s="8"/>
      <c r="AM58" s="11" t="str">
        <f aca="false">IF(OR(AJ58="",AJ58=0),"",AL58/AJ58)</f>
        <v/>
      </c>
      <c r="AN58" s="8"/>
      <c r="AO58" s="8"/>
      <c r="AP58" s="10" t="str">
        <f aca="false">IF(AN58="","Not assessed",IF(AND(R58="No",AN58="Gap - recommend tailoring"),"INVALID: HSSB is not tailorable",IF(OR(Z58="",Z58=0),"NO NAMED EXECUTOR",IF(AND(N(AF58)&gt;=3,AJ58=""),"Operating claimed with no sample",IF(AND(N(AF58)&gt;=3,Z58=1),"Operating rests on one individual",IF(AND(N(AF58)&gt;=3,AB58&lt;&gt;"Yes"),"Operating claimed below designed credential",IF(AND(R58="No",N(AF58)&lt;3),"HSSB GATE: below Operating",IF(AND(N(AF58)&gt;=3,AJ58&lt;&gt;"",AL58=""),"Sample size with no conforming count","OK"))))))))</f>
        <v>Not assessed</v>
      </c>
      <c r="AQ58" s="8"/>
      <c r="AR58" s="8"/>
      <c r="AS58" s="8"/>
    </row>
    <row r="59" customFormat="false" ht="22.35" hidden="false" customHeight="false" outlineLevel="0" collapsed="false">
      <c r="A59" s="6" t="s">
        <v>217</v>
      </c>
      <c r="B59" s="6" t="s">
        <v>150</v>
      </c>
      <c r="C59" s="6" t="s">
        <v>215</v>
      </c>
      <c r="D59" s="6" t="s">
        <v>216</v>
      </c>
      <c r="E59" s="6" t="s">
        <v>115</v>
      </c>
      <c r="F59" s="7"/>
      <c r="G59" s="6" t="s">
        <v>82</v>
      </c>
      <c r="H59" s="6"/>
      <c r="I59" s="6"/>
      <c r="J59" s="6"/>
      <c r="K59" s="6"/>
      <c r="L59" s="6" t="s">
        <v>83</v>
      </c>
      <c r="M59" s="6" t="s">
        <v>84</v>
      </c>
      <c r="N59" s="6"/>
      <c r="O59" s="6"/>
      <c r="P59" s="6"/>
      <c r="Q59" s="6"/>
      <c r="R59" s="6" t="s">
        <v>85</v>
      </c>
      <c r="S59" s="6"/>
      <c r="T59" s="6" t="s">
        <v>154</v>
      </c>
      <c r="U59" s="8"/>
      <c r="V59" s="8"/>
      <c r="W59" s="8"/>
      <c r="X59" s="8"/>
      <c r="Y59" s="9"/>
      <c r="Z59" s="9"/>
      <c r="AA59" s="9"/>
      <c r="AB59" s="9"/>
      <c r="AC59" s="10" t="str">
        <f aca="false">IF(Z59="","",IF(Z59=0,"Unassigned",IF(Z59=1,"Single point",IF(AB59="Yes","Staffed and credentialed","Staffed, credential gap"))))</f>
        <v/>
      </c>
      <c r="AD59" s="10" t="str">
        <f aca="false">IFERROR(INDEX(Lists!$H$3:$H$6,MATCH(AC59,Lists!$G$3:$G$6,0)),"")</f>
        <v/>
      </c>
      <c r="AE59" s="8"/>
      <c r="AF59" s="10" t="str">
        <f aca="false">IFERROR(INDEX(Lists!$B$3:$B$7,MATCH(AE59,Lists!$A$3:$A$7,0)),"")</f>
        <v/>
      </c>
      <c r="AG59" s="8"/>
      <c r="AH59" s="8"/>
      <c r="AI59" s="8"/>
      <c r="AJ59" s="8"/>
      <c r="AK59" s="8"/>
      <c r="AL59" s="8"/>
      <c r="AM59" s="11" t="str">
        <f aca="false">IF(OR(AJ59="",AJ59=0),"",AL59/AJ59)</f>
        <v/>
      </c>
      <c r="AN59" s="8"/>
      <c r="AO59" s="8"/>
      <c r="AP59" s="10" t="str">
        <f aca="false">IF(AN59="","Not assessed",IF(AND(R59="No",AN59="Gap - recommend tailoring"),"INVALID: HSSB is not tailorable",IF(OR(Z59="",Z59=0),"NO NAMED EXECUTOR",IF(AND(N(AF59)&gt;=3,AJ59=""),"Operating claimed with no sample",IF(AND(N(AF59)&gt;=3,Z59=1),"Operating rests on one individual",IF(AND(N(AF59)&gt;=3,AB59&lt;&gt;"Yes"),"Operating claimed below designed credential",IF(AND(R59="No",N(AF59)&lt;3),"HSSB GATE: below Operating",IF(AND(N(AF59)&gt;=3,AJ59&lt;&gt;"",AL59=""),"Sample size with no conforming count","OK"))))))))</f>
        <v>Not assessed</v>
      </c>
      <c r="AQ59" s="8"/>
      <c r="AR59" s="8"/>
      <c r="AS59" s="8"/>
    </row>
    <row r="60" customFormat="false" ht="22.35" hidden="false" customHeight="false" outlineLevel="0" collapsed="false">
      <c r="A60" s="6" t="s">
        <v>218</v>
      </c>
      <c r="B60" s="6" t="s">
        <v>150</v>
      </c>
      <c r="C60" s="6" t="s">
        <v>215</v>
      </c>
      <c r="D60" s="6" t="s">
        <v>216</v>
      </c>
      <c r="E60" s="6" t="s">
        <v>117</v>
      </c>
      <c r="F60" s="7"/>
      <c r="G60" s="6" t="s">
        <v>82</v>
      </c>
      <c r="H60" s="6"/>
      <c r="I60" s="6"/>
      <c r="J60" s="6"/>
      <c r="K60" s="6"/>
      <c r="L60" s="6" t="s">
        <v>83</v>
      </c>
      <c r="M60" s="6" t="s">
        <v>84</v>
      </c>
      <c r="N60" s="6"/>
      <c r="O60" s="6"/>
      <c r="P60" s="6"/>
      <c r="Q60" s="6"/>
      <c r="R60" s="6" t="s">
        <v>85</v>
      </c>
      <c r="S60" s="6"/>
      <c r="T60" s="6" t="s">
        <v>154</v>
      </c>
      <c r="U60" s="8"/>
      <c r="V60" s="8"/>
      <c r="W60" s="8"/>
      <c r="X60" s="8"/>
      <c r="Y60" s="9"/>
      <c r="Z60" s="9"/>
      <c r="AA60" s="9"/>
      <c r="AB60" s="9"/>
      <c r="AC60" s="10" t="str">
        <f aca="false">IF(Z60="","",IF(Z60=0,"Unassigned",IF(Z60=1,"Single point",IF(AB60="Yes","Staffed and credentialed","Staffed, credential gap"))))</f>
        <v/>
      </c>
      <c r="AD60" s="10" t="str">
        <f aca="false">IFERROR(INDEX(Lists!$H$3:$H$6,MATCH(AC60,Lists!$G$3:$G$6,0)),"")</f>
        <v/>
      </c>
      <c r="AE60" s="8"/>
      <c r="AF60" s="10" t="str">
        <f aca="false">IFERROR(INDEX(Lists!$B$3:$B$7,MATCH(AE60,Lists!$A$3:$A$7,0)),"")</f>
        <v/>
      </c>
      <c r="AG60" s="8"/>
      <c r="AH60" s="8"/>
      <c r="AI60" s="8"/>
      <c r="AJ60" s="8"/>
      <c r="AK60" s="8"/>
      <c r="AL60" s="8"/>
      <c r="AM60" s="11" t="str">
        <f aca="false">IF(OR(AJ60="",AJ60=0),"",AL60/AJ60)</f>
        <v/>
      </c>
      <c r="AN60" s="8"/>
      <c r="AO60" s="8"/>
      <c r="AP60" s="10" t="str">
        <f aca="false">IF(AN60="","Not assessed",IF(AND(R60="No",AN60="Gap - recommend tailoring"),"INVALID: HSSB is not tailorable",IF(OR(Z60="",Z60=0),"NO NAMED EXECUTOR",IF(AND(N(AF60)&gt;=3,AJ60=""),"Operating claimed with no sample",IF(AND(N(AF60)&gt;=3,Z60=1),"Operating rests on one individual",IF(AND(N(AF60)&gt;=3,AB60&lt;&gt;"Yes"),"Operating claimed below designed credential",IF(AND(R60="No",N(AF60)&lt;3),"HSSB GATE: below Operating",IF(AND(N(AF60)&gt;=3,AJ60&lt;&gt;"",AL60=""),"Sample size with no conforming count","OK"))))))))</f>
        <v>Not assessed</v>
      </c>
      <c r="AQ60" s="8"/>
      <c r="AR60" s="8"/>
      <c r="AS60" s="8"/>
    </row>
    <row r="61" customFormat="false" ht="22.35" hidden="false" customHeight="false" outlineLevel="0" collapsed="false">
      <c r="A61" s="6" t="s">
        <v>219</v>
      </c>
      <c r="B61" s="6" t="s">
        <v>150</v>
      </c>
      <c r="C61" s="6" t="s">
        <v>220</v>
      </c>
      <c r="D61" s="6" t="s">
        <v>221</v>
      </c>
      <c r="E61" s="6" t="s">
        <v>112</v>
      </c>
      <c r="F61" s="7"/>
      <c r="G61" s="6" t="s">
        <v>82</v>
      </c>
      <c r="H61" s="6"/>
      <c r="I61" s="6"/>
      <c r="J61" s="6"/>
      <c r="K61" s="6"/>
      <c r="L61" s="6" t="s">
        <v>83</v>
      </c>
      <c r="M61" s="6" t="s">
        <v>84</v>
      </c>
      <c r="N61" s="6"/>
      <c r="O61" s="6"/>
      <c r="P61" s="6"/>
      <c r="Q61" s="6"/>
      <c r="R61" s="6" t="s">
        <v>85</v>
      </c>
      <c r="S61" s="6"/>
      <c r="T61" s="6" t="s">
        <v>154</v>
      </c>
      <c r="U61" s="8"/>
      <c r="V61" s="8"/>
      <c r="W61" s="8"/>
      <c r="X61" s="8"/>
      <c r="Y61" s="9"/>
      <c r="Z61" s="9"/>
      <c r="AA61" s="9"/>
      <c r="AB61" s="9"/>
      <c r="AC61" s="10" t="str">
        <f aca="false">IF(Z61="","",IF(Z61=0,"Unassigned",IF(Z61=1,"Single point",IF(AB61="Yes","Staffed and credentialed","Staffed, credential gap"))))</f>
        <v/>
      </c>
      <c r="AD61" s="10" t="str">
        <f aca="false">IFERROR(INDEX(Lists!$H$3:$H$6,MATCH(AC61,Lists!$G$3:$G$6,0)),"")</f>
        <v/>
      </c>
      <c r="AE61" s="8"/>
      <c r="AF61" s="10" t="str">
        <f aca="false">IFERROR(INDEX(Lists!$B$3:$B$7,MATCH(AE61,Lists!$A$3:$A$7,0)),"")</f>
        <v/>
      </c>
      <c r="AG61" s="8"/>
      <c r="AH61" s="8"/>
      <c r="AI61" s="8"/>
      <c r="AJ61" s="8"/>
      <c r="AK61" s="8"/>
      <c r="AL61" s="8"/>
      <c r="AM61" s="11" t="str">
        <f aca="false">IF(OR(AJ61="",AJ61=0),"",AL61/AJ61)</f>
        <v/>
      </c>
      <c r="AN61" s="8"/>
      <c r="AO61" s="8"/>
      <c r="AP61" s="10" t="str">
        <f aca="false">IF(AN61="","Not assessed",IF(AND(R61="No",AN61="Gap - recommend tailoring"),"INVALID: HSSB is not tailorable",IF(OR(Z61="",Z61=0),"NO NAMED EXECUTOR",IF(AND(N(AF61)&gt;=3,AJ61=""),"Operating claimed with no sample",IF(AND(N(AF61)&gt;=3,Z61=1),"Operating rests on one individual",IF(AND(N(AF61)&gt;=3,AB61&lt;&gt;"Yes"),"Operating claimed below designed credential",IF(AND(R61="No",N(AF61)&lt;3),"HSSB GATE: below Operating",IF(AND(N(AF61)&gt;=3,AJ61&lt;&gt;"",AL61=""),"Sample size with no conforming count","OK"))))))))</f>
        <v>Not assessed</v>
      </c>
      <c r="AQ61" s="8"/>
      <c r="AR61" s="8"/>
      <c r="AS61" s="8"/>
    </row>
    <row r="62" customFormat="false" ht="22.35" hidden="false" customHeight="false" outlineLevel="0" collapsed="false">
      <c r="A62" s="6" t="s">
        <v>222</v>
      </c>
      <c r="B62" s="6" t="s">
        <v>150</v>
      </c>
      <c r="C62" s="6" t="s">
        <v>220</v>
      </c>
      <c r="D62" s="6" t="s">
        <v>221</v>
      </c>
      <c r="E62" s="6" t="s">
        <v>115</v>
      </c>
      <c r="F62" s="7"/>
      <c r="G62" s="6" t="s">
        <v>82</v>
      </c>
      <c r="H62" s="6"/>
      <c r="I62" s="6"/>
      <c r="J62" s="6"/>
      <c r="K62" s="6"/>
      <c r="L62" s="6" t="s">
        <v>83</v>
      </c>
      <c r="M62" s="6" t="s">
        <v>84</v>
      </c>
      <c r="N62" s="6"/>
      <c r="O62" s="6"/>
      <c r="P62" s="6"/>
      <c r="Q62" s="6"/>
      <c r="R62" s="6" t="s">
        <v>85</v>
      </c>
      <c r="S62" s="6"/>
      <c r="T62" s="6" t="s">
        <v>154</v>
      </c>
      <c r="U62" s="8"/>
      <c r="V62" s="8"/>
      <c r="W62" s="8"/>
      <c r="X62" s="8"/>
      <c r="Y62" s="9"/>
      <c r="Z62" s="9"/>
      <c r="AA62" s="9"/>
      <c r="AB62" s="9"/>
      <c r="AC62" s="10" t="str">
        <f aca="false">IF(Z62="","",IF(Z62=0,"Unassigned",IF(Z62=1,"Single point",IF(AB62="Yes","Staffed and credentialed","Staffed, credential gap"))))</f>
        <v/>
      </c>
      <c r="AD62" s="10" t="str">
        <f aca="false">IFERROR(INDEX(Lists!$H$3:$H$6,MATCH(AC62,Lists!$G$3:$G$6,0)),"")</f>
        <v/>
      </c>
      <c r="AE62" s="8"/>
      <c r="AF62" s="10" t="str">
        <f aca="false">IFERROR(INDEX(Lists!$B$3:$B$7,MATCH(AE62,Lists!$A$3:$A$7,0)),"")</f>
        <v/>
      </c>
      <c r="AG62" s="8"/>
      <c r="AH62" s="8"/>
      <c r="AI62" s="8"/>
      <c r="AJ62" s="8"/>
      <c r="AK62" s="8"/>
      <c r="AL62" s="8"/>
      <c r="AM62" s="11" t="str">
        <f aca="false">IF(OR(AJ62="",AJ62=0),"",AL62/AJ62)</f>
        <v/>
      </c>
      <c r="AN62" s="8"/>
      <c r="AO62" s="8"/>
      <c r="AP62" s="10" t="str">
        <f aca="false">IF(AN62="","Not assessed",IF(AND(R62="No",AN62="Gap - recommend tailoring"),"INVALID: HSSB is not tailorable",IF(OR(Z62="",Z62=0),"NO NAMED EXECUTOR",IF(AND(N(AF62)&gt;=3,AJ62=""),"Operating claimed with no sample",IF(AND(N(AF62)&gt;=3,Z62=1),"Operating rests on one individual",IF(AND(N(AF62)&gt;=3,AB62&lt;&gt;"Yes"),"Operating claimed below designed credential",IF(AND(R62="No",N(AF62)&lt;3),"HSSB GATE: below Operating",IF(AND(N(AF62)&gt;=3,AJ62&lt;&gt;"",AL62=""),"Sample size with no conforming count","OK"))))))))</f>
        <v>Not assessed</v>
      </c>
      <c r="AQ62" s="8"/>
      <c r="AR62" s="8"/>
      <c r="AS62" s="8"/>
    </row>
    <row r="63" customFormat="false" ht="22.35" hidden="false" customHeight="false" outlineLevel="0" collapsed="false">
      <c r="A63" s="6" t="s">
        <v>223</v>
      </c>
      <c r="B63" s="6" t="s">
        <v>150</v>
      </c>
      <c r="C63" s="6" t="s">
        <v>220</v>
      </c>
      <c r="D63" s="6" t="s">
        <v>221</v>
      </c>
      <c r="E63" s="6" t="s">
        <v>117</v>
      </c>
      <c r="F63" s="7"/>
      <c r="G63" s="6" t="s">
        <v>82</v>
      </c>
      <c r="H63" s="6"/>
      <c r="I63" s="6"/>
      <c r="J63" s="6"/>
      <c r="K63" s="6"/>
      <c r="L63" s="6" t="s">
        <v>83</v>
      </c>
      <c r="M63" s="6" t="s">
        <v>84</v>
      </c>
      <c r="N63" s="6"/>
      <c r="O63" s="6"/>
      <c r="P63" s="6"/>
      <c r="Q63" s="6"/>
      <c r="R63" s="6" t="s">
        <v>85</v>
      </c>
      <c r="S63" s="6"/>
      <c r="T63" s="6" t="s">
        <v>154</v>
      </c>
      <c r="U63" s="8"/>
      <c r="V63" s="8"/>
      <c r="W63" s="8"/>
      <c r="X63" s="8"/>
      <c r="Y63" s="9"/>
      <c r="Z63" s="9"/>
      <c r="AA63" s="9"/>
      <c r="AB63" s="9"/>
      <c r="AC63" s="10" t="str">
        <f aca="false">IF(Z63="","",IF(Z63=0,"Unassigned",IF(Z63=1,"Single point",IF(AB63="Yes","Staffed and credentialed","Staffed, credential gap"))))</f>
        <v/>
      </c>
      <c r="AD63" s="10" t="str">
        <f aca="false">IFERROR(INDEX(Lists!$H$3:$H$6,MATCH(AC63,Lists!$G$3:$G$6,0)),"")</f>
        <v/>
      </c>
      <c r="AE63" s="8"/>
      <c r="AF63" s="10" t="str">
        <f aca="false">IFERROR(INDEX(Lists!$B$3:$B$7,MATCH(AE63,Lists!$A$3:$A$7,0)),"")</f>
        <v/>
      </c>
      <c r="AG63" s="8"/>
      <c r="AH63" s="8"/>
      <c r="AI63" s="8"/>
      <c r="AJ63" s="8"/>
      <c r="AK63" s="8"/>
      <c r="AL63" s="8"/>
      <c r="AM63" s="11" t="str">
        <f aca="false">IF(OR(AJ63="",AJ63=0),"",AL63/AJ63)</f>
        <v/>
      </c>
      <c r="AN63" s="8"/>
      <c r="AO63" s="8"/>
      <c r="AP63" s="10" t="str">
        <f aca="false">IF(AN63="","Not assessed",IF(AND(R63="No",AN63="Gap - recommend tailoring"),"INVALID: HSSB is not tailorable",IF(OR(Z63="",Z63=0),"NO NAMED EXECUTOR",IF(AND(N(AF63)&gt;=3,AJ63=""),"Operating claimed with no sample",IF(AND(N(AF63)&gt;=3,Z63=1),"Operating rests on one individual",IF(AND(N(AF63)&gt;=3,AB63&lt;&gt;"Yes"),"Operating claimed below designed credential",IF(AND(R63="No",N(AF63)&lt;3),"HSSB GATE: below Operating",IF(AND(N(AF63)&gt;=3,AJ63&lt;&gt;"",AL63=""),"Sample size with no conforming count","OK"))))))))</f>
        <v>Not assessed</v>
      </c>
      <c r="AQ63" s="8"/>
      <c r="AR63" s="8"/>
      <c r="AS63" s="8"/>
    </row>
    <row r="64" customFormat="false" ht="22.35" hidden="false" customHeight="false" outlineLevel="0" collapsed="false">
      <c r="A64" s="6" t="s">
        <v>224</v>
      </c>
      <c r="B64" s="6" t="s">
        <v>150</v>
      </c>
      <c r="C64" s="6" t="s">
        <v>225</v>
      </c>
      <c r="D64" s="6" t="s">
        <v>226</v>
      </c>
      <c r="E64" s="6" t="s">
        <v>112</v>
      </c>
      <c r="F64" s="7"/>
      <c r="G64" s="6" t="s">
        <v>82</v>
      </c>
      <c r="H64" s="6"/>
      <c r="I64" s="6"/>
      <c r="J64" s="6"/>
      <c r="K64" s="6"/>
      <c r="L64" s="6" t="s">
        <v>83</v>
      </c>
      <c r="M64" s="6" t="s">
        <v>84</v>
      </c>
      <c r="N64" s="6"/>
      <c r="O64" s="6"/>
      <c r="P64" s="6"/>
      <c r="Q64" s="6"/>
      <c r="R64" s="6" t="s">
        <v>85</v>
      </c>
      <c r="S64" s="6"/>
      <c r="T64" s="6" t="s">
        <v>154</v>
      </c>
      <c r="U64" s="8"/>
      <c r="V64" s="8"/>
      <c r="W64" s="8"/>
      <c r="X64" s="8"/>
      <c r="Y64" s="9"/>
      <c r="Z64" s="9"/>
      <c r="AA64" s="9"/>
      <c r="AB64" s="9"/>
      <c r="AC64" s="10" t="str">
        <f aca="false">IF(Z64="","",IF(Z64=0,"Unassigned",IF(Z64=1,"Single point",IF(AB64="Yes","Staffed and credentialed","Staffed, credential gap"))))</f>
        <v/>
      </c>
      <c r="AD64" s="10" t="str">
        <f aca="false">IFERROR(INDEX(Lists!$H$3:$H$6,MATCH(AC64,Lists!$G$3:$G$6,0)),"")</f>
        <v/>
      </c>
      <c r="AE64" s="8"/>
      <c r="AF64" s="10" t="str">
        <f aca="false">IFERROR(INDEX(Lists!$B$3:$B$7,MATCH(AE64,Lists!$A$3:$A$7,0)),"")</f>
        <v/>
      </c>
      <c r="AG64" s="8"/>
      <c r="AH64" s="8"/>
      <c r="AI64" s="8"/>
      <c r="AJ64" s="8"/>
      <c r="AK64" s="8"/>
      <c r="AL64" s="8"/>
      <c r="AM64" s="11" t="str">
        <f aca="false">IF(OR(AJ64="",AJ64=0),"",AL64/AJ64)</f>
        <v/>
      </c>
      <c r="AN64" s="8"/>
      <c r="AO64" s="8"/>
      <c r="AP64" s="10" t="str">
        <f aca="false">IF(AN64="","Not assessed",IF(AND(R64="No",AN64="Gap - recommend tailoring"),"INVALID: HSSB is not tailorable",IF(OR(Z64="",Z64=0),"NO NAMED EXECUTOR",IF(AND(N(AF64)&gt;=3,AJ64=""),"Operating claimed with no sample",IF(AND(N(AF64)&gt;=3,Z64=1),"Operating rests on one individual",IF(AND(N(AF64)&gt;=3,AB64&lt;&gt;"Yes"),"Operating claimed below designed credential",IF(AND(R64="No",N(AF64)&lt;3),"HSSB GATE: below Operating",IF(AND(N(AF64)&gt;=3,AJ64&lt;&gt;"",AL64=""),"Sample size with no conforming count","OK"))))))))</f>
        <v>Not assessed</v>
      </c>
      <c r="AQ64" s="8"/>
      <c r="AR64" s="8"/>
      <c r="AS64" s="8"/>
    </row>
    <row r="65" customFormat="false" ht="22.35" hidden="false" customHeight="false" outlineLevel="0" collapsed="false">
      <c r="A65" s="6" t="s">
        <v>227</v>
      </c>
      <c r="B65" s="6" t="s">
        <v>150</v>
      </c>
      <c r="C65" s="6" t="s">
        <v>225</v>
      </c>
      <c r="D65" s="6" t="s">
        <v>226</v>
      </c>
      <c r="E65" s="6" t="s">
        <v>115</v>
      </c>
      <c r="F65" s="7"/>
      <c r="G65" s="6" t="s">
        <v>82</v>
      </c>
      <c r="H65" s="6"/>
      <c r="I65" s="6"/>
      <c r="J65" s="6"/>
      <c r="K65" s="6"/>
      <c r="L65" s="6" t="s">
        <v>83</v>
      </c>
      <c r="M65" s="6" t="s">
        <v>84</v>
      </c>
      <c r="N65" s="6"/>
      <c r="O65" s="6"/>
      <c r="P65" s="6"/>
      <c r="Q65" s="6"/>
      <c r="R65" s="6" t="s">
        <v>85</v>
      </c>
      <c r="S65" s="6"/>
      <c r="T65" s="6" t="s">
        <v>154</v>
      </c>
      <c r="U65" s="8"/>
      <c r="V65" s="8"/>
      <c r="W65" s="8"/>
      <c r="X65" s="8"/>
      <c r="Y65" s="9"/>
      <c r="Z65" s="9"/>
      <c r="AA65" s="9"/>
      <c r="AB65" s="9"/>
      <c r="AC65" s="10" t="str">
        <f aca="false">IF(Z65="","",IF(Z65=0,"Unassigned",IF(Z65=1,"Single point",IF(AB65="Yes","Staffed and credentialed","Staffed, credential gap"))))</f>
        <v/>
      </c>
      <c r="AD65" s="10" t="str">
        <f aca="false">IFERROR(INDEX(Lists!$H$3:$H$6,MATCH(AC65,Lists!$G$3:$G$6,0)),"")</f>
        <v/>
      </c>
      <c r="AE65" s="8"/>
      <c r="AF65" s="10" t="str">
        <f aca="false">IFERROR(INDEX(Lists!$B$3:$B$7,MATCH(AE65,Lists!$A$3:$A$7,0)),"")</f>
        <v/>
      </c>
      <c r="AG65" s="8"/>
      <c r="AH65" s="8"/>
      <c r="AI65" s="8"/>
      <c r="AJ65" s="8"/>
      <c r="AK65" s="8"/>
      <c r="AL65" s="8"/>
      <c r="AM65" s="11" t="str">
        <f aca="false">IF(OR(AJ65="",AJ65=0),"",AL65/AJ65)</f>
        <v/>
      </c>
      <c r="AN65" s="8"/>
      <c r="AO65" s="8"/>
      <c r="AP65" s="10" t="str">
        <f aca="false">IF(AN65="","Not assessed",IF(AND(R65="No",AN65="Gap - recommend tailoring"),"INVALID: HSSB is not tailorable",IF(OR(Z65="",Z65=0),"NO NAMED EXECUTOR",IF(AND(N(AF65)&gt;=3,AJ65=""),"Operating claimed with no sample",IF(AND(N(AF65)&gt;=3,Z65=1),"Operating rests on one individual",IF(AND(N(AF65)&gt;=3,AB65&lt;&gt;"Yes"),"Operating claimed below designed credential",IF(AND(R65="No",N(AF65)&lt;3),"HSSB GATE: below Operating",IF(AND(N(AF65)&gt;=3,AJ65&lt;&gt;"",AL65=""),"Sample size with no conforming count","OK"))))))))</f>
        <v>Not assessed</v>
      </c>
      <c r="AQ65" s="8"/>
      <c r="AR65" s="8"/>
      <c r="AS65" s="8"/>
    </row>
    <row r="66" customFormat="false" ht="22.35" hidden="false" customHeight="false" outlineLevel="0" collapsed="false">
      <c r="A66" s="6" t="s">
        <v>228</v>
      </c>
      <c r="B66" s="6" t="s">
        <v>150</v>
      </c>
      <c r="C66" s="6" t="s">
        <v>225</v>
      </c>
      <c r="D66" s="6" t="s">
        <v>226</v>
      </c>
      <c r="E66" s="6" t="s">
        <v>117</v>
      </c>
      <c r="F66" s="7"/>
      <c r="G66" s="6" t="s">
        <v>82</v>
      </c>
      <c r="H66" s="6"/>
      <c r="I66" s="6"/>
      <c r="J66" s="6"/>
      <c r="K66" s="6"/>
      <c r="L66" s="6" t="s">
        <v>83</v>
      </c>
      <c r="M66" s="6" t="s">
        <v>84</v>
      </c>
      <c r="N66" s="6"/>
      <c r="O66" s="6"/>
      <c r="P66" s="6"/>
      <c r="Q66" s="6"/>
      <c r="R66" s="6" t="s">
        <v>85</v>
      </c>
      <c r="S66" s="6"/>
      <c r="T66" s="6" t="s">
        <v>154</v>
      </c>
      <c r="U66" s="8"/>
      <c r="V66" s="8"/>
      <c r="W66" s="8"/>
      <c r="X66" s="8"/>
      <c r="Y66" s="9"/>
      <c r="Z66" s="9"/>
      <c r="AA66" s="9"/>
      <c r="AB66" s="9"/>
      <c r="AC66" s="10" t="str">
        <f aca="false">IF(Z66="","",IF(Z66=0,"Unassigned",IF(Z66=1,"Single point",IF(AB66="Yes","Staffed and credentialed","Staffed, credential gap"))))</f>
        <v/>
      </c>
      <c r="AD66" s="10" t="str">
        <f aca="false">IFERROR(INDEX(Lists!$H$3:$H$6,MATCH(AC66,Lists!$G$3:$G$6,0)),"")</f>
        <v/>
      </c>
      <c r="AE66" s="8"/>
      <c r="AF66" s="10" t="str">
        <f aca="false">IFERROR(INDEX(Lists!$B$3:$B$7,MATCH(AE66,Lists!$A$3:$A$7,0)),"")</f>
        <v/>
      </c>
      <c r="AG66" s="8"/>
      <c r="AH66" s="8"/>
      <c r="AI66" s="8"/>
      <c r="AJ66" s="8"/>
      <c r="AK66" s="8"/>
      <c r="AL66" s="8"/>
      <c r="AM66" s="11" t="str">
        <f aca="false">IF(OR(AJ66="",AJ66=0),"",AL66/AJ66)</f>
        <v/>
      </c>
      <c r="AN66" s="8"/>
      <c r="AO66" s="8"/>
      <c r="AP66" s="10" t="str">
        <f aca="false">IF(AN66="","Not assessed",IF(AND(R66="No",AN66="Gap - recommend tailoring"),"INVALID: HSSB is not tailorable",IF(OR(Z66="",Z66=0),"NO NAMED EXECUTOR",IF(AND(N(AF66)&gt;=3,AJ66=""),"Operating claimed with no sample",IF(AND(N(AF66)&gt;=3,Z66=1),"Operating rests on one individual",IF(AND(N(AF66)&gt;=3,AB66&lt;&gt;"Yes"),"Operating claimed below designed credential",IF(AND(R66="No",N(AF66)&lt;3),"HSSB GATE: below Operating",IF(AND(N(AF66)&gt;=3,AJ66&lt;&gt;"",AL66=""),"Sample size with no conforming count","OK"))))))))</f>
        <v>Not assessed</v>
      </c>
      <c r="AQ66" s="8"/>
      <c r="AR66" s="8"/>
      <c r="AS66" s="8"/>
    </row>
    <row r="67" customFormat="false" ht="22.35" hidden="false" customHeight="false" outlineLevel="0" collapsed="false">
      <c r="A67" s="6" t="s">
        <v>229</v>
      </c>
      <c r="B67" s="6" t="s">
        <v>150</v>
      </c>
      <c r="C67" s="6" t="s">
        <v>225</v>
      </c>
      <c r="D67" s="6" t="s">
        <v>226</v>
      </c>
      <c r="E67" s="6" t="s">
        <v>119</v>
      </c>
      <c r="F67" s="7"/>
      <c r="G67" s="6" t="s">
        <v>82</v>
      </c>
      <c r="H67" s="6"/>
      <c r="I67" s="6"/>
      <c r="J67" s="6"/>
      <c r="K67" s="6"/>
      <c r="L67" s="6" t="s">
        <v>83</v>
      </c>
      <c r="M67" s="6" t="s">
        <v>84</v>
      </c>
      <c r="N67" s="6"/>
      <c r="O67" s="6"/>
      <c r="P67" s="6"/>
      <c r="Q67" s="6"/>
      <c r="R67" s="6" t="s">
        <v>85</v>
      </c>
      <c r="S67" s="6"/>
      <c r="T67" s="6" t="s">
        <v>154</v>
      </c>
      <c r="U67" s="8"/>
      <c r="V67" s="8"/>
      <c r="W67" s="8"/>
      <c r="X67" s="8"/>
      <c r="Y67" s="9"/>
      <c r="Z67" s="9"/>
      <c r="AA67" s="9"/>
      <c r="AB67" s="9"/>
      <c r="AC67" s="10" t="str">
        <f aca="false">IF(Z67="","",IF(Z67=0,"Unassigned",IF(Z67=1,"Single point",IF(AB67="Yes","Staffed and credentialed","Staffed, credential gap"))))</f>
        <v/>
      </c>
      <c r="AD67" s="10" t="str">
        <f aca="false">IFERROR(INDEX(Lists!$H$3:$H$6,MATCH(AC67,Lists!$G$3:$G$6,0)),"")</f>
        <v/>
      </c>
      <c r="AE67" s="8"/>
      <c r="AF67" s="10" t="str">
        <f aca="false">IFERROR(INDEX(Lists!$B$3:$B$7,MATCH(AE67,Lists!$A$3:$A$7,0)),"")</f>
        <v/>
      </c>
      <c r="AG67" s="8"/>
      <c r="AH67" s="8"/>
      <c r="AI67" s="8"/>
      <c r="AJ67" s="8"/>
      <c r="AK67" s="8"/>
      <c r="AL67" s="8"/>
      <c r="AM67" s="11" t="str">
        <f aca="false">IF(OR(AJ67="",AJ67=0),"",AL67/AJ67)</f>
        <v/>
      </c>
      <c r="AN67" s="8"/>
      <c r="AO67" s="8"/>
      <c r="AP67" s="10" t="str">
        <f aca="false">IF(AN67="","Not assessed",IF(AND(R67="No",AN67="Gap - recommend tailoring"),"INVALID: HSSB is not tailorable",IF(OR(Z67="",Z67=0),"NO NAMED EXECUTOR",IF(AND(N(AF67)&gt;=3,AJ67=""),"Operating claimed with no sample",IF(AND(N(AF67)&gt;=3,Z67=1),"Operating rests on one individual",IF(AND(N(AF67)&gt;=3,AB67&lt;&gt;"Yes"),"Operating claimed below designed credential",IF(AND(R67="No",N(AF67)&lt;3),"HSSB GATE: below Operating",IF(AND(N(AF67)&gt;=3,AJ67&lt;&gt;"",AL67=""),"Sample size with no conforming count","OK"))))))))</f>
        <v>Not assessed</v>
      </c>
      <c r="AQ67" s="8"/>
      <c r="AR67" s="8"/>
      <c r="AS67" s="8"/>
    </row>
    <row r="68" customFormat="false" ht="22.35" hidden="false" customHeight="false" outlineLevel="0" collapsed="false">
      <c r="A68" s="6" t="s">
        <v>230</v>
      </c>
      <c r="B68" s="6" t="s">
        <v>150</v>
      </c>
      <c r="C68" s="6" t="s">
        <v>225</v>
      </c>
      <c r="D68" s="6" t="s">
        <v>226</v>
      </c>
      <c r="E68" s="6" t="s">
        <v>121</v>
      </c>
      <c r="F68" s="7"/>
      <c r="G68" s="6" t="s">
        <v>82</v>
      </c>
      <c r="H68" s="6"/>
      <c r="I68" s="6"/>
      <c r="J68" s="6"/>
      <c r="K68" s="6"/>
      <c r="L68" s="6" t="s">
        <v>83</v>
      </c>
      <c r="M68" s="6" t="s">
        <v>84</v>
      </c>
      <c r="N68" s="6"/>
      <c r="O68" s="6"/>
      <c r="P68" s="6"/>
      <c r="Q68" s="6"/>
      <c r="R68" s="6" t="s">
        <v>85</v>
      </c>
      <c r="S68" s="6"/>
      <c r="T68" s="6" t="s">
        <v>154</v>
      </c>
      <c r="U68" s="8"/>
      <c r="V68" s="8"/>
      <c r="W68" s="8"/>
      <c r="X68" s="8"/>
      <c r="Y68" s="9"/>
      <c r="Z68" s="9"/>
      <c r="AA68" s="9"/>
      <c r="AB68" s="9"/>
      <c r="AC68" s="10" t="str">
        <f aca="false">IF(Z68="","",IF(Z68=0,"Unassigned",IF(Z68=1,"Single point",IF(AB68="Yes","Staffed and credentialed","Staffed, credential gap"))))</f>
        <v/>
      </c>
      <c r="AD68" s="10" t="str">
        <f aca="false">IFERROR(INDEX(Lists!$H$3:$H$6,MATCH(AC68,Lists!$G$3:$G$6,0)),"")</f>
        <v/>
      </c>
      <c r="AE68" s="8"/>
      <c r="AF68" s="10" t="str">
        <f aca="false">IFERROR(INDEX(Lists!$B$3:$B$7,MATCH(AE68,Lists!$A$3:$A$7,0)),"")</f>
        <v/>
      </c>
      <c r="AG68" s="8"/>
      <c r="AH68" s="8"/>
      <c r="AI68" s="8"/>
      <c r="AJ68" s="8"/>
      <c r="AK68" s="8"/>
      <c r="AL68" s="8"/>
      <c r="AM68" s="11" t="str">
        <f aca="false">IF(OR(AJ68="",AJ68=0),"",AL68/AJ68)</f>
        <v/>
      </c>
      <c r="AN68" s="8"/>
      <c r="AO68" s="8"/>
      <c r="AP68" s="10" t="str">
        <f aca="false">IF(AN68="","Not assessed",IF(AND(R68="No",AN68="Gap - recommend tailoring"),"INVALID: HSSB is not tailorable",IF(OR(Z68="",Z68=0),"NO NAMED EXECUTOR",IF(AND(N(AF68)&gt;=3,AJ68=""),"Operating claimed with no sample",IF(AND(N(AF68)&gt;=3,Z68=1),"Operating rests on one individual",IF(AND(N(AF68)&gt;=3,AB68&lt;&gt;"Yes"),"Operating claimed below designed credential",IF(AND(R68="No",N(AF68)&lt;3),"HSSB GATE: below Operating",IF(AND(N(AF68)&gt;=3,AJ68&lt;&gt;"",AL68=""),"Sample size with no conforming count","OK"))))))))</f>
        <v>Not assessed</v>
      </c>
      <c r="AQ68" s="8"/>
      <c r="AR68" s="8"/>
      <c r="AS68" s="8"/>
    </row>
    <row r="69" customFormat="false" ht="22.35" hidden="false" customHeight="false" outlineLevel="0" collapsed="false">
      <c r="A69" s="6" t="s">
        <v>231</v>
      </c>
      <c r="B69" s="6" t="s">
        <v>150</v>
      </c>
      <c r="C69" s="6" t="s">
        <v>225</v>
      </c>
      <c r="D69" s="6" t="s">
        <v>226</v>
      </c>
      <c r="E69" s="6" t="s">
        <v>123</v>
      </c>
      <c r="F69" s="7"/>
      <c r="G69" s="6" t="s">
        <v>82</v>
      </c>
      <c r="H69" s="6"/>
      <c r="I69" s="6"/>
      <c r="J69" s="6"/>
      <c r="K69" s="6"/>
      <c r="L69" s="6" t="s">
        <v>83</v>
      </c>
      <c r="M69" s="6" t="s">
        <v>84</v>
      </c>
      <c r="N69" s="6"/>
      <c r="O69" s="6"/>
      <c r="P69" s="6"/>
      <c r="Q69" s="6"/>
      <c r="R69" s="6" t="s">
        <v>85</v>
      </c>
      <c r="S69" s="6"/>
      <c r="T69" s="6" t="s">
        <v>154</v>
      </c>
      <c r="U69" s="8"/>
      <c r="V69" s="8"/>
      <c r="W69" s="8"/>
      <c r="X69" s="8"/>
      <c r="Y69" s="9"/>
      <c r="Z69" s="9"/>
      <c r="AA69" s="9"/>
      <c r="AB69" s="9"/>
      <c r="AC69" s="10" t="str">
        <f aca="false">IF(Z69="","",IF(Z69=0,"Unassigned",IF(Z69=1,"Single point",IF(AB69="Yes","Staffed and credentialed","Staffed, credential gap"))))</f>
        <v/>
      </c>
      <c r="AD69" s="10" t="str">
        <f aca="false">IFERROR(INDEX(Lists!$H$3:$H$6,MATCH(AC69,Lists!$G$3:$G$6,0)),"")</f>
        <v/>
      </c>
      <c r="AE69" s="8"/>
      <c r="AF69" s="10" t="str">
        <f aca="false">IFERROR(INDEX(Lists!$B$3:$B$7,MATCH(AE69,Lists!$A$3:$A$7,0)),"")</f>
        <v/>
      </c>
      <c r="AG69" s="8"/>
      <c r="AH69" s="8"/>
      <c r="AI69" s="8"/>
      <c r="AJ69" s="8"/>
      <c r="AK69" s="8"/>
      <c r="AL69" s="8"/>
      <c r="AM69" s="11" t="str">
        <f aca="false">IF(OR(AJ69="",AJ69=0),"",AL69/AJ69)</f>
        <v/>
      </c>
      <c r="AN69" s="8"/>
      <c r="AO69" s="8"/>
      <c r="AP69" s="10" t="str">
        <f aca="false">IF(AN69="","Not assessed",IF(AND(R69="No",AN69="Gap - recommend tailoring"),"INVALID: HSSB is not tailorable",IF(OR(Z69="",Z69=0),"NO NAMED EXECUTOR",IF(AND(N(AF69)&gt;=3,AJ69=""),"Operating claimed with no sample",IF(AND(N(AF69)&gt;=3,Z69=1),"Operating rests on one individual",IF(AND(N(AF69)&gt;=3,AB69&lt;&gt;"Yes"),"Operating claimed below designed credential",IF(AND(R69="No",N(AF69)&lt;3),"HSSB GATE: below Operating",IF(AND(N(AF69)&gt;=3,AJ69&lt;&gt;"",AL69=""),"Sample size with no conforming count","OK"))))))))</f>
        <v>Not assessed</v>
      </c>
      <c r="AQ69" s="8"/>
      <c r="AR69" s="8"/>
      <c r="AS69" s="8"/>
    </row>
    <row r="70" customFormat="false" ht="22.35" hidden="false" customHeight="false" outlineLevel="0" collapsed="false">
      <c r="A70" s="6" t="s">
        <v>232</v>
      </c>
      <c r="B70" s="6" t="s">
        <v>150</v>
      </c>
      <c r="C70" s="6" t="s">
        <v>225</v>
      </c>
      <c r="D70" s="6" t="s">
        <v>226</v>
      </c>
      <c r="E70" s="6" t="s">
        <v>125</v>
      </c>
      <c r="F70" s="7"/>
      <c r="G70" s="6" t="s">
        <v>82</v>
      </c>
      <c r="H70" s="6"/>
      <c r="I70" s="6"/>
      <c r="J70" s="6"/>
      <c r="K70" s="6"/>
      <c r="L70" s="6" t="s">
        <v>83</v>
      </c>
      <c r="M70" s="6" t="s">
        <v>84</v>
      </c>
      <c r="N70" s="6"/>
      <c r="O70" s="6"/>
      <c r="P70" s="6"/>
      <c r="Q70" s="6"/>
      <c r="R70" s="6" t="s">
        <v>85</v>
      </c>
      <c r="S70" s="6"/>
      <c r="T70" s="6" t="s">
        <v>154</v>
      </c>
      <c r="U70" s="8"/>
      <c r="V70" s="8"/>
      <c r="W70" s="8"/>
      <c r="X70" s="8"/>
      <c r="Y70" s="9"/>
      <c r="Z70" s="9"/>
      <c r="AA70" s="9"/>
      <c r="AB70" s="9"/>
      <c r="AC70" s="10" t="str">
        <f aca="false">IF(Z70="","",IF(Z70=0,"Unassigned",IF(Z70=1,"Single point",IF(AB70="Yes","Staffed and credentialed","Staffed, credential gap"))))</f>
        <v/>
      </c>
      <c r="AD70" s="10" t="str">
        <f aca="false">IFERROR(INDEX(Lists!$H$3:$H$6,MATCH(AC70,Lists!$G$3:$G$6,0)),"")</f>
        <v/>
      </c>
      <c r="AE70" s="8"/>
      <c r="AF70" s="10" t="str">
        <f aca="false">IFERROR(INDEX(Lists!$B$3:$B$7,MATCH(AE70,Lists!$A$3:$A$7,0)),"")</f>
        <v/>
      </c>
      <c r="AG70" s="8"/>
      <c r="AH70" s="8"/>
      <c r="AI70" s="8"/>
      <c r="AJ70" s="8"/>
      <c r="AK70" s="8"/>
      <c r="AL70" s="8"/>
      <c r="AM70" s="11" t="str">
        <f aca="false">IF(OR(AJ70="",AJ70=0),"",AL70/AJ70)</f>
        <v/>
      </c>
      <c r="AN70" s="8"/>
      <c r="AO70" s="8"/>
      <c r="AP70" s="10" t="str">
        <f aca="false">IF(AN70="","Not assessed",IF(AND(R70="No",AN70="Gap - recommend tailoring"),"INVALID: HSSB is not tailorable",IF(OR(Z70="",Z70=0),"NO NAMED EXECUTOR",IF(AND(N(AF70)&gt;=3,AJ70=""),"Operating claimed with no sample",IF(AND(N(AF70)&gt;=3,Z70=1),"Operating rests on one individual",IF(AND(N(AF70)&gt;=3,AB70&lt;&gt;"Yes"),"Operating claimed below designed credential",IF(AND(R70="No",N(AF70)&lt;3),"HSSB GATE: below Operating",IF(AND(N(AF70)&gt;=3,AJ70&lt;&gt;"",AL70=""),"Sample size with no conforming count","OK"))))))))</f>
        <v>Not assessed</v>
      </c>
      <c r="AQ70" s="8"/>
      <c r="AR70" s="8"/>
      <c r="AS70" s="8"/>
    </row>
    <row r="71" customFormat="false" ht="22.35" hidden="false" customHeight="false" outlineLevel="0" collapsed="false">
      <c r="A71" s="6" t="s">
        <v>233</v>
      </c>
      <c r="B71" s="6" t="s">
        <v>150</v>
      </c>
      <c r="C71" s="6" t="s">
        <v>225</v>
      </c>
      <c r="D71" s="6" t="s">
        <v>226</v>
      </c>
      <c r="E71" s="6" t="s">
        <v>127</v>
      </c>
      <c r="F71" s="7"/>
      <c r="G71" s="6" t="s">
        <v>82</v>
      </c>
      <c r="H71" s="6"/>
      <c r="I71" s="6"/>
      <c r="J71" s="6"/>
      <c r="K71" s="6"/>
      <c r="L71" s="6" t="s">
        <v>83</v>
      </c>
      <c r="M71" s="6" t="s">
        <v>84</v>
      </c>
      <c r="N71" s="6"/>
      <c r="O71" s="6"/>
      <c r="P71" s="6"/>
      <c r="Q71" s="6"/>
      <c r="R71" s="6" t="s">
        <v>85</v>
      </c>
      <c r="S71" s="6"/>
      <c r="T71" s="6" t="s">
        <v>154</v>
      </c>
      <c r="U71" s="8"/>
      <c r="V71" s="8"/>
      <c r="W71" s="8"/>
      <c r="X71" s="8"/>
      <c r="Y71" s="9"/>
      <c r="Z71" s="9"/>
      <c r="AA71" s="9"/>
      <c r="AB71" s="9"/>
      <c r="AC71" s="10" t="str">
        <f aca="false">IF(Z71="","",IF(Z71=0,"Unassigned",IF(Z71=1,"Single point",IF(AB71="Yes","Staffed and credentialed","Staffed, credential gap"))))</f>
        <v/>
      </c>
      <c r="AD71" s="10" t="str">
        <f aca="false">IFERROR(INDEX(Lists!$H$3:$H$6,MATCH(AC71,Lists!$G$3:$G$6,0)),"")</f>
        <v/>
      </c>
      <c r="AE71" s="8"/>
      <c r="AF71" s="10" t="str">
        <f aca="false">IFERROR(INDEX(Lists!$B$3:$B$7,MATCH(AE71,Lists!$A$3:$A$7,0)),"")</f>
        <v/>
      </c>
      <c r="AG71" s="8"/>
      <c r="AH71" s="8"/>
      <c r="AI71" s="8"/>
      <c r="AJ71" s="8"/>
      <c r="AK71" s="8"/>
      <c r="AL71" s="8"/>
      <c r="AM71" s="11" t="str">
        <f aca="false">IF(OR(AJ71="",AJ71=0),"",AL71/AJ71)</f>
        <v/>
      </c>
      <c r="AN71" s="8"/>
      <c r="AO71" s="8"/>
      <c r="AP71" s="10" t="str">
        <f aca="false">IF(AN71="","Not assessed",IF(AND(R71="No",AN71="Gap - recommend tailoring"),"INVALID: HSSB is not tailorable",IF(OR(Z71="",Z71=0),"NO NAMED EXECUTOR",IF(AND(N(AF71)&gt;=3,AJ71=""),"Operating claimed with no sample",IF(AND(N(AF71)&gt;=3,Z71=1),"Operating rests on one individual",IF(AND(N(AF71)&gt;=3,AB71&lt;&gt;"Yes"),"Operating claimed below designed credential",IF(AND(R71="No",N(AF71)&lt;3),"HSSB GATE: below Operating",IF(AND(N(AF71)&gt;=3,AJ71&lt;&gt;"",AL71=""),"Sample size with no conforming count","OK"))))))))</f>
        <v>Not assessed</v>
      </c>
      <c r="AQ71" s="8"/>
      <c r="AR71" s="8"/>
      <c r="AS71" s="8"/>
    </row>
    <row r="72" customFormat="false" ht="22.35" hidden="false" customHeight="false" outlineLevel="0" collapsed="false">
      <c r="A72" s="6" t="s">
        <v>234</v>
      </c>
      <c r="B72" s="6" t="s">
        <v>150</v>
      </c>
      <c r="C72" s="6" t="s">
        <v>225</v>
      </c>
      <c r="D72" s="6" t="s">
        <v>226</v>
      </c>
      <c r="E72" s="6" t="s">
        <v>129</v>
      </c>
      <c r="F72" s="7"/>
      <c r="G72" s="6" t="s">
        <v>82</v>
      </c>
      <c r="H72" s="6"/>
      <c r="I72" s="6"/>
      <c r="J72" s="6"/>
      <c r="K72" s="6"/>
      <c r="L72" s="6" t="s">
        <v>83</v>
      </c>
      <c r="M72" s="6" t="s">
        <v>84</v>
      </c>
      <c r="N72" s="6"/>
      <c r="O72" s="6"/>
      <c r="P72" s="6"/>
      <c r="Q72" s="6"/>
      <c r="R72" s="6" t="s">
        <v>85</v>
      </c>
      <c r="S72" s="6"/>
      <c r="T72" s="6" t="s">
        <v>154</v>
      </c>
      <c r="U72" s="8"/>
      <c r="V72" s="8"/>
      <c r="W72" s="8"/>
      <c r="X72" s="8"/>
      <c r="Y72" s="9"/>
      <c r="Z72" s="9"/>
      <c r="AA72" s="9"/>
      <c r="AB72" s="9"/>
      <c r="AC72" s="10" t="str">
        <f aca="false">IF(Z72="","",IF(Z72=0,"Unassigned",IF(Z72=1,"Single point",IF(AB72="Yes","Staffed and credentialed","Staffed, credential gap"))))</f>
        <v/>
      </c>
      <c r="AD72" s="10" t="str">
        <f aca="false">IFERROR(INDEX(Lists!$H$3:$H$6,MATCH(AC72,Lists!$G$3:$G$6,0)),"")</f>
        <v/>
      </c>
      <c r="AE72" s="8"/>
      <c r="AF72" s="10" t="str">
        <f aca="false">IFERROR(INDEX(Lists!$B$3:$B$7,MATCH(AE72,Lists!$A$3:$A$7,0)),"")</f>
        <v/>
      </c>
      <c r="AG72" s="8"/>
      <c r="AH72" s="8"/>
      <c r="AI72" s="8"/>
      <c r="AJ72" s="8"/>
      <c r="AK72" s="8"/>
      <c r="AL72" s="8"/>
      <c r="AM72" s="11" t="str">
        <f aca="false">IF(OR(AJ72="",AJ72=0),"",AL72/AJ72)</f>
        <v/>
      </c>
      <c r="AN72" s="8"/>
      <c r="AO72" s="8"/>
      <c r="AP72" s="10" t="str">
        <f aca="false">IF(AN72="","Not assessed",IF(AND(R72="No",AN72="Gap - recommend tailoring"),"INVALID: HSSB is not tailorable",IF(OR(Z72="",Z72=0),"NO NAMED EXECUTOR",IF(AND(N(AF72)&gt;=3,AJ72=""),"Operating claimed with no sample",IF(AND(N(AF72)&gt;=3,Z72=1),"Operating rests on one individual",IF(AND(N(AF72)&gt;=3,AB72&lt;&gt;"Yes"),"Operating claimed below designed credential",IF(AND(R72="No",N(AF72)&lt;3),"HSSB GATE: below Operating",IF(AND(N(AF72)&gt;=3,AJ72&lt;&gt;"",AL72=""),"Sample size with no conforming count","OK"))))))))</f>
        <v>Not assessed</v>
      </c>
      <c r="AQ72" s="8"/>
      <c r="AR72" s="8"/>
      <c r="AS72" s="8"/>
    </row>
    <row r="73" customFormat="false" ht="22.35" hidden="false" customHeight="false" outlineLevel="0" collapsed="false">
      <c r="A73" s="6" t="s">
        <v>235</v>
      </c>
      <c r="B73" s="6" t="s">
        <v>150</v>
      </c>
      <c r="C73" s="6" t="s">
        <v>225</v>
      </c>
      <c r="D73" s="6" t="s">
        <v>226</v>
      </c>
      <c r="E73" s="6" t="s">
        <v>88</v>
      </c>
      <c r="F73" s="7"/>
      <c r="G73" s="6" t="s">
        <v>82</v>
      </c>
      <c r="H73" s="6"/>
      <c r="I73" s="6"/>
      <c r="J73" s="6"/>
      <c r="K73" s="6"/>
      <c r="L73" s="6" t="s">
        <v>83</v>
      </c>
      <c r="M73" s="6" t="s">
        <v>84</v>
      </c>
      <c r="N73" s="6"/>
      <c r="O73" s="6"/>
      <c r="P73" s="6"/>
      <c r="Q73" s="6"/>
      <c r="R73" s="6" t="s">
        <v>85</v>
      </c>
      <c r="S73" s="6"/>
      <c r="T73" s="6" t="s">
        <v>154</v>
      </c>
      <c r="U73" s="8"/>
      <c r="V73" s="8"/>
      <c r="W73" s="8"/>
      <c r="X73" s="8"/>
      <c r="Y73" s="9"/>
      <c r="Z73" s="9"/>
      <c r="AA73" s="9"/>
      <c r="AB73" s="9"/>
      <c r="AC73" s="10" t="str">
        <f aca="false">IF(Z73="","",IF(Z73=0,"Unassigned",IF(Z73=1,"Single point",IF(AB73="Yes","Staffed and credentialed","Staffed, credential gap"))))</f>
        <v/>
      </c>
      <c r="AD73" s="10" t="str">
        <f aca="false">IFERROR(INDEX(Lists!$H$3:$H$6,MATCH(AC73,Lists!$G$3:$G$6,0)),"")</f>
        <v/>
      </c>
      <c r="AE73" s="8"/>
      <c r="AF73" s="10" t="str">
        <f aca="false">IFERROR(INDEX(Lists!$B$3:$B$7,MATCH(AE73,Lists!$A$3:$A$7,0)),"")</f>
        <v/>
      </c>
      <c r="AG73" s="8"/>
      <c r="AH73" s="8"/>
      <c r="AI73" s="8"/>
      <c r="AJ73" s="8"/>
      <c r="AK73" s="8"/>
      <c r="AL73" s="8"/>
      <c r="AM73" s="11" t="str">
        <f aca="false">IF(OR(AJ73="",AJ73=0),"",AL73/AJ73)</f>
        <v/>
      </c>
      <c r="AN73" s="8"/>
      <c r="AO73" s="8"/>
      <c r="AP73" s="10" t="str">
        <f aca="false">IF(AN73="","Not assessed",IF(AND(R73="No",AN73="Gap - recommend tailoring"),"INVALID: HSSB is not tailorable",IF(OR(Z73="",Z73=0),"NO NAMED EXECUTOR",IF(AND(N(AF73)&gt;=3,AJ73=""),"Operating claimed with no sample",IF(AND(N(AF73)&gt;=3,Z73=1),"Operating rests on one individual",IF(AND(N(AF73)&gt;=3,AB73&lt;&gt;"Yes"),"Operating claimed below designed credential",IF(AND(R73="No",N(AF73)&lt;3),"HSSB GATE: below Operating",IF(AND(N(AF73)&gt;=3,AJ73&lt;&gt;"",AL73=""),"Sample size with no conforming count","OK"))))))))</f>
        <v>Not assessed</v>
      </c>
      <c r="AQ73" s="8"/>
      <c r="AR73" s="8"/>
      <c r="AS73" s="8"/>
    </row>
    <row r="74" customFormat="false" ht="22.35" hidden="false" customHeight="false" outlineLevel="0" collapsed="false">
      <c r="A74" s="12" t="s">
        <v>236</v>
      </c>
      <c r="B74" s="12" t="s">
        <v>150</v>
      </c>
      <c r="C74" s="12" t="s">
        <v>237</v>
      </c>
      <c r="D74" s="12" t="s">
        <v>238</v>
      </c>
      <c r="E74" s="12" t="s">
        <v>81</v>
      </c>
      <c r="F74" s="12"/>
      <c r="G74" s="13" t="s">
        <v>85</v>
      </c>
      <c r="H74" s="13" t="s">
        <v>239</v>
      </c>
      <c r="I74" s="12" t="s">
        <v>240</v>
      </c>
      <c r="J74" s="12" t="s">
        <v>241</v>
      </c>
      <c r="K74" s="12" t="s">
        <v>242</v>
      </c>
      <c r="L74" s="12" t="s">
        <v>243</v>
      </c>
      <c r="M74" s="12" t="s">
        <v>94</v>
      </c>
      <c r="N74" s="12" t="s">
        <v>244</v>
      </c>
      <c r="O74" s="12" t="s">
        <v>195</v>
      </c>
      <c r="P74" s="12" t="s">
        <v>245</v>
      </c>
      <c r="Q74" s="12" t="s">
        <v>96</v>
      </c>
      <c r="R74" s="12" t="s">
        <v>82</v>
      </c>
      <c r="S74" s="12"/>
      <c r="T74" s="12" t="s">
        <v>154</v>
      </c>
      <c r="U74" s="8"/>
      <c r="V74" s="8"/>
      <c r="W74" s="8"/>
      <c r="X74" s="8"/>
      <c r="Y74" s="9"/>
      <c r="Z74" s="9"/>
      <c r="AA74" s="9"/>
      <c r="AB74" s="9"/>
      <c r="AC74" s="10" t="str">
        <f aca="false">IF(Z74="","",IF(Z74=0,"Unassigned",IF(Z74=1,"Single point",IF(AB74="Yes","Staffed and credentialed","Staffed, credential gap"))))</f>
        <v/>
      </c>
      <c r="AD74" s="10" t="str">
        <f aca="false">IFERROR(INDEX(Lists!$H$3:$H$6,MATCH(AC74,Lists!$G$3:$G$6,0)),"")</f>
        <v/>
      </c>
      <c r="AE74" s="8"/>
      <c r="AF74" s="10" t="str">
        <f aca="false">IFERROR(INDEX(Lists!$B$3:$B$7,MATCH(AE74,Lists!$A$3:$A$7,0)),"")</f>
        <v/>
      </c>
      <c r="AG74" s="8"/>
      <c r="AH74" s="8"/>
      <c r="AI74" s="8"/>
      <c r="AJ74" s="8"/>
      <c r="AK74" s="8"/>
      <c r="AL74" s="8"/>
      <c r="AM74" s="11" t="str">
        <f aca="false">IF(OR(AJ74="",AJ74=0),"",AL74/AJ74)</f>
        <v/>
      </c>
      <c r="AN74" s="8"/>
      <c r="AO74" s="8"/>
      <c r="AP74" s="10" t="str">
        <f aca="false">IF(AN74="","Not assessed",IF(AND(R74="No",AN74="Gap - recommend tailoring"),"INVALID: HSSB is not tailorable",IF(OR(Z74="",Z74=0),"NO NAMED EXECUTOR",IF(AND(N(AF74)&gt;=3,AJ74=""),"Operating claimed with no sample",IF(AND(N(AF74)&gt;=3,Z74=1),"Operating rests on one individual",IF(AND(N(AF74)&gt;=3,AB74&lt;&gt;"Yes"),"Operating claimed below designed credential",IF(AND(R74="No",N(AF74)&lt;3),"HSSB GATE: below Operating",IF(AND(N(AF74)&gt;=3,AJ74&lt;&gt;"",AL74=""),"Sample size with no conforming count","OK"))))))))</f>
        <v>Not assessed</v>
      </c>
      <c r="AQ74" s="8"/>
      <c r="AR74" s="8"/>
      <c r="AS74" s="8"/>
    </row>
    <row r="75" customFormat="false" ht="22.35" hidden="false" customHeight="false" outlineLevel="0" collapsed="false">
      <c r="A75" s="6" t="s">
        <v>246</v>
      </c>
      <c r="B75" s="6" t="s">
        <v>150</v>
      </c>
      <c r="C75" s="6" t="s">
        <v>247</v>
      </c>
      <c r="D75" s="6" t="s">
        <v>248</v>
      </c>
      <c r="E75" s="6" t="s">
        <v>81</v>
      </c>
      <c r="F75" s="7"/>
      <c r="G75" s="6" t="s">
        <v>82</v>
      </c>
      <c r="H75" s="6"/>
      <c r="I75" s="6"/>
      <c r="J75" s="6"/>
      <c r="K75" s="6"/>
      <c r="L75" s="6" t="s">
        <v>83</v>
      </c>
      <c r="M75" s="6" t="s">
        <v>84</v>
      </c>
      <c r="N75" s="6"/>
      <c r="O75" s="6"/>
      <c r="P75" s="6"/>
      <c r="Q75" s="6"/>
      <c r="R75" s="6" t="s">
        <v>85</v>
      </c>
      <c r="S75" s="6"/>
      <c r="T75" s="6" t="s">
        <v>154</v>
      </c>
      <c r="U75" s="8"/>
      <c r="V75" s="8"/>
      <c r="W75" s="8"/>
      <c r="X75" s="8"/>
      <c r="Y75" s="9"/>
      <c r="Z75" s="9"/>
      <c r="AA75" s="9"/>
      <c r="AB75" s="9"/>
      <c r="AC75" s="10" t="str">
        <f aca="false">IF(Z75="","",IF(Z75=0,"Unassigned",IF(Z75=1,"Single point",IF(AB75="Yes","Staffed and credentialed","Staffed, credential gap"))))</f>
        <v/>
      </c>
      <c r="AD75" s="10" t="str">
        <f aca="false">IFERROR(INDEX(Lists!$H$3:$H$6,MATCH(AC75,Lists!$G$3:$G$6,0)),"")</f>
        <v/>
      </c>
      <c r="AE75" s="8"/>
      <c r="AF75" s="10" t="str">
        <f aca="false">IFERROR(INDEX(Lists!$B$3:$B$7,MATCH(AE75,Lists!$A$3:$A$7,0)),"")</f>
        <v/>
      </c>
      <c r="AG75" s="8"/>
      <c r="AH75" s="8"/>
      <c r="AI75" s="8"/>
      <c r="AJ75" s="8"/>
      <c r="AK75" s="8"/>
      <c r="AL75" s="8"/>
      <c r="AM75" s="11" t="str">
        <f aca="false">IF(OR(AJ75="",AJ75=0),"",AL75/AJ75)</f>
        <v/>
      </c>
      <c r="AN75" s="8"/>
      <c r="AO75" s="8"/>
      <c r="AP75" s="10" t="str">
        <f aca="false">IF(AN75="","Not assessed",IF(AND(R75="No",AN75="Gap - recommend tailoring"),"INVALID: HSSB is not tailorable",IF(OR(Z75="",Z75=0),"NO NAMED EXECUTOR",IF(AND(N(AF75)&gt;=3,AJ75=""),"Operating claimed with no sample",IF(AND(N(AF75)&gt;=3,Z75=1),"Operating rests on one individual",IF(AND(N(AF75)&gt;=3,AB75&lt;&gt;"Yes"),"Operating claimed below designed credential",IF(AND(R75="No",N(AF75)&lt;3),"HSSB GATE: below Operating",IF(AND(N(AF75)&gt;=3,AJ75&lt;&gt;"",AL75=""),"Sample size with no conforming count","OK"))))))))</f>
        <v>Not assessed</v>
      </c>
      <c r="AQ75" s="8"/>
      <c r="AR75" s="8"/>
      <c r="AS75" s="8"/>
    </row>
    <row r="76" customFormat="false" ht="22.35" hidden="false" customHeight="false" outlineLevel="0" collapsed="false">
      <c r="A76" s="6" t="s">
        <v>249</v>
      </c>
      <c r="B76" s="6" t="s">
        <v>150</v>
      </c>
      <c r="C76" s="6" t="s">
        <v>247</v>
      </c>
      <c r="D76" s="6" t="s">
        <v>248</v>
      </c>
      <c r="E76" s="6" t="s">
        <v>88</v>
      </c>
      <c r="F76" s="7"/>
      <c r="G76" s="6" t="s">
        <v>82</v>
      </c>
      <c r="H76" s="6"/>
      <c r="I76" s="6"/>
      <c r="J76" s="6"/>
      <c r="K76" s="6"/>
      <c r="L76" s="6" t="s">
        <v>83</v>
      </c>
      <c r="M76" s="6" t="s">
        <v>84</v>
      </c>
      <c r="N76" s="6"/>
      <c r="O76" s="6"/>
      <c r="P76" s="6"/>
      <c r="Q76" s="6"/>
      <c r="R76" s="6" t="s">
        <v>85</v>
      </c>
      <c r="S76" s="6"/>
      <c r="T76" s="6" t="s">
        <v>154</v>
      </c>
      <c r="U76" s="8"/>
      <c r="V76" s="8"/>
      <c r="W76" s="8"/>
      <c r="X76" s="8"/>
      <c r="Y76" s="9"/>
      <c r="Z76" s="9"/>
      <c r="AA76" s="9"/>
      <c r="AB76" s="9"/>
      <c r="AC76" s="10" t="str">
        <f aca="false">IF(Z76="","",IF(Z76=0,"Unassigned",IF(Z76=1,"Single point",IF(AB76="Yes","Staffed and credentialed","Staffed, credential gap"))))</f>
        <v/>
      </c>
      <c r="AD76" s="10" t="str">
        <f aca="false">IFERROR(INDEX(Lists!$H$3:$H$6,MATCH(AC76,Lists!$G$3:$G$6,0)),"")</f>
        <v/>
      </c>
      <c r="AE76" s="8"/>
      <c r="AF76" s="10" t="str">
        <f aca="false">IFERROR(INDEX(Lists!$B$3:$B$7,MATCH(AE76,Lists!$A$3:$A$7,0)),"")</f>
        <v/>
      </c>
      <c r="AG76" s="8"/>
      <c r="AH76" s="8"/>
      <c r="AI76" s="8"/>
      <c r="AJ76" s="8"/>
      <c r="AK76" s="8"/>
      <c r="AL76" s="8"/>
      <c r="AM76" s="11" t="str">
        <f aca="false">IF(OR(AJ76="",AJ76=0),"",AL76/AJ76)</f>
        <v/>
      </c>
      <c r="AN76" s="8"/>
      <c r="AO76" s="8"/>
      <c r="AP76" s="10" t="str">
        <f aca="false">IF(AN76="","Not assessed",IF(AND(R76="No",AN76="Gap - recommend tailoring"),"INVALID: HSSB is not tailorable",IF(OR(Z76="",Z76=0),"NO NAMED EXECUTOR",IF(AND(N(AF76)&gt;=3,AJ76=""),"Operating claimed with no sample",IF(AND(N(AF76)&gt;=3,Z76=1),"Operating rests on one individual",IF(AND(N(AF76)&gt;=3,AB76&lt;&gt;"Yes"),"Operating claimed below designed credential",IF(AND(R76="No",N(AF76)&lt;3),"HSSB GATE: below Operating",IF(AND(N(AF76)&gt;=3,AJ76&lt;&gt;"",AL76=""),"Sample size with no conforming count","OK"))))))))</f>
        <v>Not assessed</v>
      </c>
      <c r="AQ76" s="8"/>
      <c r="AR76" s="8"/>
      <c r="AS76" s="8"/>
    </row>
    <row r="77" customFormat="false" ht="22.35" hidden="false" customHeight="false" outlineLevel="0" collapsed="false">
      <c r="A77" s="6" t="s">
        <v>250</v>
      </c>
      <c r="B77" s="6" t="s">
        <v>150</v>
      </c>
      <c r="C77" s="6" t="s">
        <v>247</v>
      </c>
      <c r="D77" s="6" t="s">
        <v>248</v>
      </c>
      <c r="E77" s="6" t="s">
        <v>100</v>
      </c>
      <c r="F77" s="7"/>
      <c r="G77" s="6" t="s">
        <v>82</v>
      </c>
      <c r="H77" s="6"/>
      <c r="I77" s="6"/>
      <c r="J77" s="6"/>
      <c r="K77" s="6"/>
      <c r="L77" s="6" t="s">
        <v>83</v>
      </c>
      <c r="M77" s="6" t="s">
        <v>84</v>
      </c>
      <c r="N77" s="6"/>
      <c r="O77" s="6"/>
      <c r="P77" s="6"/>
      <c r="Q77" s="6"/>
      <c r="R77" s="6" t="s">
        <v>85</v>
      </c>
      <c r="S77" s="6"/>
      <c r="T77" s="6" t="s">
        <v>154</v>
      </c>
      <c r="U77" s="8"/>
      <c r="V77" s="8"/>
      <c r="W77" s="8"/>
      <c r="X77" s="8"/>
      <c r="Y77" s="9"/>
      <c r="Z77" s="9"/>
      <c r="AA77" s="9"/>
      <c r="AB77" s="9"/>
      <c r="AC77" s="10" t="str">
        <f aca="false">IF(Z77="","",IF(Z77=0,"Unassigned",IF(Z77=1,"Single point",IF(AB77="Yes","Staffed and credentialed","Staffed, credential gap"))))</f>
        <v/>
      </c>
      <c r="AD77" s="10" t="str">
        <f aca="false">IFERROR(INDEX(Lists!$H$3:$H$6,MATCH(AC77,Lists!$G$3:$G$6,0)),"")</f>
        <v/>
      </c>
      <c r="AE77" s="8"/>
      <c r="AF77" s="10" t="str">
        <f aca="false">IFERROR(INDEX(Lists!$B$3:$B$7,MATCH(AE77,Lists!$A$3:$A$7,0)),"")</f>
        <v/>
      </c>
      <c r="AG77" s="8"/>
      <c r="AH77" s="8"/>
      <c r="AI77" s="8"/>
      <c r="AJ77" s="8"/>
      <c r="AK77" s="8"/>
      <c r="AL77" s="8"/>
      <c r="AM77" s="11" t="str">
        <f aca="false">IF(OR(AJ77="",AJ77=0),"",AL77/AJ77)</f>
        <v/>
      </c>
      <c r="AN77" s="8"/>
      <c r="AO77" s="8"/>
      <c r="AP77" s="10" t="str">
        <f aca="false">IF(AN77="","Not assessed",IF(AND(R77="No",AN77="Gap - recommend tailoring"),"INVALID: HSSB is not tailorable",IF(OR(Z77="",Z77=0),"NO NAMED EXECUTOR",IF(AND(N(AF77)&gt;=3,AJ77=""),"Operating claimed with no sample",IF(AND(N(AF77)&gt;=3,Z77=1),"Operating rests on one individual",IF(AND(N(AF77)&gt;=3,AB77&lt;&gt;"Yes"),"Operating claimed below designed credential",IF(AND(R77="No",N(AF77)&lt;3),"HSSB GATE: below Operating",IF(AND(N(AF77)&gt;=3,AJ77&lt;&gt;"",AL77=""),"Sample size with no conforming count","OK"))))))))</f>
        <v>Not assessed</v>
      </c>
      <c r="AQ77" s="8"/>
      <c r="AR77" s="8"/>
      <c r="AS77" s="8"/>
    </row>
    <row r="78" customFormat="false" ht="22.35" hidden="false" customHeight="false" outlineLevel="0" collapsed="false">
      <c r="A78" s="6" t="s">
        <v>251</v>
      </c>
      <c r="B78" s="6" t="s">
        <v>150</v>
      </c>
      <c r="C78" s="6" t="s">
        <v>247</v>
      </c>
      <c r="D78" s="6" t="s">
        <v>248</v>
      </c>
      <c r="E78" s="6" t="s">
        <v>102</v>
      </c>
      <c r="F78" s="7"/>
      <c r="G78" s="6" t="s">
        <v>82</v>
      </c>
      <c r="H78" s="6"/>
      <c r="I78" s="6"/>
      <c r="J78" s="6"/>
      <c r="K78" s="6"/>
      <c r="L78" s="6" t="s">
        <v>83</v>
      </c>
      <c r="M78" s="6" t="s">
        <v>84</v>
      </c>
      <c r="N78" s="6"/>
      <c r="O78" s="6"/>
      <c r="P78" s="6"/>
      <c r="Q78" s="6"/>
      <c r="R78" s="6" t="s">
        <v>85</v>
      </c>
      <c r="S78" s="6"/>
      <c r="T78" s="6" t="s">
        <v>154</v>
      </c>
      <c r="U78" s="8"/>
      <c r="V78" s="8"/>
      <c r="W78" s="8"/>
      <c r="X78" s="8"/>
      <c r="Y78" s="9"/>
      <c r="Z78" s="9"/>
      <c r="AA78" s="9"/>
      <c r="AB78" s="9"/>
      <c r="AC78" s="10" t="str">
        <f aca="false">IF(Z78="","",IF(Z78=0,"Unassigned",IF(Z78=1,"Single point",IF(AB78="Yes","Staffed and credentialed","Staffed, credential gap"))))</f>
        <v/>
      </c>
      <c r="AD78" s="10" t="str">
        <f aca="false">IFERROR(INDEX(Lists!$H$3:$H$6,MATCH(AC78,Lists!$G$3:$G$6,0)),"")</f>
        <v/>
      </c>
      <c r="AE78" s="8"/>
      <c r="AF78" s="10" t="str">
        <f aca="false">IFERROR(INDEX(Lists!$B$3:$B$7,MATCH(AE78,Lists!$A$3:$A$7,0)),"")</f>
        <v/>
      </c>
      <c r="AG78" s="8"/>
      <c r="AH78" s="8"/>
      <c r="AI78" s="8"/>
      <c r="AJ78" s="8"/>
      <c r="AK78" s="8"/>
      <c r="AL78" s="8"/>
      <c r="AM78" s="11" t="str">
        <f aca="false">IF(OR(AJ78="",AJ78=0),"",AL78/AJ78)</f>
        <v/>
      </c>
      <c r="AN78" s="8"/>
      <c r="AO78" s="8"/>
      <c r="AP78" s="10" t="str">
        <f aca="false">IF(AN78="","Not assessed",IF(AND(R78="No",AN78="Gap - recommend tailoring"),"INVALID: HSSB is not tailorable",IF(OR(Z78="",Z78=0),"NO NAMED EXECUTOR",IF(AND(N(AF78)&gt;=3,AJ78=""),"Operating claimed with no sample",IF(AND(N(AF78)&gt;=3,Z78=1),"Operating rests on one individual",IF(AND(N(AF78)&gt;=3,AB78&lt;&gt;"Yes"),"Operating claimed below designed credential",IF(AND(R78="No",N(AF78)&lt;3),"HSSB GATE: below Operating",IF(AND(N(AF78)&gt;=3,AJ78&lt;&gt;"",AL78=""),"Sample size with no conforming count","OK"))))))))</f>
        <v>Not assessed</v>
      </c>
      <c r="AQ78" s="8"/>
      <c r="AR78" s="8"/>
      <c r="AS78" s="8"/>
    </row>
    <row r="79" customFormat="false" ht="22.35" hidden="false" customHeight="false" outlineLevel="0" collapsed="false">
      <c r="A79" s="6" t="s">
        <v>252</v>
      </c>
      <c r="B79" s="6" t="s">
        <v>150</v>
      </c>
      <c r="C79" s="6" t="s">
        <v>253</v>
      </c>
      <c r="D79" s="6" t="s">
        <v>254</v>
      </c>
      <c r="E79" s="6" t="s">
        <v>81</v>
      </c>
      <c r="F79" s="7"/>
      <c r="G79" s="6" t="s">
        <v>82</v>
      </c>
      <c r="H79" s="6"/>
      <c r="I79" s="6"/>
      <c r="J79" s="6"/>
      <c r="K79" s="6"/>
      <c r="L79" s="6" t="s">
        <v>83</v>
      </c>
      <c r="M79" s="6" t="s">
        <v>84</v>
      </c>
      <c r="N79" s="6"/>
      <c r="O79" s="6"/>
      <c r="P79" s="6"/>
      <c r="Q79" s="6"/>
      <c r="R79" s="6" t="s">
        <v>85</v>
      </c>
      <c r="S79" s="6" t="s">
        <v>255</v>
      </c>
      <c r="T79" s="6" t="s">
        <v>154</v>
      </c>
      <c r="U79" s="8"/>
      <c r="V79" s="8"/>
      <c r="W79" s="8"/>
      <c r="X79" s="8"/>
      <c r="Y79" s="9"/>
      <c r="Z79" s="9"/>
      <c r="AA79" s="9"/>
      <c r="AB79" s="9"/>
      <c r="AC79" s="10" t="str">
        <f aca="false">IF(Z79="","",IF(Z79=0,"Unassigned",IF(Z79=1,"Single point",IF(AB79="Yes","Staffed and credentialed","Staffed, credential gap"))))</f>
        <v/>
      </c>
      <c r="AD79" s="10" t="str">
        <f aca="false">IFERROR(INDEX(Lists!$H$3:$H$6,MATCH(AC79,Lists!$G$3:$G$6,0)),"")</f>
        <v/>
      </c>
      <c r="AE79" s="8"/>
      <c r="AF79" s="10" t="str">
        <f aca="false">IFERROR(INDEX(Lists!$B$3:$B$7,MATCH(AE79,Lists!$A$3:$A$7,0)),"")</f>
        <v/>
      </c>
      <c r="AG79" s="8"/>
      <c r="AH79" s="8"/>
      <c r="AI79" s="8"/>
      <c r="AJ79" s="8"/>
      <c r="AK79" s="8"/>
      <c r="AL79" s="8"/>
      <c r="AM79" s="11" t="str">
        <f aca="false">IF(OR(AJ79="",AJ79=0),"",AL79/AJ79)</f>
        <v/>
      </c>
      <c r="AN79" s="8"/>
      <c r="AO79" s="8"/>
      <c r="AP79" s="10" t="str">
        <f aca="false">IF(AN79="","Not assessed",IF(AND(R79="No",AN79="Gap - recommend tailoring"),"INVALID: HSSB is not tailorable",IF(OR(Z79="",Z79=0),"NO NAMED EXECUTOR",IF(AND(N(AF79)&gt;=3,AJ79=""),"Operating claimed with no sample",IF(AND(N(AF79)&gt;=3,Z79=1),"Operating rests on one individual",IF(AND(N(AF79)&gt;=3,AB79&lt;&gt;"Yes"),"Operating claimed below designed credential",IF(AND(R79="No",N(AF79)&lt;3),"HSSB GATE: below Operating",IF(AND(N(AF79)&gt;=3,AJ79&lt;&gt;"",AL79=""),"Sample size with no conforming count","OK"))))))))</f>
        <v>Not assessed</v>
      </c>
      <c r="AQ79" s="8"/>
      <c r="AR79" s="8"/>
      <c r="AS79" s="8"/>
    </row>
    <row r="80" customFormat="false" ht="22.35" hidden="false" customHeight="false" outlineLevel="0" collapsed="false">
      <c r="A80" s="6" t="s">
        <v>256</v>
      </c>
      <c r="B80" s="6" t="s">
        <v>150</v>
      </c>
      <c r="C80" s="6" t="s">
        <v>253</v>
      </c>
      <c r="D80" s="6" t="s">
        <v>254</v>
      </c>
      <c r="E80" s="6" t="s">
        <v>88</v>
      </c>
      <c r="F80" s="7"/>
      <c r="G80" s="6" t="s">
        <v>82</v>
      </c>
      <c r="H80" s="6"/>
      <c r="I80" s="6"/>
      <c r="J80" s="6"/>
      <c r="K80" s="6"/>
      <c r="L80" s="6" t="s">
        <v>83</v>
      </c>
      <c r="M80" s="6" t="s">
        <v>84</v>
      </c>
      <c r="N80" s="6"/>
      <c r="O80" s="6"/>
      <c r="P80" s="6"/>
      <c r="Q80" s="6"/>
      <c r="R80" s="6" t="s">
        <v>85</v>
      </c>
      <c r="S80" s="6" t="s">
        <v>255</v>
      </c>
      <c r="T80" s="6" t="s">
        <v>154</v>
      </c>
      <c r="U80" s="8"/>
      <c r="V80" s="8"/>
      <c r="W80" s="8"/>
      <c r="X80" s="8"/>
      <c r="Y80" s="9"/>
      <c r="Z80" s="9"/>
      <c r="AA80" s="9"/>
      <c r="AB80" s="9"/>
      <c r="AC80" s="10" t="str">
        <f aca="false">IF(Z80="","",IF(Z80=0,"Unassigned",IF(Z80=1,"Single point",IF(AB80="Yes","Staffed and credentialed","Staffed, credential gap"))))</f>
        <v/>
      </c>
      <c r="AD80" s="10" t="str">
        <f aca="false">IFERROR(INDEX(Lists!$H$3:$H$6,MATCH(AC80,Lists!$G$3:$G$6,0)),"")</f>
        <v/>
      </c>
      <c r="AE80" s="8"/>
      <c r="AF80" s="10" t="str">
        <f aca="false">IFERROR(INDEX(Lists!$B$3:$B$7,MATCH(AE80,Lists!$A$3:$A$7,0)),"")</f>
        <v/>
      </c>
      <c r="AG80" s="8"/>
      <c r="AH80" s="8"/>
      <c r="AI80" s="8"/>
      <c r="AJ80" s="8"/>
      <c r="AK80" s="8"/>
      <c r="AL80" s="8"/>
      <c r="AM80" s="11" t="str">
        <f aca="false">IF(OR(AJ80="",AJ80=0),"",AL80/AJ80)</f>
        <v/>
      </c>
      <c r="AN80" s="8"/>
      <c r="AO80" s="8"/>
      <c r="AP80" s="10" t="str">
        <f aca="false">IF(AN80="","Not assessed",IF(AND(R80="No",AN80="Gap - recommend tailoring"),"INVALID: HSSB is not tailorable",IF(OR(Z80="",Z80=0),"NO NAMED EXECUTOR",IF(AND(N(AF80)&gt;=3,AJ80=""),"Operating claimed with no sample",IF(AND(N(AF80)&gt;=3,Z80=1),"Operating rests on one individual",IF(AND(N(AF80)&gt;=3,AB80&lt;&gt;"Yes"),"Operating claimed below designed credential",IF(AND(R80="No",N(AF80)&lt;3),"HSSB GATE: below Operating",IF(AND(N(AF80)&gt;=3,AJ80&lt;&gt;"",AL80=""),"Sample size with no conforming count","OK"))))))))</f>
        <v>Not assessed</v>
      </c>
      <c r="AQ80" s="8"/>
      <c r="AR80" s="8"/>
      <c r="AS80" s="8"/>
    </row>
    <row r="81" customFormat="false" ht="22.35" hidden="false" customHeight="false" outlineLevel="0" collapsed="false">
      <c r="A81" s="6" t="s">
        <v>257</v>
      </c>
      <c r="B81" s="6" t="s">
        <v>150</v>
      </c>
      <c r="C81" s="6" t="s">
        <v>253</v>
      </c>
      <c r="D81" s="6" t="s">
        <v>254</v>
      </c>
      <c r="E81" s="6" t="s">
        <v>100</v>
      </c>
      <c r="F81" s="7"/>
      <c r="G81" s="6" t="s">
        <v>82</v>
      </c>
      <c r="H81" s="6"/>
      <c r="I81" s="6"/>
      <c r="J81" s="6"/>
      <c r="K81" s="6"/>
      <c r="L81" s="6" t="s">
        <v>83</v>
      </c>
      <c r="M81" s="6" t="s">
        <v>84</v>
      </c>
      <c r="N81" s="6"/>
      <c r="O81" s="6"/>
      <c r="P81" s="6"/>
      <c r="Q81" s="6"/>
      <c r="R81" s="6" t="s">
        <v>85</v>
      </c>
      <c r="S81" s="6" t="s">
        <v>255</v>
      </c>
      <c r="T81" s="6" t="s">
        <v>154</v>
      </c>
      <c r="U81" s="8"/>
      <c r="V81" s="8"/>
      <c r="W81" s="8"/>
      <c r="X81" s="8"/>
      <c r="Y81" s="9"/>
      <c r="Z81" s="9"/>
      <c r="AA81" s="9"/>
      <c r="AB81" s="9"/>
      <c r="AC81" s="10" t="str">
        <f aca="false">IF(Z81="","",IF(Z81=0,"Unassigned",IF(Z81=1,"Single point",IF(AB81="Yes","Staffed and credentialed","Staffed, credential gap"))))</f>
        <v/>
      </c>
      <c r="AD81" s="10" t="str">
        <f aca="false">IFERROR(INDEX(Lists!$H$3:$H$6,MATCH(AC81,Lists!$G$3:$G$6,0)),"")</f>
        <v/>
      </c>
      <c r="AE81" s="8"/>
      <c r="AF81" s="10" t="str">
        <f aca="false">IFERROR(INDEX(Lists!$B$3:$B$7,MATCH(AE81,Lists!$A$3:$A$7,0)),"")</f>
        <v/>
      </c>
      <c r="AG81" s="8"/>
      <c r="AH81" s="8"/>
      <c r="AI81" s="8"/>
      <c r="AJ81" s="8"/>
      <c r="AK81" s="8"/>
      <c r="AL81" s="8"/>
      <c r="AM81" s="11" t="str">
        <f aca="false">IF(OR(AJ81="",AJ81=0),"",AL81/AJ81)</f>
        <v/>
      </c>
      <c r="AN81" s="8"/>
      <c r="AO81" s="8"/>
      <c r="AP81" s="10" t="str">
        <f aca="false">IF(AN81="","Not assessed",IF(AND(R81="No",AN81="Gap - recommend tailoring"),"INVALID: HSSB is not tailorable",IF(OR(Z81="",Z81=0),"NO NAMED EXECUTOR",IF(AND(N(AF81)&gt;=3,AJ81=""),"Operating claimed with no sample",IF(AND(N(AF81)&gt;=3,Z81=1),"Operating rests on one individual",IF(AND(N(AF81)&gt;=3,AB81&lt;&gt;"Yes"),"Operating claimed below designed credential",IF(AND(R81="No",N(AF81)&lt;3),"HSSB GATE: below Operating",IF(AND(N(AF81)&gt;=3,AJ81&lt;&gt;"",AL81=""),"Sample size with no conforming count","OK"))))))))</f>
        <v>Not assessed</v>
      </c>
      <c r="AQ81" s="8"/>
      <c r="AR81" s="8"/>
      <c r="AS81" s="8"/>
    </row>
    <row r="82" customFormat="false" ht="22.35" hidden="false" customHeight="false" outlineLevel="0" collapsed="false">
      <c r="A82" s="6" t="s">
        <v>258</v>
      </c>
      <c r="B82" s="6" t="s">
        <v>150</v>
      </c>
      <c r="C82" s="6" t="s">
        <v>253</v>
      </c>
      <c r="D82" s="6" t="s">
        <v>254</v>
      </c>
      <c r="E82" s="6" t="s">
        <v>102</v>
      </c>
      <c r="F82" s="7"/>
      <c r="G82" s="6" t="s">
        <v>82</v>
      </c>
      <c r="H82" s="6"/>
      <c r="I82" s="6"/>
      <c r="J82" s="6"/>
      <c r="K82" s="6"/>
      <c r="L82" s="6" t="s">
        <v>83</v>
      </c>
      <c r="M82" s="6" t="s">
        <v>84</v>
      </c>
      <c r="N82" s="6"/>
      <c r="O82" s="6"/>
      <c r="P82" s="6"/>
      <c r="Q82" s="6"/>
      <c r="R82" s="6" t="s">
        <v>85</v>
      </c>
      <c r="S82" s="6" t="s">
        <v>255</v>
      </c>
      <c r="T82" s="6" t="s">
        <v>154</v>
      </c>
      <c r="U82" s="8"/>
      <c r="V82" s="8"/>
      <c r="W82" s="8"/>
      <c r="X82" s="8"/>
      <c r="Y82" s="9"/>
      <c r="Z82" s="9"/>
      <c r="AA82" s="9"/>
      <c r="AB82" s="9"/>
      <c r="AC82" s="10" t="str">
        <f aca="false">IF(Z82="","",IF(Z82=0,"Unassigned",IF(Z82=1,"Single point",IF(AB82="Yes","Staffed and credentialed","Staffed, credential gap"))))</f>
        <v/>
      </c>
      <c r="AD82" s="10" t="str">
        <f aca="false">IFERROR(INDEX(Lists!$H$3:$H$6,MATCH(AC82,Lists!$G$3:$G$6,0)),"")</f>
        <v/>
      </c>
      <c r="AE82" s="8"/>
      <c r="AF82" s="10" t="str">
        <f aca="false">IFERROR(INDEX(Lists!$B$3:$B$7,MATCH(AE82,Lists!$A$3:$A$7,0)),"")</f>
        <v/>
      </c>
      <c r="AG82" s="8"/>
      <c r="AH82" s="8"/>
      <c r="AI82" s="8"/>
      <c r="AJ82" s="8"/>
      <c r="AK82" s="8"/>
      <c r="AL82" s="8"/>
      <c r="AM82" s="11" t="str">
        <f aca="false">IF(OR(AJ82="",AJ82=0),"",AL82/AJ82)</f>
        <v/>
      </c>
      <c r="AN82" s="8"/>
      <c r="AO82" s="8"/>
      <c r="AP82" s="10" t="str">
        <f aca="false">IF(AN82="","Not assessed",IF(AND(R82="No",AN82="Gap - recommend tailoring"),"INVALID: HSSB is not tailorable",IF(OR(Z82="",Z82=0),"NO NAMED EXECUTOR",IF(AND(N(AF82)&gt;=3,AJ82=""),"Operating claimed with no sample",IF(AND(N(AF82)&gt;=3,Z82=1),"Operating rests on one individual",IF(AND(N(AF82)&gt;=3,AB82&lt;&gt;"Yes"),"Operating claimed below designed credential",IF(AND(R82="No",N(AF82)&lt;3),"HSSB GATE: below Operating",IF(AND(N(AF82)&gt;=3,AJ82&lt;&gt;"",AL82=""),"Sample size with no conforming count","OK"))))))))</f>
        <v>Not assessed</v>
      </c>
      <c r="AQ82" s="8"/>
      <c r="AR82" s="8"/>
      <c r="AS82" s="8"/>
    </row>
    <row r="83" customFormat="false" ht="22.35" hidden="false" customHeight="false" outlineLevel="0" collapsed="false">
      <c r="A83" s="6" t="s">
        <v>259</v>
      </c>
      <c r="B83" s="6" t="s">
        <v>150</v>
      </c>
      <c r="C83" s="6" t="s">
        <v>260</v>
      </c>
      <c r="D83" s="6" t="s">
        <v>261</v>
      </c>
      <c r="E83" s="6" t="s">
        <v>112</v>
      </c>
      <c r="F83" s="7"/>
      <c r="G83" s="6" t="s">
        <v>82</v>
      </c>
      <c r="H83" s="6"/>
      <c r="I83" s="6"/>
      <c r="J83" s="6"/>
      <c r="K83" s="6"/>
      <c r="L83" s="6" t="s">
        <v>83</v>
      </c>
      <c r="M83" s="6" t="s">
        <v>84</v>
      </c>
      <c r="N83" s="6"/>
      <c r="O83" s="6"/>
      <c r="P83" s="6"/>
      <c r="Q83" s="6"/>
      <c r="R83" s="6" t="s">
        <v>85</v>
      </c>
      <c r="S83" s="6"/>
      <c r="T83" s="6" t="s">
        <v>154</v>
      </c>
      <c r="U83" s="8"/>
      <c r="V83" s="8"/>
      <c r="W83" s="8"/>
      <c r="X83" s="8"/>
      <c r="Y83" s="9"/>
      <c r="Z83" s="9"/>
      <c r="AA83" s="9"/>
      <c r="AB83" s="9"/>
      <c r="AC83" s="10" t="str">
        <f aca="false">IF(Z83="","",IF(Z83=0,"Unassigned",IF(Z83=1,"Single point",IF(AB83="Yes","Staffed and credentialed","Staffed, credential gap"))))</f>
        <v/>
      </c>
      <c r="AD83" s="10" t="str">
        <f aca="false">IFERROR(INDEX(Lists!$H$3:$H$6,MATCH(AC83,Lists!$G$3:$G$6,0)),"")</f>
        <v/>
      </c>
      <c r="AE83" s="8"/>
      <c r="AF83" s="10" t="str">
        <f aca="false">IFERROR(INDEX(Lists!$B$3:$B$7,MATCH(AE83,Lists!$A$3:$A$7,0)),"")</f>
        <v/>
      </c>
      <c r="AG83" s="8"/>
      <c r="AH83" s="8"/>
      <c r="AI83" s="8"/>
      <c r="AJ83" s="8"/>
      <c r="AK83" s="8"/>
      <c r="AL83" s="8"/>
      <c r="AM83" s="11" t="str">
        <f aca="false">IF(OR(AJ83="",AJ83=0),"",AL83/AJ83)</f>
        <v/>
      </c>
      <c r="AN83" s="8"/>
      <c r="AO83" s="8"/>
      <c r="AP83" s="10" t="str">
        <f aca="false">IF(AN83="","Not assessed",IF(AND(R83="No",AN83="Gap - recommend tailoring"),"INVALID: HSSB is not tailorable",IF(OR(Z83="",Z83=0),"NO NAMED EXECUTOR",IF(AND(N(AF83)&gt;=3,AJ83=""),"Operating claimed with no sample",IF(AND(N(AF83)&gt;=3,Z83=1),"Operating rests on one individual",IF(AND(N(AF83)&gt;=3,AB83&lt;&gt;"Yes"),"Operating claimed below designed credential",IF(AND(R83="No",N(AF83)&lt;3),"HSSB GATE: below Operating",IF(AND(N(AF83)&gt;=3,AJ83&lt;&gt;"",AL83=""),"Sample size with no conforming count","OK"))))))))</f>
        <v>Not assessed</v>
      </c>
      <c r="AQ83" s="8"/>
      <c r="AR83" s="8"/>
      <c r="AS83" s="8"/>
    </row>
    <row r="84" customFormat="false" ht="22.35" hidden="false" customHeight="false" outlineLevel="0" collapsed="false">
      <c r="A84" s="6" t="s">
        <v>262</v>
      </c>
      <c r="B84" s="6" t="s">
        <v>150</v>
      </c>
      <c r="C84" s="6" t="s">
        <v>260</v>
      </c>
      <c r="D84" s="6" t="s">
        <v>261</v>
      </c>
      <c r="E84" s="6" t="s">
        <v>115</v>
      </c>
      <c r="F84" s="7"/>
      <c r="G84" s="6" t="s">
        <v>82</v>
      </c>
      <c r="H84" s="6"/>
      <c r="I84" s="6"/>
      <c r="J84" s="6"/>
      <c r="K84" s="6"/>
      <c r="L84" s="6" t="s">
        <v>83</v>
      </c>
      <c r="M84" s="6" t="s">
        <v>84</v>
      </c>
      <c r="N84" s="6"/>
      <c r="O84" s="6"/>
      <c r="P84" s="6"/>
      <c r="Q84" s="6"/>
      <c r="R84" s="6" t="s">
        <v>85</v>
      </c>
      <c r="S84" s="6"/>
      <c r="T84" s="6" t="s">
        <v>154</v>
      </c>
      <c r="U84" s="8"/>
      <c r="V84" s="8"/>
      <c r="W84" s="8"/>
      <c r="X84" s="8"/>
      <c r="Y84" s="9"/>
      <c r="Z84" s="9"/>
      <c r="AA84" s="9"/>
      <c r="AB84" s="9"/>
      <c r="AC84" s="10" t="str">
        <f aca="false">IF(Z84="","",IF(Z84=0,"Unassigned",IF(Z84=1,"Single point",IF(AB84="Yes","Staffed and credentialed","Staffed, credential gap"))))</f>
        <v/>
      </c>
      <c r="AD84" s="10" t="str">
        <f aca="false">IFERROR(INDEX(Lists!$H$3:$H$6,MATCH(AC84,Lists!$G$3:$G$6,0)),"")</f>
        <v/>
      </c>
      <c r="AE84" s="8"/>
      <c r="AF84" s="10" t="str">
        <f aca="false">IFERROR(INDEX(Lists!$B$3:$B$7,MATCH(AE84,Lists!$A$3:$A$7,0)),"")</f>
        <v/>
      </c>
      <c r="AG84" s="8"/>
      <c r="AH84" s="8"/>
      <c r="AI84" s="8"/>
      <c r="AJ84" s="8"/>
      <c r="AK84" s="8"/>
      <c r="AL84" s="8"/>
      <c r="AM84" s="11" t="str">
        <f aca="false">IF(OR(AJ84="",AJ84=0),"",AL84/AJ84)</f>
        <v/>
      </c>
      <c r="AN84" s="8"/>
      <c r="AO84" s="8"/>
      <c r="AP84" s="10" t="str">
        <f aca="false">IF(AN84="","Not assessed",IF(AND(R84="No",AN84="Gap - recommend tailoring"),"INVALID: HSSB is not tailorable",IF(OR(Z84="",Z84=0),"NO NAMED EXECUTOR",IF(AND(N(AF84)&gt;=3,AJ84=""),"Operating claimed with no sample",IF(AND(N(AF84)&gt;=3,Z84=1),"Operating rests on one individual",IF(AND(N(AF84)&gt;=3,AB84&lt;&gt;"Yes"),"Operating claimed below designed credential",IF(AND(R84="No",N(AF84)&lt;3),"HSSB GATE: below Operating",IF(AND(N(AF84)&gt;=3,AJ84&lt;&gt;"",AL84=""),"Sample size with no conforming count","OK"))))))))</f>
        <v>Not assessed</v>
      </c>
      <c r="AQ84" s="8"/>
      <c r="AR84" s="8"/>
      <c r="AS84" s="8"/>
    </row>
    <row r="85" customFormat="false" ht="22.35" hidden="false" customHeight="false" outlineLevel="0" collapsed="false">
      <c r="A85" s="6" t="s">
        <v>263</v>
      </c>
      <c r="B85" s="6" t="s">
        <v>150</v>
      </c>
      <c r="C85" s="6" t="s">
        <v>260</v>
      </c>
      <c r="D85" s="6" t="s">
        <v>261</v>
      </c>
      <c r="E85" s="6" t="s">
        <v>117</v>
      </c>
      <c r="F85" s="7"/>
      <c r="G85" s="6" t="s">
        <v>82</v>
      </c>
      <c r="H85" s="6"/>
      <c r="I85" s="6"/>
      <c r="J85" s="6"/>
      <c r="K85" s="6"/>
      <c r="L85" s="6" t="s">
        <v>83</v>
      </c>
      <c r="M85" s="6" t="s">
        <v>84</v>
      </c>
      <c r="N85" s="6"/>
      <c r="O85" s="6"/>
      <c r="P85" s="6"/>
      <c r="Q85" s="6"/>
      <c r="R85" s="6" t="s">
        <v>85</v>
      </c>
      <c r="S85" s="6"/>
      <c r="T85" s="6" t="s">
        <v>154</v>
      </c>
      <c r="U85" s="8"/>
      <c r="V85" s="8"/>
      <c r="W85" s="8"/>
      <c r="X85" s="8"/>
      <c r="Y85" s="9"/>
      <c r="Z85" s="9"/>
      <c r="AA85" s="9"/>
      <c r="AB85" s="9"/>
      <c r="AC85" s="10" t="str">
        <f aca="false">IF(Z85="","",IF(Z85=0,"Unassigned",IF(Z85=1,"Single point",IF(AB85="Yes","Staffed and credentialed","Staffed, credential gap"))))</f>
        <v/>
      </c>
      <c r="AD85" s="10" t="str">
        <f aca="false">IFERROR(INDEX(Lists!$H$3:$H$6,MATCH(AC85,Lists!$G$3:$G$6,0)),"")</f>
        <v/>
      </c>
      <c r="AE85" s="8"/>
      <c r="AF85" s="10" t="str">
        <f aca="false">IFERROR(INDEX(Lists!$B$3:$B$7,MATCH(AE85,Lists!$A$3:$A$7,0)),"")</f>
        <v/>
      </c>
      <c r="AG85" s="8"/>
      <c r="AH85" s="8"/>
      <c r="AI85" s="8"/>
      <c r="AJ85" s="8"/>
      <c r="AK85" s="8"/>
      <c r="AL85" s="8"/>
      <c r="AM85" s="11" t="str">
        <f aca="false">IF(OR(AJ85="",AJ85=0),"",AL85/AJ85)</f>
        <v/>
      </c>
      <c r="AN85" s="8"/>
      <c r="AO85" s="8"/>
      <c r="AP85" s="10" t="str">
        <f aca="false">IF(AN85="","Not assessed",IF(AND(R85="No",AN85="Gap - recommend tailoring"),"INVALID: HSSB is not tailorable",IF(OR(Z85="",Z85=0),"NO NAMED EXECUTOR",IF(AND(N(AF85)&gt;=3,AJ85=""),"Operating claimed with no sample",IF(AND(N(AF85)&gt;=3,Z85=1),"Operating rests on one individual",IF(AND(N(AF85)&gt;=3,AB85&lt;&gt;"Yes"),"Operating claimed below designed credential",IF(AND(R85="No",N(AF85)&lt;3),"HSSB GATE: below Operating",IF(AND(N(AF85)&gt;=3,AJ85&lt;&gt;"",AL85=""),"Sample size with no conforming count","OK"))))))))</f>
        <v>Not assessed</v>
      </c>
      <c r="AQ85" s="8"/>
      <c r="AR85" s="8"/>
      <c r="AS85" s="8"/>
    </row>
    <row r="86" customFormat="false" ht="22.35" hidden="false" customHeight="false" outlineLevel="0" collapsed="false">
      <c r="A86" s="6" t="s">
        <v>264</v>
      </c>
      <c r="B86" s="6" t="s">
        <v>150</v>
      </c>
      <c r="C86" s="6" t="s">
        <v>260</v>
      </c>
      <c r="D86" s="6" t="s">
        <v>261</v>
      </c>
      <c r="E86" s="6" t="s">
        <v>119</v>
      </c>
      <c r="F86" s="7"/>
      <c r="G86" s="6" t="s">
        <v>82</v>
      </c>
      <c r="H86" s="6"/>
      <c r="I86" s="6"/>
      <c r="J86" s="6"/>
      <c r="K86" s="6"/>
      <c r="L86" s="6" t="s">
        <v>83</v>
      </c>
      <c r="M86" s="6" t="s">
        <v>84</v>
      </c>
      <c r="N86" s="6"/>
      <c r="O86" s="6"/>
      <c r="P86" s="6"/>
      <c r="Q86" s="6"/>
      <c r="R86" s="6" t="s">
        <v>85</v>
      </c>
      <c r="S86" s="6"/>
      <c r="T86" s="6" t="s">
        <v>154</v>
      </c>
      <c r="U86" s="8"/>
      <c r="V86" s="8"/>
      <c r="W86" s="8"/>
      <c r="X86" s="8"/>
      <c r="Y86" s="9"/>
      <c r="Z86" s="9"/>
      <c r="AA86" s="9"/>
      <c r="AB86" s="9"/>
      <c r="AC86" s="10" t="str">
        <f aca="false">IF(Z86="","",IF(Z86=0,"Unassigned",IF(Z86=1,"Single point",IF(AB86="Yes","Staffed and credentialed","Staffed, credential gap"))))</f>
        <v/>
      </c>
      <c r="AD86" s="10" t="str">
        <f aca="false">IFERROR(INDEX(Lists!$H$3:$H$6,MATCH(AC86,Lists!$G$3:$G$6,0)),"")</f>
        <v/>
      </c>
      <c r="AE86" s="8"/>
      <c r="AF86" s="10" t="str">
        <f aca="false">IFERROR(INDEX(Lists!$B$3:$B$7,MATCH(AE86,Lists!$A$3:$A$7,0)),"")</f>
        <v/>
      </c>
      <c r="AG86" s="8"/>
      <c r="AH86" s="8"/>
      <c r="AI86" s="8"/>
      <c r="AJ86" s="8"/>
      <c r="AK86" s="8"/>
      <c r="AL86" s="8"/>
      <c r="AM86" s="11" t="str">
        <f aca="false">IF(OR(AJ86="",AJ86=0),"",AL86/AJ86)</f>
        <v/>
      </c>
      <c r="AN86" s="8"/>
      <c r="AO86" s="8"/>
      <c r="AP86" s="10" t="str">
        <f aca="false">IF(AN86="","Not assessed",IF(AND(R86="No",AN86="Gap - recommend tailoring"),"INVALID: HSSB is not tailorable",IF(OR(Z86="",Z86=0),"NO NAMED EXECUTOR",IF(AND(N(AF86)&gt;=3,AJ86=""),"Operating claimed with no sample",IF(AND(N(AF86)&gt;=3,Z86=1),"Operating rests on one individual",IF(AND(N(AF86)&gt;=3,AB86&lt;&gt;"Yes"),"Operating claimed below designed credential",IF(AND(R86="No",N(AF86)&lt;3),"HSSB GATE: below Operating",IF(AND(N(AF86)&gt;=3,AJ86&lt;&gt;"",AL86=""),"Sample size with no conforming count","OK"))))))))</f>
        <v>Not assessed</v>
      </c>
      <c r="AQ86" s="8"/>
      <c r="AR86" s="8"/>
      <c r="AS86" s="8"/>
    </row>
    <row r="87" customFormat="false" ht="22.35" hidden="false" customHeight="false" outlineLevel="0" collapsed="false">
      <c r="A87" s="6" t="s">
        <v>265</v>
      </c>
      <c r="B87" s="6" t="s">
        <v>150</v>
      </c>
      <c r="C87" s="6" t="s">
        <v>260</v>
      </c>
      <c r="D87" s="6" t="s">
        <v>261</v>
      </c>
      <c r="E87" s="6" t="s">
        <v>121</v>
      </c>
      <c r="F87" s="7"/>
      <c r="G87" s="6" t="s">
        <v>82</v>
      </c>
      <c r="H87" s="6"/>
      <c r="I87" s="6"/>
      <c r="J87" s="6"/>
      <c r="K87" s="6"/>
      <c r="L87" s="6" t="s">
        <v>83</v>
      </c>
      <c r="M87" s="6" t="s">
        <v>84</v>
      </c>
      <c r="N87" s="6"/>
      <c r="O87" s="6"/>
      <c r="P87" s="6"/>
      <c r="Q87" s="6"/>
      <c r="R87" s="6" t="s">
        <v>85</v>
      </c>
      <c r="S87" s="6"/>
      <c r="T87" s="6" t="s">
        <v>154</v>
      </c>
      <c r="U87" s="8"/>
      <c r="V87" s="8"/>
      <c r="W87" s="8"/>
      <c r="X87" s="8"/>
      <c r="Y87" s="9"/>
      <c r="Z87" s="9"/>
      <c r="AA87" s="9"/>
      <c r="AB87" s="9"/>
      <c r="AC87" s="10" t="str">
        <f aca="false">IF(Z87="","",IF(Z87=0,"Unassigned",IF(Z87=1,"Single point",IF(AB87="Yes","Staffed and credentialed","Staffed, credential gap"))))</f>
        <v/>
      </c>
      <c r="AD87" s="10" t="str">
        <f aca="false">IFERROR(INDEX(Lists!$H$3:$H$6,MATCH(AC87,Lists!$G$3:$G$6,0)),"")</f>
        <v/>
      </c>
      <c r="AE87" s="8"/>
      <c r="AF87" s="10" t="str">
        <f aca="false">IFERROR(INDEX(Lists!$B$3:$B$7,MATCH(AE87,Lists!$A$3:$A$7,0)),"")</f>
        <v/>
      </c>
      <c r="AG87" s="8"/>
      <c r="AH87" s="8"/>
      <c r="AI87" s="8"/>
      <c r="AJ87" s="8"/>
      <c r="AK87" s="8"/>
      <c r="AL87" s="8"/>
      <c r="AM87" s="11" t="str">
        <f aca="false">IF(OR(AJ87="",AJ87=0),"",AL87/AJ87)</f>
        <v/>
      </c>
      <c r="AN87" s="8"/>
      <c r="AO87" s="8"/>
      <c r="AP87" s="10" t="str">
        <f aca="false">IF(AN87="","Not assessed",IF(AND(R87="No",AN87="Gap - recommend tailoring"),"INVALID: HSSB is not tailorable",IF(OR(Z87="",Z87=0),"NO NAMED EXECUTOR",IF(AND(N(AF87)&gt;=3,AJ87=""),"Operating claimed with no sample",IF(AND(N(AF87)&gt;=3,Z87=1),"Operating rests on one individual",IF(AND(N(AF87)&gt;=3,AB87&lt;&gt;"Yes"),"Operating claimed below designed credential",IF(AND(R87="No",N(AF87)&lt;3),"HSSB GATE: below Operating",IF(AND(N(AF87)&gt;=3,AJ87&lt;&gt;"",AL87=""),"Sample size with no conforming count","OK"))))))))</f>
        <v>Not assessed</v>
      </c>
      <c r="AQ87" s="8"/>
      <c r="AR87" s="8"/>
      <c r="AS87" s="8"/>
    </row>
    <row r="88" customFormat="false" ht="22.35" hidden="false" customHeight="false" outlineLevel="0" collapsed="false">
      <c r="A88" s="12" t="s">
        <v>266</v>
      </c>
      <c r="B88" s="12" t="s">
        <v>150</v>
      </c>
      <c r="C88" s="12" t="s">
        <v>267</v>
      </c>
      <c r="D88" s="12" t="s">
        <v>268</v>
      </c>
      <c r="E88" s="12" t="s">
        <v>81</v>
      </c>
      <c r="F88" s="12"/>
      <c r="G88" s="13" t="s">
        <v>85</v>
      </c>
      <c r="H88" s="13" t="s">
        <v>269</v>
      </c>
      <c r="I88" s="12" t="s">
        <v>90</v>
      </c>
      <c r="J88" s="12" t="s">
        <v>270</v>
      </c>
      <c r="K88" s="12" t="s">
        <v>271</v>
      </c>
      <c r="L88" s="12" t="s">
        <v>93</v>
      </c>
      <c r="M88" s="12" t="s">
        <v>94</v>
      </c>
      <c r="N88" s="12" t="s">
        <v>95</v>
      </c>
      <c r="O88" s="12" t="s">
        <v>96</v>
      </c>
      <c r="P88" s="12" t="s">
        <v>97</v>
      </c>
      <c r="Q88" s="12" t="s">
        <v>195</v>
      </c>
      <c r="R88" s="12" t="s">
        <v>82</v>
      </c>
      <c r="S88" s="12" t="s">
        <v>272</v>
      </c>
      <c r="T88" s="12" t="s">
        <v>154</v>
      </c>
      <c r="U88" s="8"/>
      <c r="V88" s="8"/>
      <c r="W88" s="8"/>
      <c r="X88" s="8"/>
      <c r="Y88" s="9"/>
      <c r="Z88" s="9"/>
      <c r="AA88" s="9"/>
      <c r="AB88" s="9"/>
      <c r="AC88" s="10" t="str">
        <f aca="false">IF(Z88="","",IF(Z88=0,"Unassigned",IF(Z88=1,"Single point",IF(AB88="Yes","Staffed and credentialed","Staffed, credential gap"))))</f>
        <v/>
      </c>
      <c r="AD88" s="10" t="str">
        <f aca="false">IFERROR(INDEX(Lists!$H$3:$H$6,MATCH(AC88,Lists!$G$3:$G$6,0)),"")</f>
        <v/>
      </c>
      <c r="AE88" s="8"/>
      <c r="AF88" s="10" t="str">
        <f aca="false">IFERROR(INDEX(Lists!$B$3:$B$7,MATCH(AE88,Lists!$A$3:$A$7,0)),"")</f>
        <v/>
      </c>
      <c r="AG88" s="8"/>
      <c r="AH88" s="8"/>
      <c r="AI88" s="8"/>
      <c r="AJ88" s="8"/>
      <c r="AK88" s="8"/>
      <c r="AL88" s="8"/>
      <c r="AM88" s="11" t="str">
        <f aca="false">IF(OR(AJ88="",AJ88=0),"",AL88/AJ88)</f>
        <v/>
      </c>
      <c r="AN88" s="8"/>
      <c r="AO88" s="8"/>
      <c r="AP88" s="10" t="str">
        <f aca="false">IF(AN88="","Not assessed",IF(AND(R88="No",AN88="Gap - recommend tailoring"),"INVALID: HSSB is not tailorable",IF(OR(Z88="",Z88=0),"NO NAMED EXECUTOR",IF(AND(N(AF88)&gt;=3,AJ88=""),"Operating claimed with no sample",IF(AND(N(AF88)&gt;=3,Z88=1),"Operating rests on one individual",IF(AND(N(AF88)&gt;=3,AB88&lt;&gt;"Yes"),"Operating claimed below designed credential",IF(AND(R88="No",N(AF88)&lt;3),"HSSB GATE: below Operating",IF(AND(N(AF88)&gt;=3,AJ88&lt;&gt;"",AL88=""),"Sample size with no conforming count","OK"))))))))</f>
        <v>Not assessed</v>
      </c>
      <c r="AQ88" s="8"/>
      <c r="AR88" s="8"/>
      <c r="AS88" s="8"/>
    </row>
    <row r="89" customFormat="false" ht="22.35" hidden="false" customHeight="false" outlineLevel="0" collapsed="false">
      <c r="A89" s="12" t="s">
        <v>273</v>
      </c>
      <c r="B89" s="12" t="s">
        <v>150</v>
      </c>
      <c r="C89" s="12" t="s">
        <v>267</v>
      </c>
      <c r="D89" s="12" t="s">
        <v>268</v>
      </c>
      <c r="E89" s="12" t="s">
        <v>88</v>
      </c>
      <c r="F89" s="12"/>
      <c r="G89" s="13" t="s">
        <v>85</v>
      </c>
      <c r="H89" s="13" t="s">
        <v>274</v>
      </c>
      <c r="I89" s="12" t="s">
        <v>90</v>
      </c>
      <c r="J89" s="12" t="s">
        <v>270</v>
      </c>
      <c r="K89" s="12" t="s">
        <v>271</v>
      </c>
      <c r="L89" s="12" t="s">
        <v>93</v>
      </c>
      <c r="M89" s="12" t="s">
        <v>94</v>
      </c>
      <c r="N89" s="12" t="s">
        <v>244</v>
      </c>
      <c r="O89" s="12" t="s">
        <v>195</v>
      </c>
      <c r="P89" s="12" t="s">
        <v>245</v>
      </c>
      <c r="Q89" s="12" t="s">
        <v>96</v>
      </c>
      <c r="R89" s="12" t="s">
        <v>82</v>
      </c>
      <c r="S89" s="12" t="s">
        <v>272</v>
      </c>
      <c r="T89" s="12" t="s">
        <v>154</v>
      </c>
      <c r="U89" s="8"/>
      <c r="V89" s="8"/>
      <c r="W89" s="8"/>
      <c r="X89" s="8"/>
      <c r="Y89" s="9"/>
      <c r="Z89" s="9"/>
      <c r="AA89" s="9"/>
      <c r="AB89" s="9"/>
      <c r="AC89" s="10" t="str">
        <f aca="false">IF(Z89="","",IF(Z89=0,"Unassigned",IF(Z89=1,"Single point",IF(AB89="Yes","Staffed and credentialed","Staffed, credential gap"))))</f>
        <v/>
      </c>
      <c r="AD89" s="10" t="str">
        <f aca="false">IFERROR(INDEX(Lists!$H$3:$H$6,MATCH(AC89,Lists!$G$3:$G$6,0)),"")</f>
        <v/>
      </c>
      <c r="AE89" s="8"/>
      <c r="AF89" s="10" t="str">
        <f aca="false">IFERROR(INDEX(Lists!$B$3:$B$7,MATCH(AE89,Lists!$A$3:$A$7,0)),"")</f>
        <v/>
      </c>
      <c r="AG89" s="8"/>
      <c r="AH89" s="8"/>
      <c r="AI89" s="8"/>
      <c r="AJ89" s="8"/>
      <c r="AK89" s="8"/>
      <c r="AL89" s="8"/>
      <c r="AM89" s="11" t="str">
        <f aca="false">IF(OR(AJ89="",AJ89=0),"",AL89/AJ89)</f>
        <v/>
      </c>
      <c r="AN89" s="8"/>
      <c r="AO89" s="8"/>
      <c r="AP89" s="10" t="str">
        <f aca="false">IF(AN89="","Not assessed",IF(AND(R89="No",AN89="Gap - recommend tailoring"),"INVALID: HSSB is not tailorable",IF(OR(Z89="",Z89=0),"NO NAMED EXECUTOR",IF(AND(N(AF89)&gt;=3,AJ89=""),"Operating claimed with no sample",IF(AND(N(AF89)&gt;=3,Z89=1),"Operating rests on one individual",IF(AND(N(AF89)&gt;=3,AB89&lt;&gt;"Yes"),"Operating claimed below designed credential",IF(AND(R89="No",N(AF89)&lt;3),"HSSB GATE: below Operating",IF(AND(N(AF89)&gt;=3,AJ89&lt;&gt;"",AL89=""),"Sample size with no conforming count","OK"))))))))</f>
        <v>Not assessed</v>
      </c>
      <c r="AQ89" s="8"/>
      <c r="AR89" s="8"/>
      <c r="AS89" s="8"/>
    </row>
    <row r="90" customFormat="false" ht="22.35" hidden="false" customHeight="false" outlineLevel="0" collapsed="false">
      <c r="A90" s="12" t="s">
        <v>275</v>
      </c>
      <c r="B90" s="12" t="s">
        <v>150</v>
      </c>
      <c r="C90" s="12" t="s">
        <v>267</v>
      </c>
      <c r="D90" s="12" t="s">
        <v>268</v>
      </c>
      <c r="E90" s="12" t="s">
        <v>100</v>
      </c>
      <c r="F90" s="12"/>
      <c r="G90" s="13" t="s">
        <v>85</v>
      </c>
      <c r="H90" s="13" t="s">
        <v>276</v>
      </c>
      <c r="I90" s="12" t="s">
        <v>90</v>
      </c>
      <c r="J90" s="12" t="s">
        <v>270</v>
      </c>
      <c r="K90" s="12" t="s">
        <v>271</v>
      </c>
      <c r="L90" s="12" t="s">
        <v>93</v>
      </c>
      <c r="M90" s="12" t="s">
        <v>94</v>
      </c>
      <c r="N90" s="12" t="s">
        <v>95</v>
      </c>
      <c r="O90" s="12" t="s">
        <v>96</v>
      </c>
      <c r="P90" s="12" t="s">
        <v>97</v>
      </c>
      <c r="Q90" s="12" t="s">
        <v>195</v>
      </c>
      <c r="R90" s="12" t="s">
        <v>82</v>
      </c>
      <c r="S90" s="12" t="s">
        <v>272</v>
      </c>
      <c r="T90" s="12" t="s">
        <v>154</v>
      </c>
      <c r="U90" s="8"/>
      <c r="V90" s="8"/>
      <c r="W90" s="8"/>
      <c r="X90" s="8"/>
      <c r="Y90" s="9"/>
      <c r="Z90" s="9"/>
      <c r="AA90" s="9"/>
      <c r="AB90" s="9"/>
      <c r="AC90" s="10" t="str">
        <f aca="false">IF(Z90="","",IF(Z90=0,"Unassigned",IF(Z90=1,"Single point",IF(AB90="Yes","Staffed and credentialed","Staffed, credential gap"))))</f>
        <v/>
      </c>
      <c r="AD90" s="10" t="str">
        <f aca="false">IFERROR(INDEX(Lists!$H$3:$H$6,MATCH(AC90,Lists!$G$3:$G$6,0)),"")</f>
        <v/>
      </c>
      <c r="AE90" s="8"/>
      <c r="AF90" s="10" t="str">
        <f aca="false">IFERROR(INDEX(Lists!$B$3:$B$7,MATCH(AE90,Lists!$A$3:$A$7,0)),"")</f>
        <v/>
      </c>
      <c r="AG90" s="8"/>
      <c r="AH90" s="8"/>
      <c r="AI90" s="8"/>
      <c r="AJ90" s="8"/>
      <c r="AK90" s="8"/>
      <c r="AL90" s="8"/>
      <c r="AM90" s="11" t="str">
        <f aca="false">IF(OR(AJ90="",AJ90=0),"",AL90/AJ90)</f>
        <v/>
      </c>
      <c r="AN90" s="8"/>
      <c r="AO90" s="8"/>
      <c r="AP90" s="10" t="str">
        <f aca="false">IF(AN90="","Not assessed",IF(AND(R90="No",AN90="Gap - recommend tailoring"),"INVALID: HSSB is not tailorable",IF(OR(Z90="",Z90=0),"NO NAMED EXECUTOR",IF(AND(N(AF90)&gt;=3,AJ90=""),"Operating claimed with no sample",IF(AND(N(AF90)&gt;=3,Z90=1),"Operating rests on one individual",IF(AND(N(AF90)&gt;=3,AB90&lt;&gt;"Yes"),"Operating claimed below designed credential",IF(AND(R90="No",N(AF90)&lt;3),"HSSB GATE: below Operating",IF(AND(N(AF90)&gt;=3,AJ90&lt;&gt;"",AL90=""),"Sample size with no conforming count","OK"))))))))</f>
        <v>Not assessed</v>
      </c>
      <c r="AQ90" s="8"/>
      <c r="AR90" s="8"/>
      <c r="AS90" s="8"/>
    </row>
    <row r="91" customFormat="false" ht="22.35" hidden="false" customHeight="false" outlineLevel="0" collapsed="false">
      <c r="A91" s="6" t="s">
        <v>277</v>
      </c>
      <c r="B91" s="6" t="s">
        <v>150</v>
      </c>
      <c r="C91" s="6" t="s">
        <v>267</v>
      </c>
      <c r="D91" s="6" t="s">
        <v>268</v>
      </c>
      <c r="E91" s="6" t="s">
        <v>102</v>
      </c>
      <c r="F91" s="7"/>
      <c r="G91" s="6" t="s">
        <v>82</v>
      </c>
      <c r="H91" s="6"/>
      <c r="I91" s="6"/>
      <c r="J91" s="6"/>
      <c r="K91" s="6"/>
      <c r="L91" s="6" t="s">
        <v>83</v>
      </c>
      <c r="M91" s="6" t="s">
        <v>84</v>
      </c>
      <c r="N91" s="6"/>
      <c r="O91" s="6"/>
      <c r="P91" s="6"/>
      <c r="Q91" s="6"/>
      <c r="R91" s="6" t="s">
        <v>85</v>
      </c>
      <c r="S91" s="6" t="s">
        <v>272</v>
      </c>
      <c r="T91" s="6" t="s">
        <v>154</v>
      </c>
      <c r="U91" s="8"/>
      <c r="V91" s="8"/>
      <c r="W91" s="8"/>
      <c r="X91" s="8"/>
      <c r="Y91" s="9"/>
      <c r="Z91" s="9"/>
      <c r="AA91" s="9"/>
      <c r="AB91" s="9"/>
      <c r="AC91" s="10" t="str">
        <f aca="false">IF(Z91="","",IF(Z91=0,"Unassigned",IF(Z91=1,"Single point",IF(AB91="Yes","Staffed and credentialed","Staffed, credential gap"))))</f>
        <v/>
      </c>
      <c r="AD91" s="10" t="str">
        <f aca="false">IFERROR(INDEX(Lists!$H$3:$H$6,MATCH(AC91,Lists!$G$3:$G$6,0)),"")</f>
        <v/>
      </c>
      <c r="AE91" s="8"/>
      <c r="AF91" s="10" t="str">
        <f aca="false">IFERROR(INDEX(Lists!$B$3:$B$7,MATCH(AE91,Lists!$A$3:$A$7,0)),"")</f>
        <v/>
      </c>
      <c r="AG91" s="8"/>
      <c r="AH91" s="8"/>
      <c r="AI91" s="8"/>
      <c r="AJ91" s="8"/>
      <c r="AK91" s="8"/>
      <c r="AL91" s="8"/>
      <c r="AM91" s="11" t="str">
        <f aca="false">IF(OR(AJ91="",AJ91=0),"",AL91/AJ91)</f>
        <v/>
      </c>
      <c r="AN91" s="8"/>
      <c r="AO91" s="8"/>
      <c r="AP91" s="10" t="str">
        <f aca="false">IF(AN91="","Not assessed",IF(AND(R91="No",AN91="Gap - recommend tailoring"),"INVALID: HSSB is not tailorable",IF(OR(Z91="",Z91=0),"NO NAMED EXECUTOR",IF(AND(N(AF91)&gt;=3,AJ91=""),"Operating claimed with no sample",IF(AND(N(AF91)&gt;=3,Z91=1),"Operating rests on one individual",IF(AND(N(AF91)&gt;=3,AB91&lt;&gt;"Yes"),"Operating claimed below designed credential",IF(AND(R91="No",N(AF91)&lt;3),"HSSB GATE: below Operating",IF(AND(N(AF91)&gt;=3,AJ91&lt;&gt;"",AL91=""),"Sample size with no conforming count","OK"))))))))</f>
        <v>Not assessed</v>
      </c>
      <c r="AQ91" s="8"/>
      <c r="AR91" s="8"/>
      <c r="AS91" s="8"/>
    </row>
    <row r="92" customFormat="false" ht="22.35" hidden="false" customHeight="false" outlineLevel="0" collapsed="false">
      <c r="A92" s="12" t="s">
        <v>278</v>
      </c>
      <c r="B92" s="12" t="s">
        <v>150</v>
      </c>
      <c r="C92" s="12" t="s">
        <v>279</v>
      </c>
      <c r="D92" s="12" t="s">
        <v>280</v>
      </c>
      <c r="E92" s="12" t="s">
        <v>81</v>
      </c>
      <c r="F92" s="12"/>
      <c r="G92" s="13" t="s">
        <v>85</v>
      </c>
      <c r="H92" s="13" t="s">
        <v>281</v>
      </c>
      <c r="I92" s="12" t="s">
        <v>90</v>
      </c>
      <c r="J92" s="12" t="s">
        <v>270</v>
      </c>
      <c r="K92" s="12" t="s">
        <v>271</v>
      </c>
      <c r="L92" s="12" t="s">
        <v>93</v>
      </c>
      <c r="M92" s="12" t="s">
        <v>282</v>
      </c>
      <c r="N92" s="12" t="s">
        <v>95</v>
      </c>
      <c r="O92" s="12" t="s">
        <v>96</v>
      </c>
      <c r="P92" s="12" t="s">
        <v>97</v>
      </c>
      <c r="Q92" s="12" t="s">
        <v>98</v>
      </c>
      <c r="R92" s="12" t="s">
        <v>82</v>
      </c>
      <c r="S92" s="12"/>
      <c r="T92" s="12" t="s">
        <v>154</v>
      </c>
      <c r="U92" s="8"/>
      <c r="V92" s="8"/>
      <c r="W92" s="8"/>
      <c r="X92" s="8"/>
      <c r="Y92" s="9"/>
      <c r="Z92" s="9"/>
      <c r="AA92" s="9"/>
      <c r="AB92" s="9"/>
      <c r="AC92" s="10" t="str">
        <f aca="false">IF(Z92="","",IF(Z92=0,"Unassigned",IF(Z92=1,"Single point",IF(AB92="Yes","Staffed and credentialed","Staffed, credential gap"))))</f>
        <v/>
      </c>
      <c r="AD92" s="10" t="str">
        <f aca="false">IFERROR(INDEX(Lists!$H$3:$H$6,MATCH(AC92,Lists!$G$3:$G$6,0)),"")</f>
        <v/>
      </c>
      <c r="AE92" s="8"/>
      <c r="AF92" s="10" t="str">
        <f aca="false">IFERROR(INDEX(Lists!$B$3:$B$7,MATCH(AE92,Lists!$A$3:$A$7,0)),"")</f>
        <v/>
      </c>
      <c r="AG92" s="8"/>
      <c r="AH92" s="8"/>
      <c r="AI92" s="8"/>
      <c r="AJ92" s="8"/>
      <c r="AK92" s="8"/>
      <c r="AL92" s="8"/>
      <c r="AM92" s="11" t="str">
        <f aca="false">IF(OR(AJ92="",AJ92=0),"",AL92/AJ92)</f>
        <v/>
      </c>
      <c r="AN92" s="8"/>
      <c r="AO92" s="8"/>
      <c r="AP92" s="10" t="str">
        <f aca="false">IF(AN92="","Not assessed",IF(AND(R92="No",AN92="Gap - recommend tailoring"),"INVALID: HSSB is not tailorable",IF(OR(Z92="",Z92=0),"NO NAMED EXECUTOR",IF(AND(N(AF92)&gt;=3,AJ92=""),"Operating claimed with no sample",IF(AND(N(AF92)&gt;=3,Z92=1),"Operating rests on one individual",IF(AND(N(AF92)&gt;=3,AB92&lt;&gt;"Yes"),"Operating claimed below designed credential",IF(AND(R92="No",N(AF92)&lt;3),"HSSB GATE: below Operating",IF(AND(N(AF92)&gt;=3,AJ92&lt;&gt;"",AL92=""),"Sample size with no conforming count","OK"))))))))</f>
        <v>Not assessed</v>
      </c>
      <c r="AQ92" s="8"/>
      <c r="AR92" s="8"/>
      <c r="AS92" s="8"/>
    </row>
    <row r="93" customFormat="false" ht="22.35" hidden="false" customHeight="false" outlineLevel="0" collapsed="false">
      <c r="A93" s="6" t="s">
        <v>283</v>
      </c>
      <c r="B93" s="6" t="s">
        <v>150</v>
      </c>
      <c r="C93" s="6" t="s">
        <v>279</v>
      </c>
      <c r="D93" s="6" t="s">
        <v>280</v>
      </c>
      <c r="E93" s="6" t="s">
        <v>156</v>
      </c>
      <c r="F93" s="7"/>
      <c r="G93" s="6" t="s">
        <v>82</v>
      </c>
      <c r="H93" s="6"/>
      <c r="I93" s="6"/>
      <c r="J93" s="6"/>
      <c r="K93" s="6"/>
      <c r="L93" s="6" t="s">
        <v>83</v>
      </c>
      <c r="M93" s="6" t="s">
        <v>84</v>
      </c>
      <c r="N93" s="6"/>
      <c r="O93" s="6"/>
      <c r="P93" s="6"/>
      <c r="Q93" s="6"/>
      <c r="R93" s="6" t="s">
        <v>85</v>
      </c>
      <c r="S93" s="6"/>
      <c r="T93" s="6" t="s">
        <v>154</v>
      </c>
      <c r="U93" s="8"/>
      <c r="V93" s="8"/>
      <c r="W93" s="8"/>
      <c r="X93" s="8"/>
      <c r="Y93" s="9"/>
      <c r="Z93" s="9"/>
      <c r="AA93" s="9"/>
      <c r="AB93" s="9"/>
      <c r="AC93" s="10" t="str">
        <f aca="false">IF(Z93="","",IF(Z93=0,"Unassigned",IF(Z93=1,"Single point",IF(AB93="Yes","Staffed and credentialed","Staffed, credential gap"))))</f>
        <v/>
      </c>
      <c r="AD93" s="10" t="str">
        <f aca="false">IFERROR(INDEX(Lists!$H$3:$H$6,MATCH(AC93,Lists!$G$3:$G$6,0)),"")</f>
        <v/>
      </c>
      <c r="AE93" s="8"/>
      <c r="AF93" s="10" t="str">
        <f aca="false">IFERROR(INDEX(Lists!$B$3:$B$7,MATCH(AE93,Lists!$A$3:$A$7,0)),"")</f>
        <v/>
      </c>
      <c r="AG93" s="8"/>
      <c r="AH93" s="8"/>
      <c r="AI93" s="8"/>
      <c r="AJ93" s="8"/>
      <c r="AK93" s="8"/>
      <c r="AL93" s="8"/>
      <c r="AM93" s="11" t="str">
        <f aca="false">IF(OR(AJ93="",AJ93=0),"",AL93/AJ93)</f>
        <v/>
      </c>
      <c r="AN93" s="8"/>
      <c r="AO93" s="8"/>
      <c r="AP93" s="10" t="str">
        <f aca="false">IF(AN93="","Not assessed",IF(AND(R93="No",AN93="Gap - recommend tailoring"),"INVALID: HSSB is not tailorable",IF(OR(Z93="",Z93=0),"NO NAMED EXECUTOR",IF(AND(N(AF93)&gt;=3,AJ93=""),"Operating claimed with no sample",IF(AND(N(AF93)&gt;=3,Z93=1),"Operating rests on one individual",IF(AND(N(AF93)&gt;=3,AB93&lt;&gt;"Yes"),"Operating claimed below designed credential",IF(AND(R93="No",N(AF93)&lt;3),"HSSB GATE: below Operating",IF(AND(N(AF93)&gt;=3,AJ93&lt;&gt;"",AL93=""),"Sample size with no conforming count","OK"))))))))</f>
        <v>Not assessed</v>
      </c>
      <c r="AQ93" s="8"/>
      <c r="AR93" s="8"/>
      <c r="AS93" s="8"/>
    </row>
    <row r="94" customFormat="false" ht="22.35" hidden="false" customHeight="false" outlineLevel="0" collapsed="false">
      <c r="A94" s="6" t="s">
        <v>284</v>
      </c>
      <c r="B94" s="6" t="s">
        <v>150</v>
      </c>
      <c r="C94" s="6" t="s">
        <v>279</v>
      </c>
      <c r="D94" s="6" t="s">
        <v>280</v>
      </c>
      <c r="E94" s="6" t="s">
        <v>158</v>
      </c>
      <c r="F94" s="7"/>
      <c r="G94" s="6" t="s">
        <v>82</v>
      </c>
      <c r="H94" s="6"/>
      <c r="I94" s="6"/>
      <c r="J94" s="6"/>
      <c r="K94" s="6"/>
      <c r="L94" s="6" t="s">
        <v>83</v>
      </c>
      <c r="M94" s="6" t="s">
        <v>84</v>
      </c>
      <c r="N94" s="6"/>
      <c r="O94" s="6"/>
      <c r="P94" s="6"/>
      <c r="Q94" s="6"/>
      <c r="R94" s="6" t="s">
        <v>85</v>
      </c>
      <c r="S94" s="6"/>
      <c r="T94" s="6" t="s">
        <v>154</v>
      </c>
      <c r="U94" s="8"/>
      <c r="V94" s="8"/>
      <c r="W94" s="8"/>
      <c r="X94" s="8"/>
      <c r="Y94" s="9"/>
      <c r="Z94" s="9"/>
      <c r="AA94" s="9"/>
      <c r="AB94" s="9"/>
      <c r="AC94" s="10" t="str">
        <f aca="false">IF(Z94="","",IF(Z94=0,"Unassigned",IF(Z94=1,"Single point",IF(AB94="Yes","Staffed and credentialed","Staffed, credential gap"))))</f>
        <v/>
      </c>
      <c r="AD94" s="10" t="str">
        <f aca="false">IFERROR(INDEX(Lists!$H$3:$H$6,MATCH(AC94,Lists!$G$3:$G$6,0)),"")</f>
        <v/>
      </c>
      <c r="AE94" s="8"/>
      <c r="AF94" s="10" t="str">
        <f aca="false">IFERROR(INDEX(Lists!$B$3:$B$7,MATCH(AE94,Lists!$A$3:$A$7,0)),"")</f>
        <v/>
      </c>
      <c r="AG94" s="8"/>
      <c r="AH94" s="8"/>
      <c r="AI94" s="8"/>
      <c r="AJ94" s="8"/>
      <c r="AK94" s="8"/>
      <c r="AL94" s="8"/>
      <c r="AM94" s="11" t="str">
        <f aca="false">IF(OR(AJ94="",AJ94=0),"",AL94/AJ94)</f>
        <v/>
      </c>
      <c r="AN94" s="8"/>
      <c r="AO94" s="8"/>
      <c r="AP94" s="10" t="str">
        <f aca="false">IF(AN94="","Not assessed",IF(AND(R94="No",AN94="Gap - recommend tailoring"),"INVALID: HSSB is not tailorable",IF(OR(Z94="",Z94=0),"NO NAMED EXECUTOR",IF(AND(N(AF94)&gt;=3,AJ94=""),"Operating claimed with no sample",IF(AND(N(AF94)&gt;=3,Z94=1),"Operating rests on one individual",IF(AND(N(AF94)&gt;=3,AB94&lt;&gt;"Yes"),"Operating claimed below designed credential",IF(AND(R94="No",N(AF94)&lt;3),"HSSB GATE: below Operating",IF(AND(N(AF94)&gt;=3,AJ94&lt;&gt;"",AL94=""),"Sample size with no conforming count","OK"))))))))</f>
        <v>Not assessed</v>
      </c>
      <c r="AQ94" s="8"/>
      <c r="AR94" s="8"/>
      <c r="AS94" s="8"/>
    </row>
    <row r="95" customFormat="false" ht="22.35" hidden="false" customHeight="false" outlineLevel="0" collapsed="false">
      <c r="A95" s="6" t="s">
        <v>285</v>
      </c>
      <c r="B95" s="6" t="s">
        <v>150</v>
      </c>
      <c r="C95" s="6" t="s">
        <v>279</v>
      </c>
      <c r="D95" s="6" t="s">
        <v>280</v>
      </c>
      <c r="E95" s="6" t="s">
        <v>160</v>
      </c>
      <c r="F95" s="7"/>
      <c r="G95" s="6" t="s">
        <v>82</v>
      </c>
      <c r="H95" s="6"/>
      <c r="I95" s="6"/>
      <c r="J95" s="6"/>
      <c r="K95" s="6"/>
      <c r="L95" s="6" t="s">
        <v>83</v>
      </c>
      <c r="M95" s="6" t="s">
        <v>84</v>
      </c>
      <c r="N95" s="6"/>
      <c r="O95" s="6"/>
      <c r="P95" s="6"/>
      <c r="Q95" s="6"/>
      <c r="R95" s="6" t="s">
        <v>85</v>
      </c>
      <c r="S95" s="6"/>
      <c r="T95" s="6" t="s">
        <v>154</v>
      </c>
      <c r="U95" s="8"/>
      <c r="V95" s="8"/>
      <c r="W95" s="8"/>
      <c r="X95" s="8"/>
      <c r="Y95" s="9"/>
      <c r="Z95" s="9"/>
      <c r="AA95" s="9"/>
      <c r="AB95" s="9"/>
      <c r="AC95" s="10" t="str">
        <f aca="false">IF(Z95="","",IF(Z95=0,"Unassigned",IF(Z95=1,"Single point",IF(AB95="Yes","Staffed and credentialed","Staffed, credential gap"))))</f>
        <v/>
      </c>
      <c r="AD95" s="10" t="str">
        <f aca="false">IFERROR(INDEX(Lists!$H$3:$H$6,MATCH(AC95,Lists!$G$3:$G$6,0)),"")</f>
        <v/>
      </c>
      <c r="AE95" s="8"/>
      <c r="AF95" s="10" t="str">
        <f aca="false">IFERROR(INDEX(Lists!$B$3:$B$7,MATCH(AE95,Lists!$A$3:$A$7,0)),"")</f>
        <v/>
      </c>
      <c r="AG95" s="8"/>
      <c r="AH95" s="8"/>
      <c r="AI95" s="8"/>
      <c r="AJ95" s="8"/>
      <c r="AK95" s="8"/>
      <c r="AL95" s="8"/>
      <c r="AM95" s="11" t="str">
        <f aca="false">IF(OR(AJ95="",AJ95=0),"",AL95/AJ95)</f>
        <v/>
      </c>
      <c r="AN95" s="8"/>
      <c r="AO95" s="8"/>
      <c r="AP95" s="10" t="str">
        <f aca="false">IF(AN95="","Not assessed",IF(AND(R95="No",AN95="Gap - recommend tailoring"),"INVALID: HSSB is not tailorable",IF(OR(Z95="",Z95=0),"NO NAMED EXECUTOR",IF(AND(N(AF95)&gt;=3,AJ95=""),"Operating claimed with no sample",IF(AND(N(AF95)&gt;=3,Z95=1),"Operating rests on one individual",IF(AND(N(AF95)&gt;=3,AB95&lt;&gt;"Yes"),"Operating claimed below designed credential",IF(AND(R95="No",N(AF95)&lt;3),"HSSB GATE: below Operating",IF(AND(N(AF95)&gt;=3,AJ95&lt;&gt;"",AL95=""),"Sample size with no conforming count","OK"))))))))</f>
        <v>Not assessed</v>
      </c>
      <c r="AQ95" s="8"/>
      <c r="AR95" s="8"/>
      <c r="AS95" s="8"/>
    </row>
    <row r="96" customFormat="false" ht="22.35" hidden="false" customHeight="false" outlineLevel="0" collapsed="false">
      <c r="A96" s="6" t="s">
        <v>286</v>
      </c>
      <c r="B96" s="6" t="s">
        <v>150</v>
      </c>
      <c r="C96" s="6" t="s">
        <v>279</v>
      </c>
      <c r="D96" s="6" t="s">
        <v>280</v>
      </c>
      <c r="E96" s="6" t="s">
        <v>162</v>
      </c>
      <c r="F96" s="7"/>
      <c r="G96" s="6" t="s">
        <v>82</v>
      </c>
      <c r="H96" s="6"/>
      <c r="I96" s="6"/>
      <c r="J96" s="6"/>
      <c r="K96" s="6"/>
      <c r="L96" s="6" t="s">
        <v>83</v>
      </c>
      <c r="M96" s="6" t="s">
        <v>84</v>
      </c>
      <c r="N96" s="6"/>
      <c r="O96" s="6"/>
      <c r="P96" s="6"/>
      <c r="Q96" s="6"/>
      <c r="R96" s="6" t="s">
        <v>85</v>
      </c>
      <c r="S96" s="6"/>
      <c r="T96" s="6" t="s">
        <v>154</v>
      </c>
      <c r="U96" s="8"/>
      <c r="V96" s="8"/>
      <c r="W96" s="8"/>
      <c r="X96" s="8"/>
      <c r="Y96" s="9"/>
      <c r="Z96" s="9"/>
      <c r="AA96" s="9"/>
      <c r="AB96" s="9"/>
      <c r="AC96" s="10" t="str">
        <f aca="false">IF(Z96="","",IF(Z96=0,"Unassigned",IF(Z96=1,"Single point",IF(AB96="Yes","Staffed and credentialed","Staffed, credential gap"))))</f>
        <v/>
      </c>
      <c r="AD96" s="10" t="str">
        <f aca="false">IFERROR(INDEX(Lists!$H$3:$H$6,MATCH(AC96,Lists!$G$3:$G$6,0)),"")</f>
        <v/>
      </c>
      <c r="AE96" s="8"/>
      <c r="AF96" s="10" t="str">
        <f aca="false">IFERROR(INDEX(Lists!$B$3:$B$7,MATCH(AE96,Lists!$A$3:$A$7,0)),"")</f>
        <v/>
      </c>
      <c r="AG96" s="8"/>
      <c r="AH96" s="8"/>
      <c r="AI96" s="8"/>
      <c r="AJ96" s="8"/>
      <c r="AK96" s="8"/>
      <c r="AL96" s="8"/>
      <c r="AM96" s="11" t="str">
        <f aca="false">IF(OR(AJ96="",AJ96=0),"",AL96/AJ96)</f>
        <v/>
      </c>
      <c r="AN96" s="8"/>
      <c r="AO96" s="8"/>
      <c r="AP96" s="10" t="str">
        <f aca="false">IF(AN96="","Not assessed",IF(AND(R96="No",AN96="Gap - recommend tailoring"),"INVALID: HSSB is not tailorable",IF(OR(Z96="",Z96=0),"NO NAMED EXECUTOR",IF(AND(N(AF96)&gt;=3,AJ96=""),"Operating claimed with no sample",IF(AND(N(AF96)&gt;=3,Z96=1),"Operating rests on one individual",IF(AND(N(AF96)&gt;=3,AB96&lt;&gt;"Yes"),"Operating claimed below designed credential",IF(AND(R96="No",N(AF96)&lt;3),"HSSB GATE: below Operating",IF(AND(N(AF96)&gt;=3,AJ96&lt;&gt;"",AL96=""),"Sample size with no conforming count","OK"))))))))</f>
        <v>Not assessed</v>
      </c>
      <c r="AQ96" s="8"/>
      <c r="AR96" s="8"/>
      <c r="AS96" s="8"/>
    </row>
    <row r="97" customFormat="false" ht="22.35" hidden="false" customHeight="false" outlineLevel="0" collapsed="false">
      <c r="A97" s="12" t="s">
        <v>287</v>
      </c>
      <c r="B97" s="12" t="s">
        <v>288</v>
      </c>
      <c r="C97" s="12" t="s">
        <v>289</v>
      </c>
      <c r="D97" s="12" t="s">
        <v>290</v>
      </c>
      <c r="E97" s="12" t="s">
        <v>81</v>
      </c>
      <c r="F97" s="12"/>
      <c r="G97" s="13" t="s">
        <v>85</v>
      </c>
      <c r="H97" s="13" t="s">
        <v>291</v>
      </c>
      <c r="I97" s="12" t="s">
        <v>240</v>
      </c>
      <c r="J97" s="12" t="s">
        <v>292</v>
      </c>
      <c r="K97" s="12" t="s">
        <v>293</v>
      </c>
      <c r="L97" s="12" t="s">
        <v>93</v>
      </c>
      <c r="M97" s="12" t="s">
        <v>94</v>
      </c>
      <c r="N97" s="12" t="s">
        <v>95</v>
      </c>
      <c r="O97" s="12" t="s">
        <v>96</v>
      </c>
      <c r="P97" s="12" t="s">
        <v>97</v>
      </c>
      <c r="Q97" s="12" t="s">
        <v>195</v>
      </c>
      <c r="R97" s="12" t="s">
        <v>82</v>
      </c>
      <c r="S97" s="12"/>
      <c r="T97" s="12" t="s">
        <v>294</v>
      </c>
      <c r="U97" s="8"/>
      <c r="V97" s="8"/>
      <c r="W97" s="8"/>
      <c r="X97" s="8"/>
      <c r="Y97" s="9"/>
      <c r="Z97" s="9"/>
      <c r="AA97" s="9"/>
      <c r="AB97" s="9"/>
      <c r="AC97" s="10" t="str">
        <f aca="false">IF(Z97="","",IF(Z97=0,"Unassigned",IF(Z97=1,"Single point",IF(AB97="Yes","Staffed and credentialed","Staffed, credential gap"))))</f>
        <v/>
      </c>
      <c r="AD97" s="10" t="str">
        <f aca="false">IFERROR(INDEX(Lists!$H$3:$H$6,MATCH(AC97,Lists!$G$3:$G$6,0)),"")</f>
        <v/>
      </c>
      <c r="AE97" s="8"/>
      <c r="AF97" s="10" t="str">
        <f aca="false">IFERROR(INDEX(Lists!$B$3:$B$7,MATCH(AE97,Lists!$A$3:$A$7,0)),"")</f>
        <v/>
      </c>
      <c r="AG97" s="8"/>
      <c r="AH97" s="8"/>
      <c r="AI97" s="8"/>
      <c r="AJ97" s="8"/>
      <c r="AK97" s="8"/>
      <c r="AL97" s="8"/>
      <c r="AM97" s="11" t="str">
        <f aca="false">IF(OR(AJ97="",AJ97=0),"",AL97/AJ97)</f>
        <v/>
      </c>
      <c r="AN97" s="8"/>
      <c r="AO97" s="8"/>
      <c r="AP97" s="10" t="str">
        <f aca="false">IF(AN97="","Not assessed",IF(AND(R97="No",AN97="Gap - recommend tailoring"),"INVALID: HSSB is not tailorable",IF(OR(Z97="",Z97=0),"NO NAMED EXECUTOR",IF(AND(N(AF97)&gt;=3,AJ97=""),"Operating claimed with no sample",IF(AND(N(AF97)&gt;=3,Z97=1),"Operating rests on one individual",IF(AND(N(AF97)&gt;=3,AB97&lt;&gt;"Yes"),"Operating claimed below designed credential",IF(AND(R97="No",N(AF97)&lt;3),"HSSB GATE: below Operating",IF(AND(N(AF97)&gt;=3,AJ97&lt;&gt;"",AL97=""),"Sample size with no conforming count","OK"))))))))</f>
        <v>Not assessed</v>
      </c>
      <c r="AQ97" s="8"/>
      <c r="AR97" s="8"/>
      <c r="AS97" s="8"/>
    </row>
    <row r="98" customFormat="false" ht="22.35" hidden="false" customHeight="false" outlineLevel="0" collapsed="false">
      <c r="A98" s="6" t="s">
        <v>295</v>
      </c>
      <c r="B98" s="6" t="s">
        <v>288</v>
      </c>
      <c r="C98" s="6" t="s">
        <v>289</v>
      </c>
      <c r="D98" s="6" t="s">
        <v>290</v>
      </c>
      <c r="E98" s="6" t="s">
        <v>156</v>
      </c>
      <c r="F98" s="7"/>
      <c r="G98" s="6" t="s">
        <v>82</v>
      </c>
      <c r="H98" s="6"/>
      <c r="I98" s="6"/>
      <c r="J98" s="6"/>
      <c r="K98" s="6"/>
      <c r="L98" s="6" t="s">
        <v>83</v>
      </c>
      <c r="M98" s="6" t="s">
        <v>84</v>
      </c>
      <c r="N98" s="6"/>
      <c r="O98" s="6"/>
      <c r="P98" s="6"/>
      <c r="Q98" s="6"/>
      <c r="R98" s="6" t="s">
        <v>85</v>
      </c>
      <c r="S98" s="6"/>
      <c r="T98" s="6" t="s">
        <v>294</v>
      </c>
      <c r="U98" s="8"/>
      <c r="V98" s="8"/>
      <c r="W98" s="8"/>
      <c r="X98" s="8"/>
      <c r="Y98" s="9"/>
      <c r="Z98" s="9"/>
      <c r="AA98" s="9"/>
      <c r="AB98" s="9"/>
      <c r="AC98" s="10" t="str">
        <f aca="false">IF(Z98="","",IF(Z98=0,"Unassigned",IF(Z98=1,"Single point",IF(AB98="Yes","Staffed and credentialed","Staffed, credential gap"))))</f>
        <v/>
      </c>
      <c r="AD98" s="10" t="str">
        <f aca="false">IFERROR(INDEX(Lists!$H$3:$H$6,MATCH(AC98,Lists!$G$3:$G$6,0)),"")</f>
        <v/>
      </c>
      <c r="AE98" s="8"/>
      <c r="AF98" s="10" t="str">
        <f aca="false">IFERROR(INDEX(Lists!$B$3:$B$7,MATCH(AE98,Lists!$A$3:$A$7,0)),"")</f>
        <v/>
      </c>
      <c r="AG98" s="8"/>
      <c r="AH98" s="8"/>
      <c r="AI98" s="8"/>
      <c r="AJ98" s="8"/>
      <c r="AK98" s="8"/>
      <c r="AL98" s="8"/>
      <c r="AM98" s="11" t="str">
        <f aca="false">IF(OR(AJ98="",AJ98=0),"",AL98/AJ98)</f>
        <v/>
      </c>
      <c r="AN98" s="8"/>
      <c r="AO98" s="8"/>
      <c r="AP98" s="10" t="str">
        <f aca="false">IF(AN98="","Not assessed",IF(AND(R98="No",AN98="Gap - recommend tailoring"),"INVALID: HSSB is not tailorable",IF(OR(Z98="",Z98=0),"NO NAMED EXECUTOR",IF(AND(N(AF98)&gt;=3,AJ98=""),"Operating claimed with no sample",IF(AND(N(AF98)&gt;=3,Z98=1),"Operating rests on one individual",IF(AND(N(AF98)&gt;=3,AB98&lt;&gt;"Yes"),"Operating claimed below designed credential",IF(AND(R98="No",N(AF98)&lt;3),"HSSB GATE: below Operating",IF(AND(N(AF98)&gt;=3,AJ98&lt;&gt;"",AL98=""),"Sample size with no conforming count","OK"))))))))</f>
        <v>Not assessed</v>
      </c>
      <c r="AQ98" s="8"/>
      <c r="AR98" s="8"/>
      <c r="AS98" s="8"/>
    </row>
    <row r="99" customFormat="false" ht="22.35" hidden="false" customHeight="false" outlineLevel="0" collapsed="false">
      <c r="A99" s="6" t="s">
        <v>296</v>
      </c>
      <c r="B99" s="6" t="s">
        <v>288</v>
      </c>
      <c r="C99" s="6" t="s">
        <v>289</v>
      </c>
      <c r="D99" s="6" t="s">
        <v>290</v>
      </c>
      <c r="E99" s="6" t="s">
        <v>158</v>
      </c>
      <c r="F99" s="7"/>
      <c r="G99" s="6" t="s">
        <v>82</v>
      </c>
      <c r="H99" s="6"/>
      <c r="I99" s="6"/>
      <c r="J99" s="6"/>
      <c r="K99" s="6"/>
      <c r="L99" s="6" t="s">
        <v>83</v>
      </c>
      <c r="M99" s="6" t="s">
        <v>84</v>
      </c>
      <c r="N99" s="6"/>
      <c r="O99" s="6"/>
      <c r="P99" s="6"/>
      <c r="Q99" s="6"/>
      <c r="R99" s="6" t="s">
        <v>85</v>
      </c>
      <c r="S99" s="6"/>
      <c r="T99" s="6" t="s">
        <v>294</v>
      </c>
      <c r="U99" s="8"/>
      <c r="V99" s="8"/>
      <c r="W99" s="8"/>
      <c r="X99" s="8"/>
      <c r="Y99" s="9"/>
      <c r="Z99" s="9"/>
      <c r="AA99" s="9"/>
      <c r="AB99" s="9"/>
      <c r="AC99" s="10" t="str">
        <f aca="false">IF(Z99="","",IF(Z99=0,"Unassigned",IF(Z99=1,"Single point",IF(AB99="Yes","Staffed and credentialed","Staffed, credential gap"))))</f>
        <v/>
      </c>
      <c r="AD99" s="10" t="str">
        <f aca="false">IFERROR(INDEX(Lists!$H$3:$H$6,MATCH(AC99,Lists!$G$3:$G$6,0)),"")</f>
        <v/>
      </c>
      <c r="AE99" s="8"/>
      <c r="AF99" s="10" t="str">
        <f aca="false">IFERROR(INDEX(Lists!$B$3:$B$7,MATCH(AE99,Lists!$A$3:$A$7,0)),"")</f>
        <v/>
      </c>
      <c r="AG99" s="8"/>
      <c r="AH99" s="8"/>
      <c r="AI99" s="8"/>
      <c r="AJ99" s="8"/>
      <c r="AK99" s="8"/>
      <c r="AL99" s="8"/>
      <c r="AM99" s="11" t="str">
        <f aca="false">IF(OR(AJ99="",AJ99=0),"",AL99/AJ99)</f>
        <v/>
      </c>
      <c r="AN99" s="8"/>
      <c r="AO99" s="8"/>
      <c r="AP99" s="10" t="str">
        <f aca="false">IF(AN99="","Not assessed",IF(AND(R99="No",AN99="Gap - recommend tailoring"),"INVALID: HSSB is not tailorable",IF(OR(Z99="",Z99=0),"NO NAMED EXECUTOR",IF(AND(N(AF99)&gt;=3,AJ99=""),"Operating claimed with no sample",IF(AND(N(AF99)&gt;=3,Z99=1),"Operating rests on one individual",IF(AND(N(AF99)&gt;=3,AB99&lt;&gt;"Yes"),"Operating claimed below designed credential",IF(AND(R99="No",N(AF99)&lt;3),"HSSB GATE: below Operating",IF(AND(N(AF99)&gt;=3,AJ99&lt;&gt;"",AL99=""),"Sample size with no conforming count","OK"))))))))</f>
        <v>Not assessed</v>
      </c>
      <c r="AQ99" s="8"/>
      <c r="AR99" s="8"/>
      <c r="AS99" s="8"/>
    </row>
    <row r="100" customFormat="false" ht="22.35" hidden="false" customHeight="false" outlineLevel="0" collapsed="false">
      <c r="A100" s="12" t="s">
        <v>297</v>
      </c>
      <c r="B100" s="12" t="s">
        <v>288</v>
      </c>
      <c r="C100" s="12" t="s">
        <v>289</v>
      </c>
      <c r="D100" s="12" t="s">
        <v>290</v>
      </c>
      <c r="E100" s="12" t="s">
        <v>160</v>
      </c>
      <c r="F100" s="12"/>
      <c r="G100" s="13" t="s">
        <v>85</v>
      </c>
      <c r="H100" s="13" t="s">
        <v>298</v>
      </c>
      <c r="I100" s="12" t="s">
        <v>240</v>
      </c>
      <c r="J100" s="12" t="s">
        <v>292</v>
      </c>
      <c r="K100" s="12" t="s">
        <v>293</v>
      </c>
      <c r="L100" s="12" t="s">
        <v>93</v>
      </c>
      <c r="M100" s="12" t="s">
        <v>94</v>
      </c>
      <c r="N100" s="12" t="s">
        <v>95</v>
      </c>
      <c r="O100" s="12" t="s">
        <v>96</v>
      </c>
      <c r="P100" s="12" t="s">
        <v>97</v>
      </c>
      <c r="Q100" s="12" t="s">
        <v>299</v>
      </c>
      <c r="R100" s="12" t="s">
        <v>82</v>
      </c>
      <c r="S100" s="12"/>
      <c r="T100" s="12" t="s">
        <v>294</v>
      </c>
      <c r="U100" s="8"/>
      <c r="V100" s="8"/>
      <c r="W100" s="8"/>
      <c r="X100" s="8"/>
      <c r="Y100" s="9"/>
      <c r="Z100" s="9"/>
      <c r="AA100" s="9"/>
      <c r="AB100" s="9"/>
      <c r="AC100" s="10" t="str">
        <f aca="false">IF(Z100="","",IF(Z100=0,"Unassigned",IF(Z100=1,"Single point",IF(AB100="Yes","Staffed and credentialed","Staffed, credential gap"))))</f>
        <v/>
      </c>
      <c r="AD100" s="10" t="str">
        <f aca="false">IFERROR(INDEX(Lists!$H$3:$H$6,MATCH(AC100,Lists!$G$3:$G$6,0)),"")</f>
        <v/>
      </c>
      <c r="AE100" s="8"/>
      <c r="AF100" s="10" t="str">
        <f aca="false">IFERROR(INDEX(Lists!$B$3:$B$7,MATCH(AE100,Lists!$A$3:$A$7,0)),"")</f>
        <v/>
      </c>
      <c r="AG100" s="8"/>
      <c r="AH100" s="8"/>
      <c r="AI100" s="8"/>
      <c r="AJ100" s="8"/>
      <c r="AK100" s="8"/>
      <c r="AL100" s="8"/>
      <c r="AM100" s="11" t="str">
        <f aca="false">IF(OR(AJ100="",AJ100=0),"",AL100/AJ100)</f>
        <v/>
      </c>
      <c r="AN100" s="8"/>
      <c r="AO100" s="8"/>
      <c r="AP100" s="10" t="str">
        <f aca="false">IF(AN100="","Not assessed",IF(AND(R100="No",AN100="Gap - recommend tailoring"),"INVALID: HSSB is not tailorable",IF(OR(Z100="",Z100=0),"NO NAMED EXECUTOR",IF(AND(N(AF100)&gt;=3,AJ100=""),"Operating claimed with no sample",IF(AND(N(AF100)&gt;=3,Z100=1),"Operating rests on one individual",IF(AND(N(AF100)&gt;=3,AB100&lt;&gt;"Yes"),"Operating claimed below designed credential",IF(AND(R100="No",N(AF100)&lt;3),"HSSB GATE: below Operating",IF(AND(N(AF100)&gt;=3,AJ100&lt;&gt;"",AL100=""),"Sample size with no conforming count","OK"))))))))</f>
        <v>Not assessed</v>
      </c>
      <c r="AQ100" s="8"/>
      <c r="AR100" s="8"/>
      <c r="AS100" s="8"/>
    </row>
    <row r="101" customFormat="false" ht="22.35" hidden="false" customHeight="false" outlineLevel="0" collapsed="false">
      <c r="A101" s="6" t="s">
        <v>300</v>
      </c>
      <c r="B101" s="6" t="s">
        <v>288</v>
      </c>
      <c r="C101" s="6" t="s">
        <v>289</v>
      </c>
      <c r="D101" s="6" t="s">
        <v>290</v>
      </c>
      <c r="E101" s="6" t="s">
        <v>162</v>
      </c>
      <c r="F101" s="7"/>
      <c r="G101" s="6" t="s">
        <v>82</v>
      </c>
      <c r="H101" s="6"/>
      <c r="I101" s="6"/>
      <c r="J101" s="6"/>
      <c r="K101" s="6"/>
      <c r="L101" s="6" t="s">
        <v>83</v>
      </c>
      <c r="M101" s="6" t="s">
        <v>84</v>
      </c>
      <c r="N101" s="6"/>
      <c r="O101" s="6"/>
      <c r="P101" s="6"/>
      <c r="Q101" s="6"/>
      <c r="R101" s="6" t="s">
        <v>85</v>
      </c>
      <c r="S101" s="6"/>
      <c r="T101" s="6" t="s">
        <v>294</v>
      </c>
      <c r="U101" s="8"/>
      <c r="V101" s="8"/>
      <c r="W101" s="8"/>
      <c r="X101" s="8"/>
      <c r="Y101" s="9"/>
      <c r="Z101" s="9"/>
      <c r="AA101" s="9"/>
      <c r="AB101" s="9"/>
      <c r="AC101" s="10" t="str">
        <f aca="false">IF(Z101="","",IF(Z101=0,"Unassigned",IF(Z101=1,"Single point",IF(AB101="Yes","Staffed and credentialed","Staffed, credential gap"))))</f>
        <v/>
      </c>
      <c r="AD101" s="10" t="str">
        <f aca="false">IFERROR(INDEX(Lists!$H$3:$H$6,MATCH(AC101,Lists!$G$3:$G$6,0)),"")</f>
        <v/>
      </c>
      <c r="AE101" s="8"/>
      <c r="AF101" s="10" t="str">
        <f aca="false">IFERROR(INDEX(Lists!$B$3:$B$7,MATCH(AE101,Lists!$A$3:$A$7,0)),"")</f>
        <v/>
      </c>
      <c r="AG101" s="8"/>
      <c r="AH101" s="8"/>
      <c r="AI101" s="8"/>
      <c r="AJ101" s="8"/>
      <c r="AK101" s="8"/>
      <c r="AL101" s="8"/>
      <c r="AM101" s="11" t="str">
        <f aca="false">IF(OR(AJ101="",AJ101=0),"",AL101/AJ101)</f>
        <v/>
      </c>
      <c r="AN101" s="8"/>
      <c r="AO101" s="8"/>
      <c r="AP101" s="10" t="str">
        <f aca="false">IF(AN101="","Not assessed",IF(AND(R101="No",AN101="Gap - recommend tailoring"),"INVALID: HSSB is not tailorable",IF(OR(Z101="",Z101=0),"NO NAMED EXECUTOR",IF(AND(N(AF101)&gt;=3,AJ101=""),"Operating claimed with no sample",IF(AND(N(AF101)&gt;=3,Z101=1),"Operating rests on one individual",IF(AND(N(AF101)&gt;=3,AB101&lt;&gt;"Yes"),"Operating claimed below designed credential",IF(AND(R101="No",N(AF101)&lt;3),"HSSB GATE: below Operating",IF(AND(N(AF101)&gt;=3,AJ101&lt;&gt;"",AL101=""),"Sample size with no conforming count","OK"))))))))</f>
        <v>Not assessed</v>
      </c>
      <c r="AQ101" s="8"/>
      <c r="AR101" s="8"/>
      <c r="AS101" s="8"/>
    </row>
    <row r="102" customFormat="false" ht="22.35" hidden="false" customHeight="false" outlineLevel="0" collapsed="false">
      <c r="A102" s="12" t="s">
        <v>301</v>
      </c>
      <c r="B102" s="12" t="s">
        <v>288</v>
      </c>
      <c r="C102" s="12" t="s">
        <v>289</v>
      </c>
      <c r="D102" s="12" t="s">
        <v>290</v>
      </c>
      <c r="E102" s="12" t="s">
        <v>164</v>
      </c>
      <c r="F102" s="12"/>
      <c r="G102" s="13" t="s">
        <v>85</v>
      </c>
      <c r="H102" s="13" t="s">
        <v>302</v>
      </c>
      <c r="I102" s="12" t="s">
        <v>240</v>
      </c>
      <c r="J102" s="12" t="s">
        <v>292</v>
      </c>
      <c r="K102" s="12" t="s">
        <v>293</v>
      </c>
      <c r="L102" s="12" t="s">
        <v>93</v>
      </c>
      <c r="M102" s="12" t="s">
        <v>94</v>
      </c>
      <c r="N102" s="12" t="s">
        <v>244</v>
      </c>
      <c r="O102" s="12" t="s">
        <v>195</v>
      </c>
      <c r="P102" s="12" t="s">
        <v>245</v>
      </c>
      <c r="Q102" s="12" t="s">
        <v>96</v>
      </c>
      <c r="R102" s="12" t="s">
        <v>82</v>
      </c>
      <c r="S102" s="12"/>
      <c r="T102" s="12" t="s">
        <v>294</v>
      </c>
      <c r="U102" s="8"/>
      <c r="V102" s="8"/>
      <c r="W102" s="8"/>
      <c r="X102" s="8"/>
      <c r="Y102" s="9"/>
      <c r="Z102" s="9"/>
      <c r="AA102" s="9"/>
      <c r="AB102" s="9"/>
      <c r="AC102" s="10" t="str">
        <f aca="false">IF(Z102="","",IF(Z102=0,"Unassigned",IF(Z102=1,"Single point",IF(AB102="Yes","Staffed and credentialed","Staffed, credential gap"))))</f>
        <v/>
      </c>
      <c r="AD102" s="10" t="str">
        <f aca="false">IFERROR(INDEX(Lists!$H$3:$H$6,MATCH(AC102,Lists!$G$3:$G$6,0)),"")</f>
        <v/>
      </c>
      <c r="AE102" s="8"/>
      <c r="AF102" s="10" t="str">
        <f aca="false">IFERROR(INDEX(Lists!$B$3:$B$7,MATCH(AE102,Lists!$A$3:$A$7,0)),"")</f>
        <v/>
      </c>
      <c r="AG102" s="8"/>
      <c r="AH102" s="8"/>
      <c r="AI102" s="8"/>
      <c r="AJ102" s="8"/>
      <c r="AK102" s="8"/>
      <c r="AL102" s="8"/>
      <c r="AM102" s="11" t="str">
        <f aca="false">IF(OR(AJ102="",AJ102=0),"",AL102/AJ102)</f>
        <v/>
      </c>
      <c r="AN102" s="8"/>
      <c r="AO102" s="8"/>
      <c r="AP102" s="10" t="str">
        <f aca="false">IF(AN102="","Not assessed",IF(AND(R102="No",AN102="Gap - recommend tailoring"),"INVALID: HSSB is not tailorable",IF(OR(Z102="",Z102=0),"NO NAMED EXECUTOR",IF(AND(N(AF102)&gt;=3,AJ102=""),"Operating claimed with no sample",IF(AND(N(AF102)&gt;=3,Z102=1),"Operating rests on one individual",IF(AND(N(AF102)&gt;=3,AB102&lt;&gt;"Yes"),"Operating claimed below designed credential",IF(AND(R102="No",N(AF102)&lt;3),"HSSB GATE: below Operating",IF(AND(N(AF102)&gt;=3,AJ102&lt;&gt;"",AL102=""),"Sample size with no conforming count","OK"))))))))</f>
        <v>Not assessed</v>
      </c>
      <c r="AQ102" s="8"/>
      <c r="AR102" s="8"/>
      <c r="AS102" s="8"/>
    </row>
    <row r="103" customFormat="false" ht="22.35" hidden="false" customHeight="false" outlineLevel="0" collapsed="false">
      <c r="A103" s="12" t="s">
        <v>303</v>
      </c>
      <c r="B103" s="12" t="s">
        <v>288</v>
      </c>
      <c r="C103" s="12" t="s">
        <v>289</v>
      </c>
      <c r="D103" s="12" t="s">
        <v>290</v>
      </c>
      <c r="E103" s="12" t="s">
        <v>166</v>
      </c>
      <c r="F103" s="12"/>
      <c r="G103" s="13" t="s">
        <v>85</v>
      </c>
      <c r="H103" s="13" t="s">
        <v>304</v>
      </c>
      <c r="I103" s="12" t="s">
        <v>240</v>
      </c>
      <c r="J103" s="12" t="s">
        <v>292</v>
      </c>
      <c r="K103" s="12" t="s">
        <v>293</v>
      </c>
      <c r="L103" s="12" t="s">
        <v>93</v>
      </c>
      <c r="M103" s="12" t="s">
        <v>94</v>
      </c>
      <c r="N103" s="12" t="s">
        <v>244</v>
      </c>
      <c r="O103" s="12" t="s">
        <v>195</v>
      </c>
      <c r="P103" s="12" t="s">
        <v>245</v>
      </c>
      <c r="Q103" s="12" t="s">
        <v>96</v>
      </c>
      <c r="R103" s="12" t="s">
        <v>82</v>
      </c>
      <c r="S103" s="12"/>
      <c r="T103" s="12" t="s">
        <v>294</v>
      </c>
      <c r="U103" s="8"/>
      <c r="V103" s="8"/>
      <c r="W103" s="8"/>
      <c r="X103" s="8"/>
      <c r="Y103" s="9"/>
      <c r="Z103" s="9"/>
      <c r="AA103" s="9"/>
      <c r="AB103" s="9"/>
      <c r="AC103" s="10" t="str">
        <f aca="false">IF(Z103="","",IF(Z103=0,"Unassigned",IF(Z103=1,"Single point",IF(AB103="Yes","Staffed and credentialed","Staffed, credential gap"))))</f>
        <v/>
      </c>
      <c r="AD103" s="10" t="str">
        <f aca="false">IFERROR(INDEX(Lists!$H$3:$H$6,MATCH(AC103,Lists!$G$3:$G$6,0)),"")</f>
        <v/>
      </c>
      <c r="AE103" s="8"/>
      <c r="AF103" s="10" t="str">
        <f aca="false">IFERROR(INDEX(Lists!$B$3:$B$7,MATCH(AE103,Lists!$A$3:$A$7,0)),"")</f>
        <v/>
      </c>
      <c r="AG103" s="8"/>
      <c r="AH103" s="8"/>
      <c r="AI103" s="8"/>
      <c r="AJ103" s="8"/>
      <c r="AK103" s="8"/>
      <c r="AL103" s="8"/>
      <c r="AM103" s="11" t="str">
        <f aca="false">IF(OR(AJ103="",AJ103=0),"",AL103/AJ103)</f>
        <v/>
      </c>
      <c r="AN103" s="8"/>
      <c r="AO103" s="8"/>
      <c r="AP103" s="10" t="str">
        <f aca="false">IF(AN103="","Not assessed",IF(AND(R103="No",AN103="Gap - recommend tailoring"),"INVALID: HSSB is not tailorable",IF(OR(Z103="",Z103=0),"NO NAMED EXECUTOR",IF(AND(N(AF103)&gt;=3,AJ103=""),"Operating claimed with no sample",IF(AND(N(AF103)&gt;=3,Z103=1),"Operating rests on one individual",IF(AND(N(AF103)&gt;=3,AB103&lt;&gt;"Yes"),"Operating claimed below designed credential",IF(AND(R103="No",N(AF103)&lt;3),"HSSB GATE: below Operating",IF(AND(N(AF103)&gt;=3,AJ103&lt;&gt;"",AL103=""),"Sample size with no conforming count","OK"))))))))</f>
        <v>Not assessed</v>
      </c>
      <c r="AQ103" s="8"/>
      <c r="AR103" s="8"/>
      <c r="AS103" s="8"/>
    </row>
    <row r="104" customFormat="false" ht="22.35" hidden="false" customHeight="false" outlineLevel="0" collapsed="false">
      <c r="A104" s="6" t="s">
        <v>305</v>
      </c>
      <c r="B104" s="6" t="s">
        <v>288</v>
      </c>
      <c r="C104" s="6" t="s">
        <v>289</v>
      </c>
      <c r="D104" s="6" t="s">
        <v>290</v>
      </c>
      <c r="E104" s="6" t="s">
        <v>168</v>
      </c>
      <c r="F104" s="7"/>
      <c r="G104" s="6" t="s">
        <v>82</v>
      </c>
      <c r="H104" s="6"/>
      <c r="I104" s="6"/>
      <c r="J104" s="6"/>
      <c r="K104" s="6"/>
      <c r="L104" s="6" t="s">
        <v>83</v>
      </c>
      <c r="M104" s="6" t="s">
        <v>84</v>
      </c>
      <c r="N104" s="6"/>
      <c r="O104" s="6"/>
      <c r="P104" s="6"/>
      <c r="Q104" s="6"/>
      <c r="R104" s="6" t="s">
        <v>85</v>
      </c>
      <c r="S104" s="6"/>
      <c r="T104" s="6" t="s">
        <v>294</v>
      </c>
      <c r="U104" s="8"/>
      <c r="V104" s="8"/>
      <c r="W104" s="8"/>
      <c r="X104" s="8"/>
      <c r="Y104" s="9"/>
      <c r="Z104" s="9"/>
      <c r="AA104" s="9"/>
      <c r="AB104" s="9"/>
      <c r="AC104" s="10" t="str">
        <f aca="false">IF(Z104="","",IF(Z104=0,"Unassigned",IF(Z104=1,"Single point",IF(AB104="Yes","Staffed and credentialed","Staffed, credential gap"))))</f>
        <v/>
      </c>
      <c r="AD104" s="10" t="str">
        <f aca="false">IFERROR(INDEX(Lists!$H$3:$H$6,MATCH(AC104,Lists!$G$3:$G$6,0)),"")</f>
        <v/>
      </c>
      <c r="AE104" s="8"/>
      <c r="AF104" s="10" t="str">
        <f aca="false">IFERROR(INDEX(Lists!$B$3:$B$7,MATCH(AE104,Lists!$A$3:$A$7,0)),"")</f>
        <v/>
      </c>
      <c r="AG104" s="8"/>
      <c r="AH104" s="8"/>
      <c r="AI104" s="8"/>
      <c r="AJ104" s="8"/>
      <c r="AK104" s="8"/>
      <c r="AL104" s="8"/>
      <c r="AM104" s="11" t="str">
        <f aca="false">IF(OR(AJ104="",AJ104=0),"",AL104/AJ104)</f>
        <v/>
      </c>
      <c r="AN104" s="8"/>
      <c r="AO104" s="8"/>
      <c r="AP104" s="10" t="str">
        <f aca="false">IF(AN104="","Not assessed",IF(AND(R104="No",AN104="Gap - recommend tailoring"),"INVALID: HSSB is not tailorable",IF(OR(Z104="",Z104=0),"NO NAMED EXECUTOR",IF(AND(N(AF104)&gt;=3,AJ104=""),"Operating claimed with no sample",IF(AND(N(AF104)&gt;=3,Z104=1),"Operating rests on one individual",IF(AND(N(AF104)&gt;=3,AB104&lt;&gt;"Yes"),"Operating claimed below designed credential",IF(AND(R104="No",N(AF104)&lt;3),"HSSB GATE: below Operating",IF(AND(N(AF104)&gt;=3,AJ104&lt;&gt;"",AL104=""),"Sample size with no conforming count","OK"))))))))</f>
        <v>Not assessed</v>
      </c>
      <c r="AQ104" s="8"/>
      <c r="AR104" s="8"/>
      <c r="AS104" s="8"/>
    </row>
    <row r="105" customFormat="false" ht="22.35" hidden="false" customHeight="false" outlineLevel="0" collapsed="false">
      <c r="A105" s="12" t="s">
        <v>306</v>
      </c>
      <c r="B105" s="12" t="s">
        <v>288</v>
      </c>
      <c r="C105" s="12" t="s">
        <v>289</v>
      </c>
      <c r="D105" s="12" t="s">
        <v>290</v>
      </c>
      <c r="E105" s="12" t="s">
        <v>100</v>
      </c>
      <c r="F105" s="12"/>
      <c r="G105" s="13" t="s">
        <v>85</v>
      </c>
      <c r="H105" s="13" t="s">
        <v>307</v>
      </c>
      <c r="I105" s="12" t="s">
        <v>192</v>
      </c>
      <c r="J105" s="12" t="s">
        <v>308</v>
      </c>
      <c r="K105" s="12" t="s">
        <v>309</v>
      </c>
      <c r="L105" s="12" t="s">
        <v>93</v>
      </c>
      <c r="M105" s="12" t="s">
        <v>105</v>
      </c>
      <c r="N105" s="12" t="s">
        <v>95</v>
      </c>
      <c r="O105" s="12" t="s">
        <v>96</v>
      </c>
      <c r="P105" s="12" t="s">
        <v>97</v>
      </c>
      <c r="Q105" s="12" t="s">
        <v>98</v>
      </c>
      <c r="R105" s="12" t="s">
        <v>82</v>
      </c>
      <c r="S105" s="12"/>
      <c r="T105" s="12" t="s">
        <v>294</v>
      </c>
      <c r="U105" s="8"/>
      <c r="V105" s="8"/>
      <c r="W105" s="8"/>
      <c r="X105" s="8"/>
      <c r="Y105" s="9"/>
      <c r="Z105" s="9"/>
      <c r="AA105" s="9"/>
      <c r="AB105" s="9"/>
      <c r="AC105" s="10" t="str">
        <f aca="false">IF(Z105="","",IF(Z105=0,"Unassigned",IF(Z105=1,"Single point",IF(AB105="Yes","Staffed and credentialed","Staffed, credential gap"))))</f>
        <v/>
      </c>
      <c r="AD105" s="10" t="str">
        <f aca="false">IFERROR(INDEX(Lists!$H$3:$H$6,MATCH(AC105,Lists!$G$3:$G$6,0)),"")</f>
        <v/>
      </c>
      <c r="AE105" s="8"/>
      <c r="AF105" s="10" t="str">
        <f aca="false">IFERROR(INDEX(Lists!$B$3:$B$7,MATCH(AE105,Lists!$A$3:$A$7,0)),"")</f>
        <v/>
      </c>
      <c r="AG105" s="8"/>
      <c r="AH105" s="8"/>
      <c r="AI105" s="8"/>
      <c r="AJ105" s="8"/>
      <c r="AK105" s="8"/>
      <c r="AL105" s="8"/>
      <c r="AM105" s="11" t="str">
        <f aca="false">IF(OR(AJ105="",AJ105=0),"",AL105/AJ105)</f>
        <v/>
      </c>
      <c r="AN105" s="8"/>
      <c r="AO105" s="8"/>
      <c r="AP105" s="10" t="str">
        <f aca="false">IF(AN105="","Not assessed",IF(AND(R105="No",AN105="Gap - recommend tailoring"),"INVALID: HSSB is not tailorable",IF(OR(Z105="",Z105=0),"NO NAMED EXECUTOR",IF(AND(N(AF105)&gt;=3,AJ105=""),"Operating claimed with no sample",IF(AND(N(AF105)&gt;=3,Z105=1),"Operating rests on one individual",IF(AND(N(AF105)&gt;=3,AB105&lt;&gt;"Yes"),"Operating claimed below designed credential",IF(AND(R105="No",N(AF105)&lt;3),"HSSB GATE: below Operating",IF(AND(N(AF105)&gt;=3,AJ105&lt;&gt;"",AL105=""),"Sample size with no conforming count","OK"))))))))</f>
        <v>Not assessed</v>
      </c>
      <c r="AQ105" s="8"/>
      <c r="AR105" s="8"/>
      <c r="AS105" s="8"/>
    </row>
    <row r="106" customFormat="false" ht="22.35" hidden="false" customHeight="false" outlineLevel="0" collapsed="false">
      <c r="A106" s="12" t="s">
        <v>310</v>
      </c>
      <c r="B106" s="12" t="s">
        <v>288</v>
      </c>
      <c r="C106" s="12" t="s">
        <v>311</v>
      </c>
      <c r="D106" s="12" t="s">
        <v>312</v>
      </c>
      <c r="E106" s="12" t="s">
        <v>81</v>
      </c>
      <c r="F106" s="12"/>
      <c r="G106" s="13" t="s">
        <v>85</v>
      </c>
      <c r="H106" s="13" t="s">
        <v>313</v>
      </c>
      <c r="I106" s="12" t="s">
        <v>240</v>
      </c>
      <c r="J106" s="12" t="s">
        <v>314</v>
      </c>
      <c r="K106" s="12" t="s">
        <v>293</v>
      </c>
      <c r="L106" s="12" t="s">
        <v>93</v>
      </c>
      <c r="M106" s="12" t="s">
        <v>94</v>
      </c>
      <c r="N106" s="12" t="s">
        <v>244</v>
      </c>
      <c r="O106" s="12" t="s">
        <v>195</v>
      </c>
      <c r="P106" s="12" t="s">
        <v>245</v>
      </c>
      <c r="Q106" s="12" t="s">
        <v>96</v>
      </c>
      <c r="R106" s="12" t="s">
        <v>82</v>
      </c>
      <c r="S106" s="12"/>
      <c r="T106" s="12" t="s">
        <v>294</v>
      </c>
      <c r="U106" s="8"/>
      <c r="V106" s="8"/>
      <c r="W106" s="8"/>
      <c r="X106" s="8"/>
      <c r="Y106" s="9"/>
      <c r="Z106" s="9"/>
      <c r="AA106" s="9"/>
      <c r="AB106" s="9"/>
      <c r="AC106" s="10" t="str">
        <f aca="false">IF(Z106="","",IF(Z106=0,"Unassigned",IF(Z106=1,"Single point",IF(AB106="Yes","Staffed and credentialed","Staffed, credential gap"))))</f>
        <v/>
      </c>
      <c r="AD106" s="10" t="str">
        <f aca="false">IFERROR(INDEX(Lists!$H$3:$H$6,MATCH(AC106,Lists!$G$3:$G$6,0)),"")</f>
        <v/>
      </c>
      <c r="AE106" s="8"/>
      <c r="AF106" s="10" t="str">
        <f aca="false">IFERROR(INDEX(Lists!$B$3:$B$7,MATCH(AE106,Lists!$A$3:$A$7,0)),"")</f>
        <v/>
      </c>
      <c r="AG106" s="8"/>
      <c r="AH106" s="8"/>
      <c r="AI106" s="8"/>
      <c r="AJ106" s="8"/>
      <c r="AK106" s="8"/>
      <c r="AL106" s="8"/>
      <c r="AM106" s="11" t="str">
        <f aca="false">IF(OR(AJ106="",AJ106=0),"",AL106/AJ106)</f>
        <v/>
      </c>
      <c r="AN106" s="8"/>
      <c r="AO106" s="8"/>
      <c r="AP106" s="10" t="str">
        <f aca="false">IF(AN106="","Not assessed",IF(AND(R106="No",AN106="Gap - recommend tailoring"),"INVALID: HSSB is not tailorable",IF(OR(Z106="",Z106=0),"NO NAMED EXECUTOR",IF(AND(N(AF106)&gt;=3,AJ106=""),"Operating claimed with no sample",IF(AND(N(AF106)&gt;=3,Z106=1),"Operating rests on one individual",IF(AND(N(AF106)&gt;=3,AB106&lt;&gt;"Yes"),"Operating claimed below designed credential",IF(AND(R106="No",N(AF106)&lt;3),"HSSB GATE: below Operating",IF(AND(N(AF106)&gt;=3,AJ106&lt;&gt;"",AL106=""),"Sample size with no conforming count","OK"))))))))</f>
        <v>Not assessed</v>
      </c>
      <c r="AQ106" s="8"/>
      <c r="AR106" s="8"/>
      <c r="AS106" s="8"/>
    </row>
    <row r="107" customFormat="false" ht="22.35" hidden="false" customHeight="false" outlineLevel="0" collapsed="false">
      <c r="A107" s="12" t="s">
        <v>315</v>
      </c>
      <c r="B107" s="12" t="s">
        <v>288</v>
      </c>
      <c r="C107" s="12" t="s">
        <v>316</v>
      </c>
      <c r="D107" s="12" t="s">
        <v>317</v>
      </c>
      <c r="E107" s="12" t="s">
        <v>112</v>
      </c>
      <c r="F107" s="12"/>
      <c r="G107" s="13" t="s">
        <v>85</v>
      </c>
      <c r="H107" s="13" t="s">
        <v>318</v>
      </c>
      <c r="I107" s="12" t="s">
        <v>240</v>
      </c>
      <c r="J107" s="12" t="s">
        <v>292</v>
      </c>
      <c r="K107" s="12" t="s">
        <v>293</v>
      </c>
      <c r="L107" s="12" t="s">
        <v>93</v>
      </c>
      <c r="M107" s="12" t="s">
        <v>105</v>
      </c>
      <c r="N107" s="12" t="s">
        <v>95</v>
      </c>
      <c r="O107" s="12" t="s">
        <v>96</v>
      </c>
      <c r="P107" s="12" t="s">
        <v>97</v>
      </c>
      <c r="Q107" s="12" t="s">
        <v>195</v>
      </c>
      <c r="R107" s="12" t="s">
        <v>82</v>
      </c>
      <c r="S107" s="12"/>
      <c r="T107" s="12" t="s">
        <v>294</v>
      </c>
      <c r="U107" s="8"/>
      <c r="V107" s="8"/>
      <c r="W107" s="8"/>
      <c r="X107" s="8"/>
      <c r="Y107" s="9"/>
      <c r="Z107" s="9"/>
      <c r="AA107" s="9"/>
      <c r="AB107" s="9"/>
      <c r="AC107" s="10" t="str">
        <f aca="false">IF(Z107="","",IF(Z107=0,"Unassigned",IF(Z107=1,"Single point",IF(AB107="Yes","Staffed and credentialed","Staffed, credential gap"))))</f>
        <v/>
      </c>
      <c r="AD107" s="10" t="str">
        <f aca="false">IFERROR(INDEX(Lists!$H$3:$H$6,MATCH(AC107,Lists!$G$3:$G$6,0)),"")</f>
        <v/>
      </c>
      <c r="AE107" s="8"/>
      <c r="AF107" s="10" t="str">
        <f aca="false">IFERROR(INDEX(Lists!$B$3:$B$7,MATCH(AE107,Lists!$A$3:$A$7,0)),"")</f>
        <v/>
      </c>
      <c r="AG107" s="8"/>
      <c r="AH107" s="8"/>
      <c r="AI107" s="8"/>
      <c r="AJ107" s="8"/>
      <c r="AK107" s="8"/>
      <c r="AL107" s="8"/>
      <c r="AM107" s="11" t="str">
        <f aca="false">IF(OR(AJ107="",AJ107=0),"",AL107/AJ107)</f>
        <v/>
      </c>
      <c r="AN107" s="8"/>
      <c r="AO107" s="8"/>
      <c r="AP107" s="10" t="str">
        <f aca="false">IF(AN107="","Not assessed",IF(AND(R107="No",AN107="Gap - recommend tailoring"),"INVALID: HSSB is not tailorable",IF(OR(Z107="",Z107=0),"NO NAMED EXECUTOR",IF(AND(N(AF107)&gt;=3,AJ107=""),"Operating claimed with no sample",IF(AND(N(AF107)&gt;=3,Z107=1),"Operating rests on one individual",IF(AND(N(AF107)&gt;=3,AB107&lt;&gt;"Yes"),"Operating claimed below designed credential",IF(AND(R107="No",N(AF107)&lt;3),"HSSB GATE: below Operating",IF(AND(N(AF107)&gt;=3,AJ107&lt;&gt;"",AL107=""),"Sample size with no conforming count","OK"))))))))</f>
        <v>Not assessed</v>
      </c>
      <c r="AQ107" s="8"/>
      <c r="AR107" s="8"/>
      <c r="AS107" s="8"/>
    </row>
    <row r="108" customFormat="false" ht="22.35" hidden="false" customHeight="false" outlineLevel="0" collapsed="false">
      <c r="A108" s="6" t="s">
        <v>319</v>
      </c>
      <c r="B108" s="6" t="s">
        <v>288</v>
      </c>
      <c r="C108" s="6" t="s">
        <v>316</v>
      </c>
      <c r="D108" s="6" t="s">
        <v>317</v>
      </c>
      <c r="E108" s="6" t="s">
        <v>115</v>
      </c>
      <c r="F108" s="7"/>
      <c r="G108" s="6" t="s">
        <v>82</v>
      </c>
      <c r="H108" s="6"/>
      <c r="I108" s="6"/>
      <c r="J108" s="6"/>
      <c r="K108" s="6"/>
      <c r="L108" s="6" t="s">
        <v>83</v>
      </c>
      <c r="M108" s="6" t="s">
        <v>84</v>
      </c>
      <c r="N108" s="6"/>
      <c r="O108" s="6"/>
      <c r="P108" s="6"/>
      <c r="Q108" s="6"/>
      <c r="R108" s="6" t="s">
        <v>85</v>
      </c>
      <c r="S108" s="6"/>
      <c r="T108" s="6" t="s">
        <v>294</v>
      </c>
      <c r="U108" s="8"/>
      <c r="V108" s="8"/>
      <c r="W108" s="8"/>
      <c r="X108" s="8"/>
      <c r="Y108" s="9"/>
      <c r="Z108" s="9"/>
      <c r="AA108" s="9"/>
      <c r="AB108" s="9"/>
      <c r="AC108" s="10" t="str">
        <f aca="false">IF(Z108="","",IF(Z108=0,"Unassigned",IF(Z108=1,"Single point",IF(AB108="Yes","Staffed and credentialed","Staffed, credential gap"))))</f>
        <v/>
      </c>
      <c r="AD108" s="10" t="str">
        <f aca="false">IFERROR(INDEX(Lists!$H$3:$H$6,MATCH(AC108,Lists!$G$3:$G$6,0)),"")</f>
        <v/>
      </c>
      <c r="AE108" s="8"/>
      <c r="AF108" s="10" t="str">
        <f aca="false">IFERROR(INDEX(Lists!$B$3:$B$7,MATCH(AE108,Lists!$A$3:$A$7,0)),"")</f>
        <v/>
      </c>
      <c r="AG108" s="8"/>
      <c r="AH108" s="8"/>
      <c r="AI108" s="8"/>
      <c r="AJ108" s="8"/>
      <c r="AK108" s="8"/>
      <c r="AL108" s="8"/>
      <c r="AM108" s="11" t="str">
        <f aca="false">IF(OR(AJ108="",AJ108=0),"",AL108/AJ108)</f>
        <v/>
      </c>
      <c r="AN108" s="8"/>
      <c r="AO108" s="8"/>
      <c r="AP108" s="10" t="str">
        <f aca="false">IF(AN108="","Not assessed",IF(AND(R108="No",AN108="Gap - recommend tailoring"),"INVALID: HSSB is not tailorable",IF(OR(Z108="",Z108=0),"NO NAMED EXECUTOR",IF(AND(N(AF108)&gt;=3,AJ108=""),"Operating claimed with no sample",IF(AND(N(AF108)&gt;=3,Z108=1),"Operating rests on one individual",IF(AND(N(AF108)&gt;=3,AB108&lt;&gt;"Yes"),"Operating claimed below designed credential",IF(AND(R108="No",N(AF108)&lt;3),"HSSB GATE: below Operating",IF(AND(N(AF108)&gt;=3,AJ108&lt;&gt;"",AL108=""),"Sample size with no conforming count","OK"))))))))</f>
        <v>Not assessed</v>
      </c>
      <c r="AQ108" s="8"/>
      <c r="AR108" s="8"/>
      <c r="AS108" s="8"/>
    </row>
    <row r="109" customFormat="false" ht="22.35" hidden="false" customHeight="false" outlineLevel="0" collapsed="false">
      <c r="A109" s="12" t="s">
        <v>320</v>
      </c>
      <c r="B109" s="12" t="s">
        <v>288</v>
      </c>
      <c r="C109" s="12" t="s">
        <v>316</v>
      </c>
      <c r="D109" s="12" t="s">
        <v>317</v>
      </c>
      <c r="E109" s="12" t="s">
        <v>117</v>
      </c>
      <c r="F109" s="12"/>
      <c r="G109" s="13" t="s">
        <v>85</v>
      </c>
      <c r="H109" s="13" t="s">
        <v>321</v>
      </c>
      <c r="I109" s="12" t="s">
        <v>240</v>
      </c>
      <c r="J109" s="12" t="s">
        <v>322</v>
      </c>
      <c r="K109" s="12" t="s">
        <v>242</v>
      </c>
      <c r="L109" s="12" t="s">
        <v>243</v>
      </c>
      <c r="M109" s="12" t="s">
        <v>94</v>
      </c>
      <c r="N109" s="12" t="s">
        <v>244</v>
      </c>
      <c r="O109" s="12" t="s">
        <v>195</v>
      </c>
      <c r="P109" s="12" t="s">
        <v>245</v>
      </c>
      <c r="Q109" s="12" t="s">
        <v>96</v>
      </c>
      <c r="R109" s="12" t="s">
        <v>82</v>
      </c>
      <c r="S109" s="12"/>
      <c r="T109" s="12" t="s">
        <v>294</v>
      </c>
      <c r="U109" s="8"/>
      <c r="V109" s="8"/>
      <c r="W109" s="8"/>
      <c r="X109" s="8"/>
      <c r="Y109" s="9"/>
      <c r="Z109" s="9"/>
      <c r="AA109" s="9"/>
      <c r="AB109" s="9"/>
      <c r="AC109" s="10" t="str">
        <f aca="false">IF(Z109="","",IF(Z109=0,"Unassigned",IF(Z109=1,"Single point",IF(AB109="Yes","Staffed and credentialed","Staffed, credential gap"))))</f>
        <v/>
      </c>
      <c r="AD109" s="10" t="str">
        <f aca="false">IFERROR(INDEX(Lists!$H$3:$H$6,MATCH(AC109,Lists!$G$3:$G$6,0)),"")</f>
        <v/>
      </c>
      <c r="AE109" s="8"/>
      <c r="AF109" s="10" t="str">
        <f aca="false">IFERROR(INDEX(Lists!$B$3:$B$7,MATCH(AE109,Lists!$A$3:$A$7,0)),"")</f>
        <v/>
      </c>
      <c r="AG109" s="8"/>
      <c r="AH109" s="8"/>
      <c r="AI109" s="8"/>
      <c r="AJ109" s="8"/>
      <c r="AK109" s="8"/>
      <c r="AL109" s="8"/>
      <c r="AM109" s="11" t="str">
        <f aca="false">IF(OR(AJ109="",AJ109=0),"",AL109/AJ109)</f>
        <v/>
      </c>
      <c r="AN109" s="8"/>
      <c r="AO109" s="8"/>
      <c r="AP109" s="10" t="str">
        <f aca="false">IF(AN109="","Not assessed",IF(AND(R109="No",AN109="Gap - recommend tailoring"),"INVALID: HSSB is not tailorable",IF(OR(Z109="",Z109=0),"NO NAMED EXECUTOR",IF(AND(N(AF109)&gt;=3,AJ109=""),"Operating claimed with no sample",IF(AND(N(AF109)&gt;=3,Z109=1),"Operating rests on one individual",IF(AND(N(AF109)&gt;=3,AB109&lt;&gt;"Yes"),"Operating claimed below designed credential",IF(AND(R109="No",N(AF109)&lt;3),"HSSB GATE: below Operating",IF(AND(N(AF109)&gt;=3,AJ109&lt;&gt;"",AL109=""),"Sample size with no conforming count","OK"))))))))</f>
        <v>Not assessed</v>
      </c>
      <c r="AQ109" s="8"/>
      <c r="AR109" s="8"/>
      <c r="AS109" s="8"/>
    </row>
    <row r="110" customFormat="false" ht="22.35" hidden="false" customHeight="false" outlineLevel="0" collapsed="false">
      <c r="A110" s="6" t="s">
        <v>323</v>
      </c>
      <c r="B110" s="6" t="s">
        <v>288</v>
      </c>
      <c r="C110" s="6" t="s">
        <v>316</v>
      </c>
      <c r="D110" s="6" t="s">
        <v>317</v>
      </c>
      <c r="E110" s="6" t="s">
        <v>119</v>
      </c>
      <c r="F110" s="7"/>
      <c r="G110" s="6" t="s">
        <v>82</v>
      </c>
      <c r="H110" s="6"/>
      <c r="I110" s="6"/>
      <c r="J110" s="6"/>
      <c r="K110" s="6"/>
      <c r="L110" s="6" t="s">
        <v>83</v>
      </c>
      <c r="M110" s="6" t="s">
        <v>84</v>
      </c>
      <c r="N110" s="6"/>
      <c r="O110" s="6"/>
      <c r="P110" s="6"/>
      <c r="Q110" s="6"/>
      <c r="R110" s="6" t="s">
        <v>85</v>
      </c>
      <c r="S110" s="6"/>
      <c r="T110" s="6" t="s">
        <v>294</v>
      </c>
      <c r="U110" s="8"/>
      <c r="V110" s="8"/>
      <c r="W110" s="8"/>
      <c r="X110" s="8"/>
      <c r="Y110" s="9"/>
      <c r="Z110" s="9"/>
      <c r="AA110" s="9"/>
      <c r="AB110" s="9"/>
      <c r="AC110" s="10" t="str">
        <f aca="false">IF(Z110="","",IF(Z110=0,"Unassigned",IF(Z110=1,"Single point",IF(AB110="Yes","Staffed and credentialed","Staffed, credential gap"))))</f>
        <v/>
      </c>
      <c r="AD110" s="10" t="str">
        <f aca="false">IFERROR(INDEX(Lists!$H$3:$H$6,MATCH(AC110,Lists!$G$3:$G$6,0)),"")</f>
        <v/>
      </c>
      <c r="AE110" s="8"/>
      <c r="AF110" s="10" t="str">
        <f aca="false">IFERROR(INDEX(Lists!$B$3:$B$7,MATCH(AE110,Lists!$A$3:$A$7,0)),"")</f>
        <v/>
      </c>
      <c r="AG110" s="8"/>
      <c r="AH110" s="8"/>
      <c r="AI110" s="8"/>
      <c r="AJ110" s="8"/>
      <c r="AK110" s="8"/>
      <c r="AL110" s="8"/>
      <c r="AM110" s="11" t="str">
        <f aca="false">IF(OR(AJ110="",AJ110=0),"",AL110/AJ110)</f>
        <v/>
      </c>
      <c r="AN110" s="8"/>
      <c r="AO110" s="8"/>
      <c r="AP110" s="10" t="str">
        <f aca="false">IF(AN110="","Not assessed",IF(AND(R110="No",AN110="Gap - recommend tailoring"),"INVALID: HSSB is not tailorable",IF(OR(Z110="",Z110=0),"NO NAMED EXECUTOR",IF(AND(N(AF110)&gt;=3,AJ110=""),"Operating claimed with no sample",IF(AND(N(AF110)&gt;=3,Z110=1),"Operating rests on one individual",IF(AND(N(AF110)&gt;=3,AB110&lt;&gt;"Yes"),"Operating claimed below designed credential",IF(AND(R110="No",N(AF110)&lt;3),"HSSB GATE: below Operating",IF(AND(N(AF110)&gt;=3,AJ110&lt;&gt;"",AL110=""),"Sample size with no conforming count","OK"))))))))</f>
        <v>Not assessed</v>
      </c>
      <c r="AQ110" s="8"/>
      <c r="AR110" s="8"/>
      <c r="AS110" s="8"/>
    </row>
    <row r="111" customFormat="false" ht="22.35" hidden="false" customHeight="false" outlineLevel="0" collapsed="false">
      <c r="A111" s="12" t="s">
        <v>324</v>
      </c>
      <c r="B111" s="12" t="s">
        <v>288</v>
      </c>
      <c r="C111" s="12" t="s">
        <v>316</v>
      </c>
      <c r="D111" s="12" t="s">
        <v>317</v>
      </c>
      <c r="E111" s="12" t="s">
        <v>121</v>
      </c>
      <c r="F111" s="12"/>
      <c r="G111" s="13" t="s">
        <v>85</v>
      </c>
      <c r="H111" s="13" t="s">
        <v>325</v>
      </c>
      <c r="I111" s="12" t="s">
        <v>240</v>
      </c>
      <c r="J111" s="12" t="s">
        <v>292</v>
      </c>
      <c r="K111" s="12" t="s">
        <v>293</v>
      </c>
      <c r="L111" s="12" t="s">
        <v>93</v>
      </c>
      <c r="M111" s="12" t="s">
        <v>94</v>
      </c>
      <c r="N111" s="12" t="s">
        <v>244</v>
      </c>
      <c r="O111" s="12" t="s">
        <v>195</v>
      </c>
      <c r="P111" s="12" t="s">
        <v>245</v>
      </c>
      <c r="Q111" s="12" t="s">
        <v>96</v>
      </c>
      <c r="R111" s="12" t="s">
        <v>82</v>
      </c>
      <c r="S111" s="12"/>
      <c r="T111" s="12" t="s">
        <v>294</v>
      </c>
      <c r="U111" s="8"/>
      <c r="V111" s="8"/>
      <c r="W111" s="8"/>
      <c r="X111" s="8"/>
      <c r="Y111" s="9"/>
      <c r="Z111" s="9"/>
      <c r="AA111" s="9"/>
      <c r="AB111" s="9"/>
      <c r="AC111" s="10" t="str">
        <f aca="false">IF(Z111="","",IF(Z111=0,"Unassigned",IF(Z111=1,"Single point",IF(AB111="Yes","Staffed and credentialed","Staffed, credential gap"))))</f>
        <v/>
      </c>
      <c r="AD111" s="10" t="str">
        <f aca="false">IFERROR(INDEX(Lists!$H$3:$H$6,MATCH(AC111,Lists!$G$3:$G$6,0)),"")</f>
        <v/>
      </c>
      <c r="AE111" s="8"/>
      <c r="AF111" s="10" t="str">
        <f aca="false">IFERROR(INDEX(Lists!$B$3:$B$7,MATCH(AE111,Lists!$A$3:$A$7,0)),"")</f>
        <v/>
      </c>
      <c r="AG111" s="8"/>
      <c r="AH111" s="8"/>
      <c r="AI111" s="8"/>
      <c r="AJ111" s="8"/>
      <c r="AK111" s="8"/>
      <c r="AL111" s="8"/>
      <c r="AM111" s="11" t="str">
        <f aca="false">IF(OR(AJ111="",AJ111=0),"",AL111/AJ111)</f>
        <v/>
      </c>
      <c r="AN111" s="8"/>
      <c r="AO111" s="8"/>
      <c r="AP111" s="10" t="str">
        <f aca="false">IF(AN111="","Not assessed",IF(AND(R111="No",AN111="Gap - recommend tailoring"),"INVALID: HSSB is not tailorable",IF(OR(Z111="",Z111=0),"NO NAMED EXECUTOR",IF(AND(N(AF111)&gt;=3,AJ111=""),"Operating claimed with no sample",IF(AND(N(AF111)&gt;=3,Z111=1),"Operating rests on one individual",IF(AND(N(AF111)&gt;=3,AB111&lt;&gt;"Yes"),"Operating claimed below designed credential",IF(AND(R111="No",N(AF111)&lt;3),"HSSB GATE: below Operating",IF(AND(N(AF111)&gt;=3,AJ111&lt;&gt;"",AL111=""),"Sample size with no conforming count","OK"))))))))</f>
        <v>Not assessed</v>
      </c>
      <c r="AQ111" s="8"/>
      <c r="AR111" s="8"/>
      <c r="AS111" s="8"/>
    </row>
    <row r="112" customFormat="false" ht="22.35" hidden="false" customHeight="false" outlineLevel="0" collapsed="false">
      <c r="A112" s="12" t="s">
        <v>326</v>
      </c>
      <c r="B112" s="12" t="s">
        <v>288</v>
      </c>
      <c r="C112" s="12" t="s">
        <v>316</v>
      </c>
      <c r="D112" s="12" t="s">
        <v>317</v>
      </c>
      <c r="E112" s="12" t="s">
        <v>123</v>
      </c>
      <c r="F112" s="12"/>
      <c r="G112" s="13" t="s">
        <v>85</v>
      </c>
      <c r="H112" s="13" t="s">
        <v>327</v>
      </c>
      <c r="I112" s="12" t="s">
        <v>240</v>
      </c>
      <c r="J112" s="12" t="s">
        <v>292</v>
      </c>
      <c r="K112" s="12" t="s">
        <v>293</v>
      </c>
      <c r="L112" s="12" t="s">
        <v>93</v>
      </c>
      <c r="M112" s="12" t="s">
        <v>94</v>
      </c>
      <c r="N112" s="12" t="s">
        <v>244</v>
      </c>
      <c r="O112" s="12" t="s">
        <v>195</v>
      </c>
      <c r="P112" s="12" t="s">
        <v>245</v>
      </c>
      <c r="Q112" s="12" t="s">
        <v>96</v>
      </c>
      <c r="R112" s="12" t="s">
        <v>82</v>
      </c>
      <c r="S112" s="12"/>
      <c r="T112" s="12" t="s">
        <v>294</v>
      </c>
      <c r="U112" s="8"/>
      <c r="V112" s="8"/>
      <c r="W112" s="8"/>
      <c r="X112" s="8"/>
      <c r="Y112" s="9"/>
      <c r="Z112" s="9"/>
      <c r="AA112" s="9"/>
      <c r="AB112" s="9"/>
      <c r="AC112" s="10" t="str">
        <f aca="false">IF(Z112="","",IF(Z112=0,"Unassigned",IF(Z112=1,"Single point",IF(AB112="Yes","Staffed and credentialed","Staffed, credential gap"))))</f>
        <v/>
      </c>
      <c r="AD112" s="10" t="str">
        <f aca="false">IFERROR(INDEX(Lists!$H$3:$H$6,MATCH(AC112,Lists!$G$3:$G$6,0)),"")</f>
        <v/>
      </c>
      <c r="AE112" s="8"/>
      <c r="AF112" s="10" t="str">
        <f aca="false">IFERROR(INDEX(Lists!$B$3:$B$7,MATCH(AE112,Lists!$A$3:$A$7,0)),"")</f>
        <v/>
      </c>
      <c r="AG112" s="8"/>
      <c r="AH112" s="8"/>
      <c r="AI112" s="8"/>
      <c r="AJ112" s="8"/>
      <c r="AK112" s="8"/>
      <c r="AL112" s="8"/>
      <c r="AM112" s="11" t="str">
        <f aca="false">IF(OR(AJ112="",AJ112=0),"",AL112/AJ112)</f>
        <v/>
      </c>
      <c r="AN112" s="8"/>
      <c r="AO112" s="8"/>
      <c r="AP112" s="10" t="str">
        <f aca="false">IF(AN112="","Not assessed",IF(AND(R112="No",AN112="Gap - recommend tailoring"),"INVALID: HSSB is not tailorable",IF(OR(Z112="",Z112=0),"NO NAMED EXECUTOR",IF(AND(N(AF112)&gt;=3,AJ112=""),"Operating claimed with no sample",IF(AND(N(AF112)&gt;=3,Z112=1),"Operating rests on one individual",IF(AND(N(AF112)&gt;=3,AB112&lt;&gt;"Yes"),"Operating claimed below designed credential",IF(AND(R112="No",N(AF112)&lt;3),"HSSB GATE: below Operating",IF(AND(N(AF112)&gt;=3,AJ112&lt;&gt;"",AL112=""),"Sample size with no conforming count","OK"))))))))</f>
        <v>Not assessed</v>
      </c>
      <c r="AQ112" s="8"/>
      <c r="AR112" s="8"/>
      <c r="AS112" s="8"/>
    </row>
    <row r="113" customFormat="false" ht="22.35" hidden="false" customHeight="false" outlineLevel="0" collapsed="false">
      <c r="A113" s="12" t="s">
        <v>328</v>
      </c>
      <c r="B113" s="12" t="s">
        <v>288</v>
      </c>
      <c r="C113" s="12" t="s">
        <v>316</v>
      </c>
      <c r="D113" s="12" t="s">
        <v>317</v>
      </c>
      <c r="E113" s="12" t="s">
        <v>125</v>
      </c>
      <c r="F113" s="12"/>
      <c r="G113" s="13" t="s">
        <v>85</v>
      </c>
      <c r="H113" s="13" t="s">
        <v>329</v>
      </c>
      <c r="I113" s="12" t="s">
        <v>240</v>
      </c>
      <c r="J113" s="12" t="s">
        <v>292</v>
      </c>
      <c r="K113" s="12" t="s">
        <v>293</v>
      </c>
      <c r="L113" s="12" t="s">
        <v>93</v>
      </c>
      <c r="M113" s="12" t="s">
        <v>94</v>
      </c>
      <c r="N113" s="12" t="s">
        <v>330</v>
      </c>
      <c r="O113" s="12" t="s">
        <v>331</v>
      </c>
      <c r="P113" s="12" t="s">
        <v>332</v>
      </c>
      <c r="Q113" s="12" t="s">
        <v>195</v>
      </c>
      <c r="R113" s="12" t="s">
        <v>82</v>
      </c>
      <c r="S113" s="12"/>
      <c r="T113" s="12" t="s">
        <v>294</v>
      </c>
      <c r="U113" s="8"/>
      <c r="V113" s="8"/>
      <c r="W113" s="8"/>
      <c r="X113" s="8"/>
      <c r="Y113" s="9"/>
      <c r="Z113" s="9"/>
      <c r="AA113" s="9"/>
      <c r="AB113" s="9"/>
      <c r="AC113" s="10" t="str">
        <f aca="false">IF(Z113="","",IF(Z113=0,"Unassigned",IF(Z113=1,"Single point",IF(AB113="Yes","Staffed and credentialed","Staffed, credential gap"))))</f>
        <v/>
      </c>
      <c r="AD113" s="10" t="str">
        <f aca="false">IFERROR(INDEX(Lists!$H$3:$H$6,MATCH(AC113,Lists!$G$3:$G$6,0)),"")</f>
        <v/>
      </c>
      <c r="AE113" s="8"/>
      <c r="AF113" s="10" t="str">
        <f aca="false">IFERROR(INDEX(Lists!$B$3:$B$7,MATCH(AE113,Lists!$A$3:$A$7,0)),"")</f>
        <v/>
      </c>
      <c r="AG113" s="8"/>
      <c r="AH113" s="8"/>
      <c r="AI113" s="8"/>
      <c r="AJ113" s="8"/>
      <c r="AK113" s="8"/>
      <c r="AL113" s="8"/>
      <c r="AM113" s="11" t="str">
        <f aca="false">IF(OR(AJ113="",AJ113=0),"",AL113/AJ113)</f>
        <v/>
      </c>
      <c r="AN113" s="8"/>
      <c r="AO113" s="8"/>
      <c r="AP113" s="10" t="str">
        <f aca="false">IF(AN113="","Not assessed",IF(AND(R113="No",AN113="Gap - recommend tailoring"),"INVALID: HSSB is not tailorable",IF(OR(Z113="",Z113=0),"NO NAMED EXECUTOR",IF(AND(N(AF113)&gt;=3,AJ113=""),"Operating claimed with no sample",IF(AND(N(AF113)&gt;=3,Z113=1),"Operating rests on one individual",IF(AND(N(AF113)&gt;=3,AB113&lt;&gt;"Yes"),"Operating claimed below designed credential",IF(AND(R113="No",N(AF113)&lt;3),"HSSB GATE: below Operating",IF(AND(N(AF113)&gt;=3,AJ113&lt;&gt;"",AL113=""),"Sample size with no conforming count","OK"))))))))</f>
        <v>Not assessed</v>
      </c>
      <c r="AQ113" s="8"/>
      <c r="AR113" s="8"/>
      <c r="AS113" s="8"/>
    </row>
    <row r="114" customFormat="false" ht="22.35" hidden="false" customHeight="false" outlineLevel="0" collapsed="false">
      <c r="A114" s="12" t="s">
        <v>333</v>
      </c>
      <c r="B114" s="12" t="s">
        <v>288</v>
      </c>
      <c r="C114" s="12" t="s">
        <v>316</v>
      </c>
      <c r="D114" s="12" t="s">
        <v>317</v>
      </c>
      <c r="E114" s="12" t="s">
        <v>127</v>
      </c>
      <c r="F114" s="12"/>
      <c r="G114" s="13" t="s">
        <v>85</v>
      </c>
      <c r="H114" s="13" t="s">
        <v>334</v>
      </c>
      <c r="I114" s="12" t="s">
        <v>240</v>
      </c>
      <c r="J114" s="12" t="s">
        <v>292</v>
      </c>
      <c r="K114" s="12" t="s">
        <v>293</v>
      </c>
      <c r="L114" s="12" t="s">
        <v>93</v>
      </c>
      <c r="M114" s="12" t="s">
        <v>94</v>
      </c>
      <c r="N114" s="12" t="s">
        <v>95</v>
      </c>
      <c r="O114" s="12" t="s">
        <v>96</v>
      </c>
      <c r="P114" s="12" t="s">
        <v>97</v>
      </c>
      <c r="Q114" s="12" t="s">
        <v>195</v>
      </c>
      <c r="R114" s="12" t="s">
        <v>82</v>
      </c>
      <c r="S114" s="12"/>
      <c r="T114" s="12" t="s">
        <v>294</v>
      </c>
      <c r="U114" s="8"/>
      <c r="V114" s="8"/>
      <c r="W114" s="8"/>
      <c r="X114" s="8"/>
      <c r="Y114" s="9"/>
      <c r="Z114" s="9"/>
      <c r="AA114" s="9"/>
      <c r="AB114" s="9"/>
      <c r="AC114" s="10" t="str">
        <f aca="false">IF(Z114="","",IF(Z114=0,"Unassigned",IF(Z114=1,"Single point",IF(AB114="Yes","Staffed and credentialed","Staffed, credential gap"))))</f>
        <v/>
      </c>
      <c r="AD114" s="10" t="str">
        <f aca="false">IFERROR(INDEX(Lists!$H$3:$H$6,MATCH(AC114,Lists!$G$3:$G$6,0)),"")</f>
        <v/>
      </c>
      <c r="AE114" s="8"/>
      <c r="AF114" s="10" t="str">
        <f aca="false">IFERROR(INDEX(Lists!$B$3:$B$7,MATCH(AE114,Lists!$A$3:$A$7,0)),"")</f>
        <v/>
      </c>
      <c r="AG114" s="8"/>
      <c r="AH114" s="8"/>
      <c r="AI114" s="8"/>
      <c r="AJ114" s="8"/>
      <c r="AK114" s="8"/>
      <c r="AL114" s="8"/>
      <c r="AM114" s="11" t="str">
        <f aca="false">IF(OR(AJ114="",AJ114=0),"",AL114/AJ114)</f>
        <v/>
      </c>
      <c r="AN114" s="8"/>
      <c r="AO114" s="8"/>
      <c r="AP114" s="10" t="str">
        <f aca="false">IF(AN114="","Not assessed",IF(AND(R114="No",AN114="Gap - recommend tailoring"),"INVALID: HSSB is not tailorable",IF(OR(Z114="",Z114=0),"NO NAMED EXECUTOR",IF(AND(N(AF114)&gt;=3,AJ114=""),"Operating claimed with no sample",IF(AND(N(AF114)&gt;=3,Z114=1),"Operating rests on one individual",IF(AND(N(AF114)&gt;=3,AB114&lt;&gt;"Yes"),"Operating claimed below designed credential",IF(AND(R114="No",N(AF114)&lt;3),"HSSB GATE: below Operating",IF(AND(N(AF114)&gt;=3,AJ114&lt;&gt;"",AL114=""),"Sample size with no conforming count","OK"))))))))</f>
        <v>Not assessed</v>
      </c>
      <c r="AQ114" s="8"/>
      <c r="AR114" s="8"/>
      <c r="AS114" s="8"/>
    </row>
    <row r="115" customFormat="false" ht="22.35" hidden="false" customHeight="false" outlineLevel="0" collapsed="false">
      <c r="A115" s="6" t="s">
        <v>335</v>
      </c>
      <c r="B115" s="6" t="s">
        <v>288</v>
      </c>
      <c r="C115" s="6" t="s">
        <v>316</v>
      </c>
      <c r="D115" s="6" t="s">
        <v>317</v>
      </c>
      <c r="E115" s="6" t="s">
        <v>129</v>
      </c>
      <c r="F115" s="7"/>
      <c r="G115" s="6" t="s">
        <v>82</v>
      </c>
      <c r="H115" s="6"/>
      <c r="I115" s="6"/>
      <c r="J115" s="6"/>
      <c r="K115" s="6"/>
      <c r="L115" s="6" t="s">
        <v>83</v>
      </c>
      <c r="M115" s="6" t="s">
        <v>84</v>
      </c>
      <c r="N115" s="6"/>
      <c r="O115" s="6"/>
      <c r="P115" s="6"/>
      <c r="Q115" s="6"/>
      <c r="R115" s="6" t="s">
        <v>85</v>
      </c>
      <c r="S115" s="6"/>
      <c r="T115" s="6" t="s">
        <v>294</v>
      </c>
      <c r="U115" s="8"/>
      <c r="V115" s="8"/>
      <c r="W115" s="8"/>
      <c r="X115" s="8"/>
      <c r="Y115" s="9"/>
      <c r="Z115" s="9"/>
      <c r="AA115" s="9"/>
      <c r="AB115" s="9"/>
      <c r="AC115" s="10" t="str">
        <f aca="false">IF(Z115="","",IF(Z115=0,"Unassigned",IF(Z115=1,"Single point",IF(AB115="Yes","Staffed and credentialed","Staffed, credential gap"))))</f>
        <v/>
      </c>
      <c r="AD115" s="10" t="str">
        <f aca="false">IFERROR(INDEX(Lists!$H$3:$H$6,MATCH(AC115,Lists!$G$3:$G$6,0)),"")</f>
        <v/>
      </c>
      <c r="AE115" s="8"/>
      <c r="AF115" s="10" t="str">
        <f aca="false">IFERROR(INDEX(Lists!$B$3:$B$7,MATCH(AE115,Lists!$A$3:$A$7,0)),"")</f>
        <v/>
      </c>
      <c r="AG115" s="8"/>
      <c r="AH115" s="8"/>
      <c r="AI115" s="8"/>
      <c r="AJ115" s="8"/>
      <c r="AK115" s="8"/>
      <c r="AL115" s="8"/>
      <c r="AM115" s="11" t="str">
        <f aca="false">IF(OR(AJ115="",AJ115=0),"",AL115/AJ115)</f>
        <v/>
      </c>
      <c r="AN115" s="8"/>
      <c r="AO115" s="8"/>
      <c r="AP115" s="10" t="str">
        <f aca="false">IF(AN115="","Not assessed",IF(AND(R115="No",AN115="Gap - recommend tailoring"),"INVALID: HSSB is not tailorable",IF(OR(Z115="",Z115=0),"NO NAMED EXECUTOR",IF(AND(N(AF115)&gt;=3,AJ115=""),"Operating claimed with no sample",IF(AND(N(AF115)&gt;=3,Z115=1),"Operating rests on one individual",IF(AND(N(AF115)&gt;=3,AB115&lt;&gt;"Yes"),"Operating claimed below designed credential",IF(AND(R115="No",N(AF115)&lt;3),"HSSB GATE: below Operating",IF(AND(N(AF115)&gt;=3,AJ115&lt;&gt;"",AL115=""),"Sample size with no conforming count","OK"))))))))</f>
        <v>Not assessed</v>
      </c>
      <c r="AQ115" s="8"/>
      <c r="AR115" s="8"/>
      <c r="AS115" s="8"/>
    </row>
    <row r="116" customFormat="false" ht="22.35" hidden="false" customHeight="false" outlineLevel="0" collapsed="false">
      <c r="A116" s="6" t="s">
        <v>336</v>
      </c>
      <c r="B116" s="6" t="s">
        <v>288</v>
      </c>
      <c r="C116" s="6" t="s">
        <v>316</v>
      </c>
      <c r="D116" s="6" t="s">
        <v>317</v>
      </c>
      <c r="E116" s="6" t="s">
        <v>131</v>
      </c>
      <c r="F116" s="7"/>
      <c r="G116" s="6" t="s">
        <v>82</v>
      </c>
      <c r="H116" s="6"/>
      <c r="I116" s="6"/>
      <c r="J116" s="6"/>
      <c r="K116" s="6"/>
      <c r="L116" s="6" t="s">
        <v>83</v>
      </c>
      <c r="M116" s="6" t="s">
        <v>84</v>
      </c>
      <c r="N116" s="6"/>
      <c r="O116" s="6"/>
      <c r="P116" s="6"/>
      <c r="Q116" s="6"/>
      <c r="R116" s="6" t="s">
        <v>85</v>
      </c>
      <c r="S116" s="6"/>
      <c r="T116" s="6" t="s">
        <v>294</v>
      </c>
      <c r="U116" s="8"/>
      <c r="V116" s="8"/>
      <c r="W116" s="8"/>
      <c r="X116" s="8"/>
      <c r="Y116" s="9"/>
      <c r="Z116" s="9"/>
      <c r="AA116" s="9"/>
      <c r="AB116" s="9"/>
      <c r="AC116" s="10" t="str">
        <f aca="false">IF(Z116="","",IF(Z116=0,"Unassigned",IF(Z116=1,"Single point",IF(AB116="Yes","Staffed and credentialed","Staffed, credential gap"))))</f>
        <v/>
      </c>
      <c r="AD116" s="10" t="str">
        <f aca="false">IFERROR(INDEX(Lists!$H$3:$H$6,MATCH(AC116,Lists!$G$3:$G$6,0)),"")</f>
        <v/>
      </c>
      <c r="AE116" s="8"/>
      <c r="AF116" s="10" t="str">
        <f aca="false">IFERROR(INDEX(Lists!$B$3:$B$7,MATCH(AE116,Lists!$A$3:$A$7,0)),"")</f>
        <v/>
      </c>
      <c r="AG116" s="8"/>
      <c r="AH116" s="8"/>
      <c r="AI116" s="8"/>
      <c r="AJ116" s="8"/>
      <c r="AK116" s="8"/>
      <c r="AL116" s="8"/>
      <c r="AM116" s="11" t="str">
        <f aca="false">IF(OR(AJ116="",AJ116=0),"",AL116/AJ116)</f>
        <v/>
      </c>
      <c r="AN116" s="8"/>
      <c r="AO116" s="8"/>
      <c r="AP116" s="10" t="str">
        <f aca="false">IF(AN116="","Not assessed",IF(AND(R116="No",AN116="Gap - recommend tailoring"),"INVALID: HSSB is not tailorable",IF(OR(Z116="",Z116=0),"NO NAMED EXECUTOR",IF(AND(N(AF116)&gt;=3,AJ116=""),"Operating claimed with no sample",IF(AND(N(AF116)&gt;=3,Z116=1),"Operating rests on one individual",IF(AND(N(AF116)&gt;=3,AB116&lt;&gt;"Yes"),"Operating claimed below designed credential",IF(AND(R116="No",N(AF116)&lt;3),"HSSB GATE: below Operating",IF(AND(N(AF116)&gt;=3,AJ116&lt;&gt;"",AL116=""),"Sample size with no conforming count","OK"))))))))</f>
        <v>Not assessed</v>
      </c>
      <c r="AQ116" s="8"/>
      <c r="AR116" s="8"/>
      <c r="AS116" s="8"/>
    </row>
    <row r="117" customFormat="false" ht="22.35" hidden="false" customHeight="false" outlineLevel="0" collapsed="false">
      <c r="A117" s="6" t="s">
        <v>337</v>
      </c>
      <c r="B117" s="6" t="s">
        <v>288</v>
      </c>
      <c r="C117" s="6" t="s">
        <v>316</v>
      </c>
      <c r="D117" s="6" t="s">
        <v>317</v>
      </c>
      <c r="E117" s="6" t="s">
        <v>133</v>
      </c>
      <c r="F117" s="7"/>
      <c r="G117" s="6" t="s">
        <v>82</v>
      </c>
      <c r="H117" s="6"/>
      <c r="I117" s="6"/>
      <c r="J117" s="6"/>
      <c r="K117" s="6"/>
      <c r="L117" s="6" t="s">
        <v>83</v>
      </c>
      <c r="M117" s="6" t="s">
        <v>84</v>
      </c>
      <c r="N117" s="6"/>
      <c r="O117" s="6"/>
      <c r="P117" s="6"/>
      <c r="Q117" s="6"/>
      <c r="R117" s="6" t="s">
        <v>85</v>
      </c>
      <c r="S117" s="6"/>
      <c r="T117" s="6" t="s">
        <v>294</v>
      </c>
      <c r="U117" s="8"/>
      <c r="V117" s="8"/>
      <c r="W117" s="8"/>
      <c r="X117" s="8"/>
      <c r="Y117" s="9"/>
      <c r="Z117" s="9"/>
      <c r="AA117" s="9"/>
      <c r="AB117" s="9"/>
      <c r="AC117" s="10" t="str">
        <f aca="false">IF(Z117="","",IF(Z117=0,"Unassigned",IF(Z117=1,"Single point",IF(AB117="Yes","Staffed and credentialed","Staffed, credential gap"))))</f>
        <v/>
      </c>
      <c r="AD117" s="10" t="str">
        <f aca="false">IFERROR(INDEX(Lists!$H$3:$H$6,MATCH(AC117,Lists!$G$3:$G$6,0)),"")</f>
        <v/>
      </c>
      <c r="AE117" s="8"/>
      <c r="AF117" s="10" t="str">
        <f aca="false">IFERROR(INDEX(Lists!$B$3:$B$7,MATCH(AE117,Lists!$A$3:$A$7,0)),"")</f>
        <v/>
      </c>
      <c r="AG117" s="8"/>
      <c r="AH117" s="8"/>
      <c r="AI117" s="8"/>
      <c r="AJ117" s="8"/>
      <c r="AK117" s="8"/>
      <c r="AL117" s="8"/>
      <c r="AM117" s="11" t="str">
        <f aca="false">IF(OR(AJ117="",AJ117=0),"",AL117/AJ117)</f>
        <v/>
      </c>
      <c r="AN117" s="8"/>
      <c r="AO117" s="8"/>
      <c r="AP117" s="10" t="str">
        <f aca="false">IF(AN117="","Not assessed",IF(AND(R117="No",AN117="Gap - recommend tailoring"),"INVALID: HSSB is not tailorable",IF(OR(Z117="",Z117=0),"NO NAMED EXECUTOR",IF(AND(N(AF117)&gt;=3,AJ117=""),"Operating claimed with no sample",IF(AND(N(AF117)&gt;=3,Z117=1),"Operating rests on one individual",IF(AND(N(AF117)&gt;=3,AB117&lt;&gt;"Yes"),"Operating claimed below designed credential",IF(AND(R117="No",N(AF117)&lt;3),"HSSB GATE: below Operating",IF(AND(N(AF117)&gt;=3,AJ117&lt;&gt;"",AL117=""),"Sample size with no conforming count","OK"))))))))</f>
        <v>Not assessed</v>
      </c>
      <c r="AQ117" s="8"/>
      <c r="AR117" s="8"/>
      <c r="AS117" s="8"/>
    </row>
    <row r="118" customFormat="false" ht="22.35" hidden="false" customHeight="false" outlineLevel="0" collapsed="false">
      <c r="A118" s="6" t="s">
        <v>338</v>
      </c>
      <c r="B118" s="6" t="s">
        <v>288</v>
      </c>
      <c r="C118" s="6" t="s">
        <v>316</v>
      </c>
      <c r="D118" s="6" t="s">
        <v>317</v>
      </c>
      <c r="E118" s="6" t="s">
        <v>339</v>
      </c>
      <c r="F118" s="7"/>
      <c r="G118" s="6" t="s">
        <v>82</v>
      </c>
      <c r="H118" s="6"/>
      <c r="I118" s="6"/>
      <c r="J118" s="6"/>
      <c r="K118" s="6"/>
      <c r="L118" s="6" t="s">
        <v>83</v>
      </c>
      <c r="M118" s="6" t="s">
        <v>84</v>
      </c>
      <c r="N118" s="6"/>
      <c r="O118" s="6"/>
      <c r="P118" s="6"/>
      <c r="Q118" s="6"/>
      <c r="R118" s="6" t="s">
        <v>85</v>
      </c>
      <c r="S118" s="6"/>
      <c r="T118" s="6" t="s">
        <v>294</v>
      </c>
      <c r="U118" s="8"/>
      <c r="V118" s="8"/>
      <c r="W118" s="8"/>
      <c r="X118" s="8"/>
      <c r="Y118" s="9"/>
      <c r="Z118" s="9"/>
      <c r="AA118" s="9"/>
      <c r="AB118" s="9"/>
      <c r="AC118" s="10" t="str">
        <f aca="false">IF(Z118="","",IF(Z118=0,"Unassigned",IF(Z118=1,"Single point",IF(AB118="Yes","Staffed and credentialed","Staffed, credential gap"))))</f>
        <v/>
      </c>
      <c r="AD118" s="10" t="str">
        <f aca="false">IFERROR(INDEX(Lists!$H$3:$H$6,MATCH(AC118,Lists!$G$3:$G$6,0)),"")</f>
        <v/>
      </c>
      <c r="AE118" s="8"/>
      <c r="AF118" s="10" t="str">
        <f aca="false">IFERROR(INDEX(Lists!$B$3:$B$7,MATCH(AE118,Lists!$A$3:$A$7,0)),"")</f>
        <v/>
      </c>
      <c r="AG118" s="8"/>
      <c r="AH118" s="8"/>
      <c r="AI118" s="8"/>
      <c r="AJ118" s="8"/>
      <c r="AK118" s="8"/>
      <c r="AL118" s="8"/>
      <c r="AM118" s="11" t="str">
        <f aca="false">IF(OR(AJ118="",AJ118=0),"",AL118/AJ118)</f>
        <v/>
      </c>
      <c r="AN118" s="8"/>
      <c r="AO118" s="8"/>
      <c r="AP118" s="10" t="str">
        <f aca="false">IF(AN118="","Not assessed",IF(AND(R118="No",AN118="Gap - recommend tailoring"),"INVALID: HSSB is not tailorable",IF(OR(Z118="",Z118=0),"NO NAMED EXECUTOR",IF(AND(N(AF118)&gt;=3,AJ118=""),"Operating claimed with no sample",IF(AND(N(AF118)&gt;=3,Z118=1),"Operating rests on one individual",IF(AND(N(AF118)&gt;=3,AB118&lt;&gt;"Yes"),"Operating claimed below designed credential",IF(AND(R118="No",N(AF118)&lt;3),"HSSB GATE: below Operating",IF(AND(N(AF118)&gt;=3,AJ118&lt;&gt;"",AL118=""),"Sample size with no conforming count","OK"))))))))</f>
        <v>Not assessed</v>
      </c>
      <c r="AQ118" s="8"/>
      <c r="AR118" s="8"/>
      <c r="AS118" s="8"/>
    </row>
    <row r="119" customFormat="false" ht="22.35" hidden="false" customHeight="false" outlineLevel="0" collapsed="false">
      <c r="A119" s="12" t="s">
        <v>340</v>
      </c>
      <c r="B119" s="12" t="s">
        <v>288</v>
      </c>
      <c r="C119" s="12" t="s">
        <v>341</v>
      </c>
      <c r="D119" s="12" t="s">
        <v>342</v>
      </c>
      <c r="E119" s="12" t="s">
        <v>81</v>
      </c>
      <c r="F119" s="12"/>
      <c r="G119" s="13" t="s">
        <v>85</v>
      </c>
      <c r="H119" s="13" t="s">
        <v>343</v>
      </c>
      <c r="I119" s="12" t="s">
        <v>192</v>
      </c>
      <c r="J119" s="12" t="s">
        <v>308</v>
      </c>
      <c r="K119" s="12" t="s">
        <v>309</v>
      </c>
      <c r="L119" s="12" t="s">
        <v>93</v>
      </c>
      <c r="M119" s="12" t="s">
        <v>94</v>
      </c>
      <c r="N119" s="12" t="s">
        <v>95</v>
      </c>
      <c r="O119" s="12" t="s">
        <v>96</v>
      </c>
      <c r="P119" s="12" t="s">
        <v>97</v>
      </c>
      <c r="Q119" s="12" t="s">
        <v>195</v>
      </c>
      <c r="R119" s="12" t="s">
        <v>82</v>
      </c>
      <c r="S119" s="12"/>
      <c r="T119" s="12" t="s">
        <v>294</v>
      </c>
      <c r="U119" s="8"/>
      <c r="V119" s="8"/>
      <c r="W119" s="8"/>
      <c r="X119" s="8"/>
      <c r="Y119" s="9"/>
      <c r="Z119" s="9"/>
      <c r="AA119" s="9"/>
      <c r="AB119" s="9"/>
      <c r="AC119" s="10" t="str">
        <f aca="false">IF(Z119="","",IF(Z119=0,"Unassigned",IF(Z119=1,"Single point",IF(AB119="Yes","Staffed and credentialed","Staffed, credential gap"))))</f>
        <v/>
      </c>
      <c r="AD119" s="10" t="str">
        <f aca="false">IFERROR(INDEX(Lists!$H$3:$H$6,MATCH(AC119,Lists!$G$3:$G$6,0)),"")</f>
        <v/>
      </c>
      <c r="AE119" s="8"/>
      <c r="AF119" s="10" t="str">
        <f aca="false">IFERROR(INDEX(Lists!$B$3:$B$7,MATCH(AE119,Lists!$A$3:$A$7,0)),"")</f>
        <v/>
      </c>
      <c r="AG119" s="8"/>
      <c r="AH119" s="8"/>
      <c r="AI119" s="8"/>
      <c r="AJ119" s="8"/>
      <c r="AK119" s="8"/>
      <c r="AL119" s="8"/>
      <c r="AM119" s="11" t="str">
        <f aca="false">IF(OR(AJ119="",AJ119=0),"",AL119/AJ119)</f>
        <v/>
      </c>
      <c r="AN119" s="8"/>
      <c r="AO119" s="8"/>
      <c r="AP119" s="10" t="str">
        <f aca="false">IF(AN119="","Not assessed",IF(AND(R119="No",AN119="Gap - recommend tailoring"),"INVALID: HSSB is not tailorable",IF(OR(Z119="",Z119=0),"NO NAMED EXECUTOR",IF(AND(N(AF119)&gt;=3,AJ119=""),"Operating claimed with no sample",IF(AND(N(AF119)&gt;=3,Z119=1),"Operating rests on one individual",IF(AND(N(AF119)&gt;=3,AB119&lt;&gt;"Yes"),"Operating claimed below designed credential",IF(AND(R119="No",N(AF119)&lt;3),"HSSB GATE: below Operating",IF(AND(N(AF119)&gt;=3,AJ119&lt;&gt;"",AL119=""),"Sample size with no conforming count","OK"))))))))</f>
        <v>Not assessed</v>
      </c>
      <c r="AQ119" s="8"/>
      <c r="AR119" s="8"/>
      <c r="AS119" s="8"/>
    </row>
    <row r="120" customFormat="false" ht="22.35" hidden="false" customHeight="false" outlineLevel="0" collapsed="false">
      <c r="A120" s="6" t="s">
        <v>344</v>
      </c>
      <c r="B120" s="6" t="s">
        <v>288</v>
      </c>
      <c r="C120" s="6" t="s">
        <v>341</v>
      </c>
      <c r="D120" s="6" t="s">
        <v>342</v>
      </c>
      <c r="E120" s="6" t="s">
        <v>156</v>
      </c>
      <c r="F120" s="7"/>
      <c r="G120" s="6" t="s">
        <v>82</v>
      </c>
      <c r="H120" s="6"/>
      <c r="I120" s="6"/>
      <c r="J120" s="6"/>
      <c r="K120" s="6"/>
      <c r="L120" s="6" t="s">
        <v>83</v>
      </c>
      <c r="M120" s="6" t="s">
        <v>84</v>
      </c>
      <c r="N120" s="6"/>
      <c r="O120" s="6"/>
      <c r="P120" s="6"/>
      <c r="Q120" s="6"/>
      <c r="R120" s="6" t="s">
        <v>85</v>
      </c>
      <c r="S120" s="6"/>
      <c r="T120" s="6" t="s">
        <v>294</v>
      </c>
      <c r="U120" s="8"/>
      <c r="V120" s="8"/>
      <c r="W120" s="8"/>
      <c r="X120" s="8"/>
      <c r="Y120" s="9"/>
      <c r="Z120" s="9"/>
      <c r="AA120" s="9"/>
      <c r="AB120" s="9"/>
      <c r="AC120" s="10" t="str">
        <f aca="false">IF(Z120="","",IF(Z120=0,"Unassigned",IF(Z120=1,"Single point",IF(AB120="Yes","Staffed and credentialed","Staffed, credential gap"))))</f>
        <v/>
      </c>
      <c r="AD120" s="10" t="str">
        <f aca="false">IFERROR(INDEX(Lists!$H$3:$H$6,MATCH(AC120,Lists!$G$3:$G$6,0)),"")</f>
        <v/>
      </c>
      <c r="AE120" s="8"/>
      <c r="AF120" s="10" t="str">
        <f aca="false">IFERROR(INDEX(Lists!$B$3:$B$7,MATCH(AE120,Lists!$A$3:$A$7,0)),"")</f>
        <v/>
      </c>
      <c r="AG120" s="8"/>
      <c r="AH120" s="8"/>
      <c r="AI120" s="8"/>
      <c r="AJ120" s="8"/>
      <c r="AK120" s="8"/>
      <c r="AL120" s="8"/>
      <c r="AM120" s="11" t="str">
        <f aca="false">IF(OR(AJ120="",AJ120=0),"",AL120/AJ120)</f>
        <v/>
      </c>
      <c r="AN120" s="8"/>
      <c r="AO120" s="8"/>
      <c r="AP120" s="10" t="str">
        <f aca="false">IF(AN120="","Not assessed",IF(AND(R120="No",AN120="Gap - recommend tailoring"),"INVALID: HSSB is not tailorable",IF(OR(Z120="",Z120=0),"NO NAMED EXECUTOR",IF(AND(N(AF120)&gt;=3,AJ120=""),"Operating claimed with no sample",IF(AND(N(AF120)&gt;=3,Z120=1),"Operating rests on one individual",IF(AND(N(AF120)&gt;=3,AB120&lt;&gt;"Yes"),"Operating claimed below designed credential",IF(AND(R120="No",N(AF120)&lt;3),"HSSB GATE: below Operating",IF(AND(N(AF120)&gt;=3,AJ120&lt;&gt;"",AL120=""),"Sample size with no conforming count","OK"))))))))</f>
        <v>Not assessed</v>
      </c>
      <c r="AQ120" s="8"/>
      <c r="AR120" s="8"/>
      <c r="AS120" s="8"/>
    </row>
    <row r="121" customFormat="false" ht="22.35" hidden="false" customHeight="false" outlineLevel="0" collapsed="false">
      <c r="A121" s="6" t="s">
        <v>345</v>
      </c>
      <c r="B121" s="6" t="s">
        <v>288</v>
      </c>
      <c r="C121" s="6" t="s">
        <v>341</v>
      </c>
      <c r="D121" s="6" t="s">
        <v>342</v>
      </c>
      <c r="E121" s="6" t="s">
        <v>158</v>
      </c>
      <c r="F121" s="7"/>
      <c r="G121" s="6" t="s">
        <v>82</v>
      </c>
      <c r="H121" s="6"/>
      <c r="I121" s="6"/>
      <c r="J121" s="6"/>
      <c r="K121" s="6"/>
      <c r="L121" s="6" t="s">
        <v>83</v>
      </c>
      <c r="M121" s="6" t="s">
        <v>84</v>
      </c>
      <c r="N121" s="6"/>
      <c r="O121" s="6"/>
      <c r="P121" s="6"/>
      <c r="Q121" s="6"/>
      <c r="R121" s="6" t="s">
        <v>85</v>
      </c>
      <c r="S121" s="6"/>
      <c r="T121" s="6" t="s">
        <v>294</v>
      </c>
      <c r="U121" s="8"/>
      <c r="V121" s="8"/>
      <c r="W121" s="8"/>
      <c r="X121" s="8"/>
      <c r="Y121" s="9"/>
      <c r="Z121" s="9"/>
      <c r="AA121" s="9"/>
      <c r="AB121" s="9"/>
      <c r="AC121" s="10" t="str">
        <f aca="false">IF(Z121="","",IF(Z121=0,"Unassigned",IF(Z121=1,"Single point",IF(AB121="Yes","Staffed and credentialed","Staffed, credential gap"))))</f>
        <v/>
      </c>
      <c r="AD121" s="10" t="str">
        <f aca="false">IFERROR(INDEX(Lists!$H$3:$H$6,MATCH(AC121,Lists!$G$3:$G$6,0)),"")</f>
        <v/>
      </c>
      <c r="AE121" s="8"/>
      <c r="AF121" s="10" t="str">
        <f aca="false">IFERROR(INDEX(Lists!$B$3:$B$7,MATCH(AE121,Lists!$A$3:$A$7,0)),"")</f>
        <v/>
      </c>
      <c r="AG121" s="8"/>
      <c r="AH121" s="8"/>
      <c r="AI121" s="8"/>
      <c r="AJ121" s="8"/>
      <c r="AK121" s="8"/>
      <c r="AL121" s="8"/>
      <c r="AM121" s="11" t="str">
        <f aca="false">IF(OR(AJ121="",AJ121=0),"",AL121/AJ121)</f>
        <v/>
      </c>
      <c r="AN121" s="8"/>
      <c r="AO121" s="8"/>
      <c r="AP121" s="10" t="str">
        <f aca="false">IF(AN121="","Not assessed",IF(AND(R121="No",AN121="Gap - recommend tailoring"),"INVALID: HSSB is not tailorable",IF(OR(Z121="",Z121=0),"NO NAMED EXECUTOR",IF(AND(N(AF121)&gt;=3,AJ121=""),"Operating claimed with no sample",IF(AND(N(AF121)&gt;=3,Z121=1),"Operating rests on one individual",IF(AND(N(AF121)&gt;=3,AB121&lt;&gt;"Yes"),"Operating claimed below designed credential",IF(AND(R121="No",N(AF121)&lt;3),"HSSB GATE: below Operating",IF(AND(N(AF121)&gt;=3,AJ121&lt;&gt;"",AL121=""),"Sample size with no conforming count","OK"))))))))</f>
        <v>Not assessed</v>
      </c>
      <c r="AQ121" s="8"/>
      <c r="AR121" s="8"/>
      <c r="AS121" s="8"/>
    </row>
    <row r="122" customFormat="false" ht="22.35" hidden="false" customHeight="false" outlineLevel="0" collapsed="false">
      <c r="A122" s="6" t="s">
        <v>346</v>
      </c>
      <c r="B122" s="6" t="s">
        <v>288</v>
      </c>
      <c r="C122" s="6" t="s">
        <v>341</v>
      </c>
      <c r="D122" s="6" t="s">
        <v>342</v>
      </c>
      <c r="E122" s="6" t="s">
        <v>160</v>
      </c>
      <c r="F122" s="7"/>
      <c r="G122" s="6" t="s">
        <v>82</v>
      </c>
      <c r="H122" s="6"/>
      <c r="I122" s="6"/>
      <c r="J122" s="6"/>
      <c r="K122" s="6"/>
      <c r="L122" s="6" t="s">
        <v>83</v>
      </c>
      <c r="M122" s="6" t="s">
        <v>84</v>
      </c>
      <c r="N122" s="6"/>
      <c r="O122" s="6"/>
      <c r="P122" s="6"/>
      <c r="Q122" s="6"/>
      <c r="R122" s="6" t="s">
        <v>85</v>
      </c>
      <c r="S122" s="6"/>
      <c r="T122" s="6" t="s">
        <v>294</v>
      </c>
      <c r="U122" s="8"/>
      <c r="V122" s="8"/>
      <c r="W122" s="8"/>
      <c r="X122" s="8"/>
      <c r="Y122" s="9"/>
      <c r="Z122" s="9"/>
      <c r="AA122" s="9"/>
      <c r="AB122" s="9"/>
      <c r="AC122" s="10" t="str">
        <f aca="false">IF(Z122="","",IF(Z122=0,"Unassigned",IF(Z122=1,"Single point",IF(AB122="Yes","Staffed and credentialed","Staffed, credential gap"))))</f>
        <v/>
      </c>
      <c r="AD122" s="10" t="str">
        <f aca="false">IFERROR(INDEX(Lists!$H$3:$H$6,MATCH(AC122,Lists!$G$3:$G$6,0)),"")</f>
        <v/>
      </c>
      <c r="AE122" s="8"/>
      <c r="AF122" s="10" t="str">
        <f aca="false">IFERROR(INDEX(Lists!$B$3:$B$7,MATCH(AE122,Lists!$A$3:$A$7,0)),"")</f>
        <v/>
      </c>
      <c r="AG122" s="8"/>
      <c r="AH122" s="8"/>
      <c r="AI122" s="8"/>
      <c r="AJ122" s="8"/>
      <c r="AK122" s="8"/>
      <c r="AL122" s="8"/>
      <c r="AM122" s="11" t="str">
        <f aca="false">IF(OR(AJ122="",AJ122=0),"",AL122/AJ122)</f>
        <v/>
      </c>
      <c r="AN122" s="8"/>
      <c r="AO122" s="8"/>
      <c r="AP122" s="10" t="str">
        <f aca="false">IF(AN122="","Not assessed",IF(AND(R122="No",AN122="Gap - recommend tailoring"),"INVALID: HSSB is not tailorable",IF(OR(Z122="",Z122=0),"NO NAMED EXECUTOR",IF(AND(N(AF122)&gt;=3,AJ122=""),"Operating claimed with no sample",IF(AND(N(AF122)&gt;=3,Z122=1),"Operating rests on one individual",IF(AND(N(AF122)&gt;=3,AB122&lt;&gt;"Yes"),"Operating claimed below designed credential",IF(AND(R122="No",N(AF122)&lt;3),"HSSB GATE: below Operating",IF(AND(N(AF122)&gt;=3,AJ122&lt;&gt;"",AL122=""),"Sample size with no conforming count","OK"))))))))</f>
        <v>Not assessed</v>
      </c>
      <c r="AQ122" s="8"/>
      <c r="AR122" s="8"/>
      <c r="AS122" s="8"/>
    </row>
    <row r="123" customFormat="false" ht="22.35" hidden="false" customHeight="false" outlineLevel="0" collapsed="false">
      <c r="A123" s="6" t="s">
        <v>347</v>
      </c>
      <c r="B123" s="6" t="s">
        <v>288</v>
      </c>
      <c r="C123" s="6" t="s">
        <v>341</v>
      </c>
      <c r="D123" s="6" t="s">
        <v>342</v>
      </c>
      <c r="E123" s="6" t="s">
        <v>162</v>
      </c>
      <c r="F123" s="7"/>
      <c r="G123" s="6" t="s">
        <v>82</v>
      </c>
      <c r="H123" s="6"/>
      <c r="I123" s="6"/>
      <c r="J123" s="6"/>
      <c r="K123" s="6"/>
      <c r="L123" s="6" t="s">
        <v>83</v>
      </c>
      <c r="M123" s="6" t="s">
        <v>84</v>
      </c>
      <c r="N123" s="6"/>
      <c r="O123" s="6"/>
      <c r="P123" s="6"/>
      <c r="Q123" s="6"/>
      <c r="R123" s="6" t="s">
        <v>85</v>
      </c>
      <c r="S123" s="6"/>
      <c r="T123" s="6" t="s">
        <v>294</v>
      </c>
      <c r="U123" s="8"/>
      <c r="V123" s="8"/>
      <c r="W123" s="8"/>
      <c r="X123" s="8"/>
      <c r="Y123" s="9"/>
      <c r="Z123" s="9"/>
      <c r="AA123" s="9"/>
      <c r="AB123" s="9"/>
      <c r="AC123" s="10" t="str">
        <f aca="false">IF(Z123="","",IF(Z123=0,"Unassigned",IF(Z123=1,"Single point",IF(AB123="Yes","Staffed and credentialed","Staffed, credential gap"))))</f>
        <v/>
      </c>
      <c r="AD123" s="10" t="str">
        <f aca="false">IFERROR(INDEX(Lists!$H$3:$H$6,MATCH(AC123,Lists!$G$3:$G$6,0)),"")</f>
        <v/>
      </c>
      <c r="AE123" s="8"/>
      <c r="AF123" s="10" t="str">
        <f aca="false">IFERROR(INDEX(Lists!$B$3:$B$7,MATCH(AE123,Lists!$A$3:$A$7,0)),"")</f>
        <v/>
      </c>
      <c r="AG123" s="8"/>
      <c r="AH123" s="8"/>
      <c r="AI123" s="8"/>
      <c r="AJ123" s="8"/>
      <c r="AK123" s="8"/>
      <c r="AL123" s="8"/>
      <c r="AM123" s="11" t="str">
        <f aca="false">IF(OR(AJ123="",AJ123=0),"",AL123/AJ123)</f>
        <v/>
      </c>
      <c r="AN123" s="8"/>
      <c r="AO123" s="8"/>
      <c r="AP123" s="10" t="str">
        <f aca="false">IF(AN123="","Not assessed",IF(AND(R123="No",AN123="Gap - recommend tailoring"),"INVALID: HSSB is not tailorable",IF(OR(Z123="",Z123=0),"NO NAMED EXECUTOR",IF(AND(N(AF123)&gt;=3,AJ123=""),"Operating claimed with no sample",IF(AND(N(AF123)&gt;=3,Z123=1),"Operating rests on one individual",IF(AND(N(AF123)&gt;=3,AB123&lt;&gt;"Yes"),"Operating claimed below designed credential",IF(AND(R123="No",N(AF123)&lt;3),"HSSB GATE: below Operating",IF(AND(N(AF123)&gt;=3,AJ123&lt;&gt;"",AL123=""),"Sample size with no conforming count","OK"))))))))</f>
        <v>Not assessed</v>
      </c>
      <c r="AQ123" s="8"/>
      <c r="AR123" s="8"/>
      <c r="AS123" s="8"/>
    </row>
    <row r="124" customFormat="false" ht="22.35" hidden="false" customHeight="false" outlineLevel="0" collapsed="false">
      <c r="A124" s="6" t="s">
        <v>348</v>
      </c>
      <c r="B124" s="6" t="s">
        <v>288</v>
      </c>
      <c r="C124" s="6" t="s">
        <v>341</v>
      </c>
      <c r="D124" s="6" t="s">
        <v>342</v>
      </c>
      <c r="E124" s="6" t="s">
        <v>166</v>
      </c>
      <c r="F124" s="7"/>
      <c r="G124" s="6" t="s">
        <v>82</v>
      </c>
      <c r="H124" s="6"/>
      <c r="I124" s="6"/>
      <c r="J124" s="6"/>
      <c r="K124" s="6"/>
      <c r="L124" s="6" t="s">
        <v>83</v>
      </c>
      <c r="M124" s="6" t="s">
        <v>84</v>
      </c>
      <c r="N124" s="6"/>
      <c r="O124" s="6"/>
      <c r="P124" s="6"/>
      <c r="Q124" s="6"/>
      <c r="R124" s="6" t="s">
        <v>85</v>
      </c>
      <c r="S124" s="6"/>
      <c r="T124" s="6" t="s">
        <v>294</v>
      </c>
      <c r="U124" s="8"/>
      <c r="V124" s="8"/>
      <c r="W124" s="8"/>
      <c r="X124" s="8"/>
      <c r="Y124" s="9"/>
      <c r="Z124" s="9"/>
      <c r="AA124" s="9"/>
      <c r="AB124" s="9"/>
      <c r="AC124" s="10" t="str">
        <f aca="false">IF(Z124="","",IF(Z124=0,"Unassigned",IF(Z124=1,"Single point",IF(AB124="Yes","Staffed and credentialed","Staffed, credential gap"))))</f>
        <v/>
      </c>
      <c r="AD124" s="10" t="str">
        <f aca="false">IFERROR(INDEX(Lists!$H$3:$H$6,MATCH(AC124,Lists!$G$3:$G$6,0)),"")</f>
        <v/>
      </c>
      <c r="AE124" s="8"/>
      <c r="AF124" s="10" t="str">
        <f aca="false">IFERROR(INDEX(Lists!$B$3:$B$7,MATCH(AE124,Lists!$A$3:$A$7,0)),"")</f>
        <v/>
      </c>
      <c r="AG124" s="8"/>
      <c r="AH124" s="8"/>
      <c r="AI124" s="8"/>
      <c r="AJ124" s="8"/>
      <c r="AK124" s="8"/>
      <c r="AL124" s="8"/>
      <c r="AM124" s="11" t="str">
        <f aca="false">IF(OR(AJ124="",AJ124=0),"",AL124/AJ124)</f>
        <v/>
      </c>
      <c r="AN124" s="8"/>
      <c r="AO124" s="8"/>
      <c r="AP124" s="10" t="str">
        <f aca="false">IF(AN124="","Not assessed",IF(AND(R124="No",AN124="Gap - recommend tailoring"),"INVALID: HSSB is not tailorable",IF(OR(Z124="",Z124=0),"NO NAMED EXECUTOR",IF(AND(N(AF124)&gt;=3,AJ124=""),"Operating claimed with no sample",IF(AND(N(AF124)&gt;=3,Z124=1),"Operating rests on one individual",IF(AND(N(AF124)&gt;=3,AB124&lt;&gt;"Yes"),"Operating claimed below designed credential",IF(AND(R124="No",N(AF124)&lt;3),"HSSB GATE: below Operating",IF(AND(N(AF124)&gt;=3,AJ124&lt;&gt;"",AL124=""),"Sample size with no conforming count","OK"))))))))</f>
        <v>Not assessed</v>
      </c>
      <c r="AQ124" s="8"/>
      <c r="AR124" s="8"/>
      <c r="AS124" s="8"/>
    </row>
    <row r="125" customFormat="false" ht="22.35" hidden="false" customHeight="false" outlineLevel="0" collapsed="false">
      <c r="A125" s="6" t="s">
        <v>349</v>
      </c>
      <c r="B125" s="6" t="s">
        <v>288</v>
      </c>
      <c r="C125" s="6" t="s">
        <v>341</v>
      </c>
      <c r="D125" s="6" t="s">
        <v>342</v>
      </c>
      <c r="E125" s="6" t="s">
        <v>168</v>
      </c>
      <c r="F125" s="7"/>
      <c r="G125" s="6" t="s">
        <v>82</v>
      </c>
      <c r="H125" s="6"/>
      <c r="I125" s="6"/>
      <c r="J125" s="6"/>
      <c r="K125" s="6"/>
      <c r="L125" s="6" t="s">
        <v>83</v>
      </c>
      <c r="M125" s="6" t="s">
        <v>84</v>
      </c>
      <c r="N125" s="6"/>
      <c r="O125" s="6"/>
      <c r="P125" s="6"/>
      <c r="Q125" s="6"/>
      <c r="R125" s="6" t="s">
        <v>85</v>
      </c>
      <c r="S125" s="6"/>
      <c r="T125" s="6" t="s">
        <v>294</v>
      </c>
      <c r="U125" s="8"/>
      <c r="V125" s="8"/>
      <c r="W125" s="8"/>
      <c r="X125" s="8"/>
      <c r="Y125" s="9"/>
      <c r="Z125" s="9"/>
      <c r="AA125" s="9"/>
      <c r="AB125" s="9"/>
      <c r="AC125" s="10" t="str">
        <f aca="false">IF(Z125="","",IF(Z125=0,"Unassigned",IF(Z125=1,"Single point",IF(AB125="Yes","Staffed and credentialed","Staffed, credential gap"))))</f>
        <v/>
      </c>
      <c r="AD125" s="10" t="str">
        <f aca="false">IFERROR(INDEX(Lists!$H$3:$H$6,MATCH(AC125,Lists!$G$3:$G$6,0)),"")</f>
        <v/>
      </c>
      <c r="AE125" s="8"/>
      <c r="AF125" s="10" t="str">
        <f aca="false">IFERROR(INDEX(Lists!$B$3:$B$7,MATCH(AE125,Lists!$A$3:$A$7,0)),"")</f>
        <v/>
      </c>
      <c r="AG125" s="8"/>
      <c r="AH125" s="8"/>
      <c r="AI125" s="8"/>
      <c r="AJ125" s="8"/>
      <c r="AK125" s="8"/>
      <c r="AL125" s="8"/>
      <c r="AM125" s="11" t="str">
        <f aca="false">IF(OR(AJ125="",AJ125=0),"",AL125/AJ125)</f>
        <v/>
      </c>
      <c r="AN125" s="8"/>
      <c r="AO125" s="8"/>
      <c r="AP125" s="10" t="str">
        <f aca="false">IF(AN125="","Not assessed",IF(AND(R125="No",AN125="Gap - recommend tailoring"),"INVALID: HSSB is not tailorable",IF(OR(Z125="",Z125=0),"NO NAMED EXECUTOR",IF(AND(N(AF125)&gt;=3,AJ125=""),"Operating claimed with no sample",IF(AND(N(AF125)&gt;=3,Z125=1),"Operating rests on one individual",IF(AND(N(AF125)&gt;=3,AB125&lt;&gt;"Yes"),"Operating claimed below designed credential",IF(AND(R125="No",N(AF125)&lt;3),"HSSB GATE: below Operating",IF(AND(N(AF125)&gt;=3,AJ125&lt;&gt;"",AL125=""),"Sample size with no conforming count","OK"))))))))</f>
        <v>Not assessed</v>
      </c>
      <c r="AQ125" s="8"/>
      <c r="AR125" s="8"/>
      <c r="AS125" s="8"/>
    </row>
    <row r="126" customFormat="false" ht="22.35" hidden="false" customHeight="false" outlineLevel="0" collapsed="false">
      <c r="A126" s="6" t="s">
        <v>350</v>
      </c>
      <c r="B126" s="6" t="s">
        <v>288</v>
      </c>
      <c r="C126" s="6" t="s">
        <v>341</v>
      </c>
      <c r="D126" s="6" t="s">
        <v>342</v>
      </c>
      <c r="E126" s="6" t="s">
        <v>170</v>
      </c>
      <c r="F126" s="7"/>
      <c r="G126" s="6" t="s">
        <v>82</v>
      </c>
      <c r="H126" s="6"/>
      <c r="I126" s="6"/>
      <c r="J126" s="6"/>
      <c r="K126" s="6"/>
      <c r="L126" s="6" t="s">
        <v>83</v>
      </c>
      <c r="M126" s="6" t="s">
        <v>84</v>
      </c>
      <c r="N126" s="6"/>
      <c r="O126" s="6"/>
      <c r="P126" s="6"/>
      <c r="Q126" s="6"/>
      <c r="R126" s="6" t="s">
        <v>85</v>
      </c>
      <c r="S126" s="6"/>
      <c r="T126" s="6" t="s">
        <v>294</v>
      </c>
      <c r="U126" s="8"/>
      <c r="V126" s="8"/>
      <c r="W126" s="8"/>
      <c r="X126" s="8"/>
      <c r="Y126" s="9"/>
      <c r="Z126" s="9"/>
      <c r="AA126" s="9"/>
      <c r="AB126" s="9"/>
      <c r="AC126" s="10" t="str">
        <f aca="false">IF(Z126="","",IF(Z126=0,"Unassigned",IF(Z126=1,"Single point",IF(AB126="Yes","Staffed and credentialed","Staffed, credential gap"))))</f>
        <v/>
      </c>
      <c r="AD126" s="10" t="str">
        <f aca="false">IFERROR(INDEX(Lists!$H$3:$H$6,MATCH(AC126,Lists!$G$3:$G$6,0)),"")</f>
        <v/>
      </c>
      <c r="AE126" s="8"/>
      <c r="AF126" s="10" t="str">
        <f aca="false">IFERROR(INDEX(Lists!$B$3:$B$7,MATCH(AE126,Lists!$A$3:$A$7,0)),"")</f>
        <v/>
      </c>
      <c r="AG126" s="8"/>
      <c r="AH126" s="8"/>
      <c r="AI126" s="8"/>
      <c r="AJ126" s="8"/>
      <c r="AK126" s="8"/>
      <c r="AL126" s="8"/>
      <c r="AM126" s="11" t="str">
        <f aca="false">IF(OR(AJ126="",AJ126=0),"",AL126/AJ126)</f>
        <v/>
      </c>
      <c r="AN126" s="8"/>
      <c r="AO126" s="8"/>
      <c r="AP126" s="10" t="str">
        <f aca="false">IF(AN126="","Not assessed",IF(AND(R126="No",AN126="Gap - recommend tailoring"),"INVALID: HSSB is not tailorable",IF(OR(Z126="",Z126=0),"NO NAMED EXECUTOR",IF(AND(N(AF126)&gt;=3,AJ126=""),"Operating claimed with no sample",IF(AND(N(AF126)&gt;=3,Z126=1),"Operating rests on one individual",IF(AND(N(AF126)&gt;=3,AB126&lt;&gt;"Yes"),"Operating claimed below designed credential",IF(AND(R126="No",N(AF126)&lt;3),"HSSB GATE: below Operating",IF(AND(N(AF126)&gt;=3,AJ126&lt;&gt;"",AL126=""),"Sample size with no conforming count","OK"))))))))</f>
        <v>Not assessed</v>
      </c>
      <c r="AQ126" s="8"/>
      <c r="AR126" s="8"/>
      <c r="AS126" s="8"/>
    </row>
    <row r="127" customFormat="false" ht="22.35" hidden="false" customHeight="false" outlineLevel="0" collapsed="false">
      <c r="A127" s="6" t="s">
        <v>351</v>
      </c>
      <c r="B127" s="6" t="s">
        <v>288</v>
      </c>
      <c r="C127" s="6" t="s">
        <v>341</v>
      </c>
      <c r="D127" s="6" t="s">
        <v>342</v>
      </c>
      <c r="E127" s="6" t="s">
        <v>172</v>
      </c>
      <c r="F127" s="7"/>
      <c r="G127" s="6" t="s">
        <v>82</v>
      </c>
      <c r="H127" s="6"/>
      <c r="I127" s="6"/>
      <c r="J127" s="6"/>
      <c r="K127" s="6"/>
      <c r="L127" s="6" t="s">
        <v>83</v>
      </c>
      <c r="M127" s="6" t="s">
        <v>84</v>
      </c>
      <c r="N127" s="6"/>
      <c r="O127" s="6"/>
      <c r="P127" s="6"/>
      <c r="Q127" s="6"/>
      <c r="R127" s="6" t="s">
        <v>85</v>
      </c>
      <c r="S127" s="6"/>
      <c r="T127" s="6" t="s">
        <v>294</v>
      </c>
      <c r="U127" s="8"/>
      <c r="V127" s="8"/>
      <c r="W127" s="8"/>
      <c r="X127" s="8"/>
      <c r="Y127" s="9"/>
      <c r="Z127" s="9"/>
      <c r="AA127" s="9"/>
      <c r="AB127" s="9"/>
      <c r="AC127" s="10" t="str">
        <f aca="false">IF(Z127="","",IF(Z127=0,"Unassigned",IF(Z127=1,"Single point",IF(AB127="Yes","Staffed and credentialed","Staffed, credential gap"))))</f>
        <v/>
      </c>
      <c r="AD127" s="10" t="str">
        <f aca="false">IFERROR(INDEX(Lists!$H$3:$H$6,MATCH(AC127,Lists!$G$3:$G$6,0)),"")</f>
        <v/>
      </c>
      <c r="AE127" s="8"/>
      <c r="AF127" s="10" t="str">
        <f aca="false">IFERROR(INDEX(Lists!$B$3:$B$7,MATCH(AE127,Lists!$A$3:$A$7,0)),"")</f>
        <v/>
      </c>
      <c r="AG127" s="8"/>
      <c r="AH127" s="8"/>
      <c r="AI127" s="8"/>
      <c r="AJ127" s="8"/>
      <c r="AK127" s="8"/>
      <c r="AL127" s="8"/>
      <c r="AM127" s="11" t="str">
        <f aca="false">IF(OR(AJ127="",AJ127=0),"",AL127/AJ127)</f>
        <v/>
      </c>
      <c r="AN127" s="8"/>
      <c r="AO127" s="8"/>
      <c r="AP127" s="10" t="str">
        <f aca="false">IF(AN127="","Not assessed",IF(AND(R127="No",AN127="Gap - recommend tailoring"),"INVALID: HSSB is not tailorable",IF(OR(Z127="",Z127=0),"NO NAMED EXECUTOR",IF(AND(N(AF127)&gt;=3,AJ127=""),"Operating claimed with no sample",IF(AND(N(AF127)&gt;=3,Z127=1),"Operating rests on one individual",IF(AND(N(AF127)&gt;=3,AB127&lt;&gt;"Yes"),"Operating claimed below designed credential",IF(AND(R127="No",N(AF127)&lt;3),"HSSB GATE: below Operating",IF(AND(N(AF127)&gt;=3,AJ127&lt;&gt;"",AL127=""),"Sample size with no conforming count","OK"))))))))</f>
        <v>Not assessed</v>
      </c>
      <c r="AQ127" s="8"/>
      <c r="AR127" s="8"/>
      <c r="AS127" s="8"/>
    </row>
    <row r="128" customFormat="false" ht="22.35" hidden="false" customHeight="false" outlineLevel="0" collapsed="false">
      <c r="A128" s="6" t="s">
        <v>352</v>
      </c>
      <c r="B128" s="6" t="s">
        <v>288</v>
      </c>
      <c r="C128" s="6" t="s">
        <v>341</v>
      </c>
      <c r="D128" s="6" t="s">
        <v>342</v>
      </c>
      <c r="E128" s="6" t="s">
        <v>174</v>
      </c>
      <c r="F128" s="7"/>
      <c r="G128" s="6" t="s">
        <v>82</v>
      </c>
      <c r="H128" s="6"/>
      <c r="I128" s="6"/>
      <c r="J128" s="6"/>
      <c r="K128" s="6"/>
      <c r="L128" s="6" t="s">
        <v>83</v>
      </c>
      <c r="M128" s="6" t="s">
        <v>84</v>
      </c>
      <c r="N128" s="6"/>
      <c r="O128" s="6"/>
      <c r="P128" s="6"/>
      <c r="Q128" s="6"/>
      <c r="R128" s="6" t="s">
        <v>85</v>
      </c>
      <c r="S128" s="6"/>
      <c r="T128" s="6" t="s">
        <v>294</v>
      </c>
      <c r="U128" s="8"/>
      <c r="V128" s="8"/>
      <c r="W128" s="8"/>
      <c r="X128" s="8"/>
      <c r="Y128" s="9"/>
      <c r="Z128" s="9"/>
      <c r="AA128" s="9"/>
      <c r="AB128" s="9"/>
      <c r="AC128" s="10" t="str">
        <f aca="false">IF(Z128="","",IF(Z128=0,"Unassigned",IF(Z128=1,"Single point",IF(AB128="Yes","Staffed and credentialed","Staffed, credential gap"))))</f>
        <v/>
      </c>
      <c r="AD128" s="10" t="str">
        <f aca="false">IFERROR(INDEX(Lists!$H$3:$H$6,MATCH(AC128,Lists!$G$3:$G$6,0)),"")</f>
        <v/>
      </c>
      <c r="AE128" s="8"/>
      <c r="AF128" s="10" t="str">
        <f aca="false">IFERROR(INDEX(Lists!$B$3:$B$7,MATCH(AE128,Lists!$A$3:$A$7,0)),"")</f>
        <v/>
      </c>
      <c r="AG128" s="8"/>
      <c r="AH128" s="8"/>
      <c r="AI128" s="8"/>
      <c r="AJ128" s="8"/>
      <c r="AK128" s="8"/>
      <c r="AL128" s="8"/>
      <c r="AM128" s="11" t="str">
        <f aca="false">IF(OR(AJ128="",AJ128=0),"",AL128/AJ128)</f>
        <v/>
      </c>
      <c r="AN128" s="8"/>
      <c r="AO128" s="8"/>
      <c r="AP128" s="10" t="str">
        <f aca="false">IF(AN128="","Not assessed",IF(AND(R128="No",AN128="Gap - recommend tailoring"),"INVALID: HSSB is not tailorable",IF(OR(Z128="",Z128=0),"NO NAMED EXECUTOR",IF(AND(N(AF128)&gt;=3,AJ128=""),"Operating claimed with no sample",IF(AND(N(AF128)&gt;=3,Z128=1),"Operating rests on one individual",IF(AND(N(AF128)&gt;=3,AB128&lt;&gt;"Yes"),"Operating claimed below designed credential",IF(AND(R128="No",N(AF128)&lt;3),"HSSB GATE: below Operating",IF(AND(N(AF128)&gt;=3,AJ128&lt;&gt;"",AL128=""),"Sample size with no conforming count","OK"))))))))</f>
        <v>Not assessed</v>
      </c>
      <c r="AQ128" s="8"/>
      <c r="AR128" s="8"/>
      <c r="AS128" s="8"/>
    </row>
    <row r="129" customFormat="false" ht="22.35" hidden="false" customHeight="false" outlineLevel="0" collapsed="false">
      <c r="A129" s="6" t="s">
        <v>353</v>
      </c>
      <c r="B129" s="6" t="s">
        <v>288</v>
      </c>
      <c r="C129" s="6" t="s">
        <v>341</v>
      </c>
      <c r="D129" s="6" t="s">
        <v>342</v>
      </c>
      <c r="E129" s="6" t="s">
        <v>176</v>
      </c>
      <c r="F129" s="7"/>
      <c r="G129" s="6" t="s">
        <v>82</v>
      </c>
      <c r="H129" s="6"/>
      <c r="I129" s="6"/>
      <c r="J129" s="6"/>
      <c r="K129" s="6"/>
      <c r="L129" s="6" t="s">
        <v>83</v>
      </c>
      <c r="M129" s="6" t="s">
        <v>84</v>
      </c>
      <c r="N129" s="6"/>
      <c r="O129" s="6"/>
      <c r="P129" s="6"/>
      <c r="Q129" s="6"/>
      <c r="R129" s="6" t="s">
        <v>85</v>
      </c>
      <c r="S129" s="6"/>
      <c r="T129" s="6" t="s">
        <v>294</v>
      </c>
      <c r="U129" s="8"/>
      <c r="V129" s="8"/>
      <c r="W129" s="8"/>
      <c r="X129" s="8"/>
      <c r="Y129" s="9"/>
      <c r="Z129" s="9"/>
      <c r="AA129" s="9"/>
      <c r="AB129" s="9"/>
      <c r="AC129" s="10" t="str">
        <f aca="false">IF(Z129="","",IF(Z129=0,"Unassigned",IF(Z129=1,"Single point",IF(AB129="Yes","Staffed and credentialed","Staffed, credential gap"))))</f>
        <v/>
      </c>
      <c r="AD129" s="10" t="str">
        <f aca="false">IFERROR(INDEX(Lists!$H$3:$H$6,MATCH(AC129,Lists!$G$3:$G$6,0)),"")</f>
        <v/>
      </c>
      <c r="AE129" s="8"/>
      <c r="AF129" s="10" t="str">
        <f aca="false">IFERROR(INDEX(Lists!$B$3:$B$7,MATCH(AE129,Lists!$A$3:$A$7,0)),"")</f>
        <v/>
      </c>
      <c r="AG129" s="8"/>
      <c r="AH129" s="8"/>
      <c r="AI129" s="8"/>
      <c r="AJ129" s="8"/>
      <c r="AK129" s="8"/>
      <c r="AL129" s="8"/>
      <c r="AM129" s="11" t="str">
        <f aca="false">IF(OR(AJ129="",AJ129=0),"",AL129/AJ129)</f>
        <v/>
      </c>
      <c r="AN129" s="8"/>
      <c r="AO129" s="8"/>
      <c r="AP129" s="10" t="str">
        <f aca="false">IF(AN129="","Not assessed",IF(AND(R129="No",AN129="Gap - recommend tailoring"),"INVALID: HSSB is not tailorable",IF(OR(Z129="",Z129=0),"NO NAMED EXECUTOR",IF(AND(N(AF129)&gt;=3,AJ129=""),"Operating claimed with no sample",IF(AND(N(AF129)&gt;=3,Z129=1),"Operating rests on one individual",IF(AND(N(AF129)&gt;=3,AB129&lt;&gt;"Yes"),"Operating claimed below designed credential",IF(AND(R129="No",N(AF129)&lt;3),"HSSB GATE: below Operating",IF(AND(N(AF129)&gt;=3,AJ129&lt;&gt;"",AL129=""),"Sample size with no conforming count","OK"))))))))</f>
        <v>Not assessed</v>
      </c>
      <c r="AQ129" s="8"/>
      <c r="AR129" s="8"/>
      <c r="AS129" s="8"/>
    </row>
    <row r="130" customFormat="false" ht="22.35" hidden="false" customHeight="false" outlineLevel="0" collapsed="false">
      <c r="A130" s="6" t="s">
        <v>354</v>
      </c>
      <c r="B130" s="6" t="s">
        <v>288</v>
      </c>
      <c r="C130" s="6" t="s">
        <v>341</v>
      </c>
      <c r="D130" s="6" t="s">
        <v>342</v>
      </c>
      <c r="E130" s="6" t="s">
        <v>355</v>
      </c>
      <c r="F130" s="7"/>
      <c r="G130" s="6" t="s">
        <v>82</v>
      </c>
      <c r="H130" s="6"/>
      <c r="I130" s="6"/>
      <c r="J130" s="6"/>
      <c r="K130" s="6"/>
      <c r="L130" s="6" t="s">
        <v>83</v>
      </c>
      <c r="M130" s="6" t="s">
        <v>84</v>
      </c>
      <c r="N130" s="6"/>
      <c r="O130" s="6"/>
      <c r="P130" s="6"/>
      <c r="Q130" s="6"/>
      <c r="R130" s="6" t="s">
        <v>85</v>
      </c>
      <c r="S130" s="6"/>
      <c r="T130" s="6" t="s">
        <v>294</v>
      </c>
      <c r="U130" s="8"/>
      <c r="V130" s="8"/>
      <c r="W130" s="8"/>
      <c r="X130" s="8"/>
      <c r="Y130" s="9"/>
      <c r="Z130" s="9"/>
      <c r="AA130" s="9"/>
      <c r="AB130" s="9"/>
      <c r="AC130" s="10" t="str">
        <f aca="false">IF(Z130="","",IF(Z130=0,"Unassigned",IF(Z130=1,"Single point",IF(AB130="Yes","Staffed and credentialed","Staffed, credential gap"))))</f>
        <v/>
      </c>
      <c r="AD130" s="10" t="str">
        <f aca="false">IFERROR(INDEX(Lists!$H$3:$H$6,MATCH(AC130,Lists!$G$3:$G$6,0)),"")</f>
        <v/>
      </c>
      <c r="AE130" s="8"/>
      <c r="AF130" s="10" t="str">
        <f aca="false">IFERROR(INDEX(Lists!$B$3:$B$7,MATCH(AE130,Lists!$A$3:$A$7,0)),"")</f>
        <v/>
      </c>
      <c r="AG130" s="8"/>
      <c r="AH130" s="8"/>
      <c r="AI130" s="8"/>
      <c r="AJ130" s="8"/>
      <c r="AK130" s="8"/>
      <c r="AL130" s="8"/>
      <c r="AM130" s="11" t="str">
        <f aca="false">IF(OR(AJ130="",AJ130=0),"",AL130/AJ130)</f>
        <v/>
      </c>
      <c r="AN130" s="8"/>
      <c r="AO130" s="8"/>
      <c r="AP130" s="10" t="str">
        <f aca="false">IF(AN130="","Not assessed",IF(AND(R130="No",AN130="Gap - recommend tailoring"),"INVALID: HSSB is not tailorable",IF(OR(Z130="",Z130=0),"NO NAMED EXECUTOR",IF(AND(N(AF130)&gt;=3,AJ130=""),"Operating claimed with no sample",IF(AND(N(AF130)&gt;=3,Z130=1),"Operating rests on one individual",IF(AND(N(AF130)&gt;=3,AB130&lt;&gt;"Yes"),"Operating claimed below designed credential",IF(AND(R130="No",N(AF130)&lt;3),"HSSB GATE: below Operating",IF(AND(N(AF130)&gt;=3,AJ130&lt;&gt;"",AL130=""),"Sample size with no conforming count","OK"))))))))</f>
        <v>Not assessed</v>
      </c>
      <c r="AQ130" s="8"/>
      <c r="AR130" s="8"/>
      <c r="AS130" s="8"/>
    </row>
    <row r="131" customFormat="false" ht="22.35" hidden="false" customHeight="false" outlineLevel="0" collapsed="false">
      <c r="A131" s="6" t="s">
        <v>356</v>
      </c>
      <c r="B131" s="6" t="s">
        <v>288</v>
      </c>
      <c r="C131" s="6" t="s">
        <v>341</v>
      </c>
      <c r="D131" s="6" t="s">
        <v>342</v>
      </c>
      <c r="E131" s="6" t="s">
        <v>357</v>
      </c>
      <c r="F131" s="7"/>
      <c r="G131" s="6" t="s">
        <v>82</v>
      </c>
      <c r="H131" s="6"/>
      <c r="I131" s="6"/>
      <c r="J131" s="6"/>
      <c r="K131" s="6"/>
      <c r="L131" s="6" t="s">
        <v>83</v>
      </c>
      <c r="M131" s="6" t="s">
        <v>84</v>
      </c>
      <c r="N131" s="6"/>
      <c r="O131" s="6"/>
      <c r="P131" s="6"/>
      <c r="Q131" s="6"/>
      <c r="R131" s="6" t="s">
        <v>85</v>
      </c>
      <c r="S131" s="6"/>
      <c r="T131" s="6" t="s">
        <v>294</v>
      </c>
      <c r="U131" s="8"/>
      <c r="V131" s="8"/>
      <c r="W131" s="8"/>
      <c r="X131" s="8"/>
      <c r="Y131" s="9"/>
      <c r="Z131" s="9"/>
      <c r="AA131" s="9"/>
      <c r="AB131" s="9"/>
      <c r="AC131" s="10" t="str">
        <f aca="false">IF(Z131="","",IF(Z131=0,"Unassigned",IF(Z131=1,"Single point",IF(AB131="Yes","Staffed and credentialed","Staffed, credential gap"))))</f>
        <v/>
      </c>
      <c r="AD131" s="10" t="str">
        <f aca="false">IFERROR(INDEX(Lists!$H$3:$H$6,MATCH(AC131,Lists!$G$3:$G$6,0)),"")</f>
        <v/>
      </c>
      <c r="AE131" s="8"/>
      <c r="AF131" s="10" t="str">
        <f aca="false">IFERROR(INDEX(Lists!$B$3:$B$7,MATCH(AE131,Lists!$A$3:$A$7,0)),"")</f>
        <v/>
      </c>
      <c r="AG131" s="8"/>
      <c r="AH131" s="8"/>
      <c r="AI131" s="8"/>
      <c r="AJ131" s="8"/>
      <c r="AK131" s="8"/>
      <c r="AL131" s="8"/>
      <c r="AM131" s="11" t="str">
        <f aca="false">IF(OR(AJ131="",AJ131=0),"",AL131/AJ131)</f>
        <v/>
      </c>
      <c r="AN131" s="8"/>
      <c r="AO131" s="8"/>
      <c r="AP131" s="10" t="str">
        <f aca="false">IF(AN131="","Not assessed",IF(AND(R131="No",AN131="Gap - recommend tailoring"),"INVALID: HSSB is not tailorable",IF(OR(Z131="",Z131=0),"NO NAMED EXECUTOR",IF(AND(N(AF131)&gt;=3,AJ131=""),"Operating claimed with no sample",IF(AND(N(AF131)&gt;=3,Z131=1),"Operating rests on one individual",IF(AND(N(AF131)&gt;=3,AB131&lt;&gt;"Yes"),"Operating claimed below designed credential",IF(AND(R131="No",N(AF131)&lt;3),"HSSB GATE: below Operating",IF(AND(N(AF131)&gt;=3,AJ131&lt;&gt;"",AL131=""),"Sample size with no conforming count","OK"))))))))</f>
        <v>Not assessed</v>
      </c>
      <c r="AQ131" s="8"/>
      <c r="AR131" s="8"/>
      <c r="AS131" s="8"/>
    </row>
    <row r="132" customFormat="false" ht="22.35" hidden="false" customHeight="false" outlineLevel="0" collapsed="false">
      <c r="A132" s="6" t="s">
        <v>358</v>
      </c>
      <c r="B132" s="6" t="s">
        <v>288</v>
      </c>
      <c r="C132" s="6" t="s">
        <v>341</v>
      </c>
      <c r="D132" s="6" t="s">
        <v>342</v>
      </c>
      <c r="E132" s="6" t="s">
        <v>359</v>
      </c>
      <c r="F132" s="7"/>
      <c r="G132" s="6" t="s">
        <v>82</v>
      </c>
      <c r="H132" s="6"/>
      <c r="I132" s="6"/>
      <c r="J132" s="6"/>
      <c r="K132" s="6"/>
      <c r="L132" s="6" t="s">
        <v>83</v>
      </c>
      <c r="M132" s="6" t="s">
        <v>84</v>
      </c>
      <c r="N132" s="6"/>
      <c r="O132" s="6"/>
      <c r="P132" s="6"/>
      <c r="Q132" s="6"/>
      <c r="R132" s="6" t="s">
        <v>85</v>
      </c>
      <c r="S132" s="6"/>
      <c r="T132" s="6" t="s">
        <v>294</v>
      </c>
      <c r="U132" s="8"/>
      <c r="V132" s="8"/>
      <c r="W132" s="8"/>
      <c r="X132" s="8"/>
      <c r="Y132" s="9"/>
      <c r="Z132" s="9"/>
      <c r="AA132" s="9"/>
      <c r="AB132" s="9"/>
      <c r="AC132" s="10" t="str">
        <f aca="false">IF(Z132="","",IF(Z132=0,"Unassigned",IF(Z132=1,"Single point",IF(AB132="Yes","Staffed and credentialed","Staffed, credential gap"))))</f>
        <v/>
      </c>
      <c r="AD132" s="10" t="str">
        <f aca="false">IFERROR(INDEX(Lists!$H$3:$H$6,MATCH(AC132,Lists!$G$3:$G$6,0)),"")</f>
        <v/>
      </c>
      <c r="AE132" s="8"/>
      <c r="AF132" s="10" t="str">
        <f aca="false">IFERROR(INDEX(Lists!$B$3:$B$7,MATCH(AE132,Lists!$A$3:$A$7,0)),"")</f>
        <v/>
      </c>
      <c r="AG132" s="8"/>
      <c r="AH132" s="8"/>
      <c r="AI132" s="8"/>
      <c r="AJ132" s="8"/>
      <c r="AK132" s="8"/>
      <c r="AL132" s="8"/>
      <c r="AM132" s="11" t="str">
        <f aca="false">IF(OR(AJ132="",AJ132=0),"",AL132/AJ132)</f>
        <v/>
      </c>
      <c r="AN132" s="8"/>
      <c r="AO132" s="8"/>
      <c r="AP132" s="10" t="str">
        <f aca="false">IF(AN132="","Not assessed",IF(AND(R132="No",AN132="Gap - recommend tailoring"),"INVALID: HSSB is not tailorable",IF(OR(Z132="",Z132=0),"NO NAMED EXECUTOR",IF(AND(N(AF132)&gt;=3,AJ132=""),"Operating claimed with no sample",IF(AND(N(AF132)&gt;=3,Z132=1),"Operating rests on one individual",IF(AND(N(AF132)&gt;=3,AB132&lt;&gt;"Yes"),"Operating claimed below designed credential",IF(AND(R132="No",N(AF132)&lt;3),"HSSB GATE: below Operating",IF(AND(N(AF132)&gt;=3,AJ132&lt;&gt;"",AL132=""),"Sample size with no conforming count","OK"))))))))</f>
        <v>Not assessed</v>
      </c>
      <c r="AQ132" s="8"/>
      <c r="AR132" s="8"/>
      <c r="AS132" s="8"/>
    </row>
    <row r="133" customFormat="false" ht="22.35" hidden="false" customHeight="false" outlineLevel="0" collapsed="false">
      <c r="A133" s="6" t="s">
        <v>360</v>
      </c>
      <c r="B133" s="6" t="s">
        <v>288</v>
      </c>
      <c r="C133" s="6" t="s">
        <v>341</v>
      </c>
      <c r="D133" s="6" t="s">
        <v>342</v>
      </c>
      <c r="E133" s="6" t="s">
        <v>361</v>
      </c>
      <c r="F133" s="7"/>
      <c r="G133" s="6" t="s">
        <v>82</v>
      </c>
      <c r="H133" s="6"/>
      <c r="I133" s="6"/>
      <c r="J133" s="6"/>
      <c r="K133" s="6"/>
      <c r="L133" s="6" t="s">
        <v>83</v>
      </c>
      <c r="M133" s="6" t="s">
        <v>84</v>
      </c>
      <c r="N133" s="6"/>
      <c r="O133" s="6"/>
      <c r="P133" s="6"/>
      <c r="Q133" s="6"/>
      <c r="R133" s="6" t="s">
        <v>85</v>
      </c>
      <c r="S133" s="6"/>
      <c r="T133" s="6" t="s">
        <v>294</v>
      </c>
      <c r="U133" s="8"/>
      <c r="V133" s="8"/>
      <c r="W133" s="8"/>
      <c r="X133" s="8"/>
      <c r="Y133" s="9"/>
      <c r="Z133" s="9"/>
      <c r="AA133" s="9"/>
      <c r="AB133" s="9"/>
      <c r="AC133" s="10" t="str">
        <f aca="false">IF(Z133="","",IF(Z133=0,"Unassigned",IF(Z133=1,"Single point",IF(AB133="Yes","Staffed and credentialed","Staffed, credential gap"))))</f>
        <v/>
      </c>
      <c r="AD133" s="10" t="str">
        <f aca="false">IFERROR(INDEX(Lists!$H$3:$H$6,MATCH(AC133,Lists!$G$3:$G$6,0)),"")</f>
        <v/>
      </c>
      <c r="AE133" s="8"/>
      <c r="AF133" s="10" t="str">
        <f aca="false">IFERROR(INDEX(Lists!$B$3:$B$7,MATCH(AE133,Lists!$A$3:$A$7,0)),"")</f>
        <v/>
      </c>
      <c r="AG133" s="8"/>
      <c r="AH133" s="8"/>
      <c r="AI133" s="8"/>
      <c r="AJ133" s="8"/>
      <c r="AK133" s="8"/>
      <c r="AL133" s="8"/>
      <c r="AM133" s="11" t="str">
        <f aca="false">IF(OR(AJ133="",AJ133=0),"",AL133/AJ133)</f>
        <v/>
      </c>
      <c r="AN133" s="8"/>
      <c r="AO133" s="8"/>
      <c r="AP133" s="10" t="str">
        <f aca="false">IF(AN133="","Not assessed",IF(AND(R133="No",AN133="Gap - recommend tailoring"),"INVALID: HSSB is not tailorable",IF(OR(Z133="",Z133=0),"NO NAMED EXECUTOR",IF(AND(N(AF133)&gt;=3,AJ133=""),"Operating claimed with no sample",IF(AND(N(AF133)&gt;=3,Z133=1),"Operating rests on one individual",IF(AND(N(AF133)&gt;=3,AB133&lt;&gt;"Yes"),"Operating claimed below designed credential",IF(AND(R133="No",N(AF133)&lt;3),"HSSB GATE: below Operating",IF(AND(N(AF133)&gt;=3,AJ133&lt;&gt;"",AL133=""),"Sample size with no conforming count","OK"))))))))</f>
        <v>Not assessed</v>
      </c>
      <c r="AQ133" s="8"/>
      <c r="AR133" s="8"/>
      <c r="AS133" s="8"/>
    </row>
    <row r="134" customFormat="false" ht="22.35" hidden="false" customHeight="false" outlineLevel="0" collapsed="false">
      <c r="A134" s="6" t="s">
        <v>362</v>
      </c>
      <c r="B134" s="6" t="s">
        <v>288</v>
      </c>
      <c r="C134" s="6" t="s">
        <v>341</v>
      </c>
      <c r="D134" s="6" t="s">
        <v>342</v>
      </c>
      <c r="E134" s="6" t="s">
        <v>363</v>
      </c>
      <c r="F134" s="7"/>
      <c r="G134" s="6" t="s">
        <v>82</v>
      </c>
      <c r="H134" s="6"/>
      <c r="I134" s="6"/>
      <c r="J134" s="6"/>
      <c r="K134" s="6"/>
      <c r="L134" s="6" t="s">
        <v>83</v>
      </c>
      <c r="M134" s="6" t="s">
        <v>84</v>
      </c>
      <c r="N134" s="6"/>
      <c r="O134" s="6"/>
      <c r="P134" s="6"/>
      <c r="Q134" s="6"/>
      <c r="R134" s="6" t="s">
        <v>85</v>
      </c>
      <c r="S134" s="6"/>
      <c r="T134" s="6" t="s">
        <v>294</v>
      </c>
      <c r="U134" s="8"/>
      <c r="V134" s="8"/>
      <c r="W134" s="8"/>
      <c r="X134" s="8"/>
      <c r="Y134" s="9"/>
      <c r="Z134" s="9"/>
      <c r="AA134" s="9"/>
      <c r="AB134" s="9"/>
      <c r="AC134" s="10" t="str">
        <f aca="false">IF(Z134="","",IF(Z134=0,"Unassigned",IF(Z134=1,"Single point",IF(AB134="Yes","Staffed and credentialed","Staffed, credential gap"))))</f>
        <v/>
      </c>
      <c r="AD134" s="10" t="str">
        <f aca="false">IFERROR(INDEX(Lists!$H$3:$H$6,MATCH(AC134,Lists!$G$3:$G$6,0)),"")</f>
        <v/>
      </c>
      <c r="AE134" s="8"/>
      <c r="AF134" s="10" t="str">
        <f aca="false">IFERROR(INDEX(Lists!$B$3:$B$7,MATCH(AE134,Lists!$A$3:$A$7,0)),"")</f>
        <v/>
      </c>
      <c r="AG134" s="8"/>
      <c r="AH134" s="8"/>
      <c r="AI134" s="8"/>
      <c r="AJ134" s="8"/>
      <c r="AK134" s="8"/>
      <c r="AL134" s="8"/>
      <c r="AM134" s="11" t="str">
        <f aca="false">IF(OR(AJ134="",AJ134=0),"",AL134/AJ134)</f>
        <v/>
      </c>
      <c r="AN134" s="8"/>
      <c r="AO134" s="8"/>
      <c r="AP134" s="10" t="str">
        <f aca="false">IF(AN134="","Not assessed",IF(AND(R134="No",AN134="Gap - recommend tailoring"),"INVALID: HSSB is not tailorable",IF(OR(Z134="",Z134=0),"NO NAMED EXECUTOR",IF(AND(N(AF134)&gt;=3,AJ134=""),"Operating claimed with no sample",IF(AND(N(AF134)&gt;=3,Z134=1),"Operating rests on one individual",IF(AND(N(AF134)&gt;=3,AB134&lt;&gt;"Yes"),"Operating claimed below designed credential",IF(AND(R134="No",N(AF134)&lt;3),"HSSB GATE: below Operating",IF(AND(N(AF134)&gt;=3,AJ134&lt;&gt;"",AL134=""),"Sample size with no conforming count","OK"))))))))</f>
        <v>Not assessed</v>
      </c>
      <c r="AQ134" s="8"/>
      <c r="AR134" s="8"/>
      <c r="AS134" s="8"/>
    </row>
    <row r="135" customFormat="false" ht="22.35" hidden="false" customHeight="false" outlineLevel="0" collapsed="false">
      <c r="A135" s="6" t="s">
        <v>364</v>
      </c>
      <c r="B135" s="6" t="s">
        <v>288</v>
      </c>
      <c r="C135" s="6" t="s">
        <v>341</v>
      </c>
      <c r="D135" s="6" t="s">
        <v>342</v>
      </c>
      <c r="E135" s="6" t="s">
        <v>365</v>
      </c>
      <c r="F135" s="7"/>
      <c r="G135" s="6" t="s">
        <v>82</v>
      </c>
      <c r="H135" s="6"/>
      <c r="I135" s="6"/>
      <c r="J135" s="6"/>
      <c r="K135" s="6"/>
      <c r="L135" s="6" t="s">
        <v>83</v>
      </c>
      <c r="M135" s="6" t="s">
        <v>84</v>
      </c>
      <c r="N135" s="6"/>
      <c r="O135" s="6"/>
      <c r="P135" s="6"/>
      <c r="Q135" s="6"/>
      <c r="R135" s="6" t="s">
        <v>85</v>
      </c>
      <c r="S135" s="6"/>
      <c r="T135" s="6" t="s">
        <v>294</v>
      </c>
      <c r="U135" s="8"/>
      <c r="V135" s="8"/>
      <c r="W135" s="8"/>
      <c r="X135" s="8"/>
      <c r="Y135" s="9"/>
      <c r="Z135" s="9"/>
      <c r="AA135" s="9"/>
      <c r="AB135" s="9"/>
      <c r="AC135" s="10" t="str">
        <f aca="false">IF(Z135="","",IF(Z135=0,"Unassigned",IF(Z135=1,"Single point",IF(AB135="Yes","Staffed and credentialed","Staffed, credential gap"))))</f>
        <v/>
      </c>
      <c r="AD135" s="10" t="str">
        <f aca="false">IFERROR(INDEX(Lists!$H$3:$H$6,MATCH(AC135,Lists!$G$3:$G$6,0)),"")</f>
        <v/>
      </c>
      <c r="AE135" s="8"/>
      <c r="AF135" s="10" t="str">
        <f aca="false">IFERROR(INDEX(Lists!$B$3:$B$7,MATCH(AE135,Lists!$A$3:$A$7,0)),"")</f>
        <v/>
      </c>
      <c r="AG135" s="8"/>
      <c r="AH135" s="8"/>
      <c r="AI135" s="8"/>
      <c r="AJ135" s="8"/>
      <c r="AK135" s="8"/>
      <c r="AL135" s="8"/>
      <c r="AM135" s="11" t="str">
        <f aca="false">IF(OR(AJ135="",AJ135=0),"",AL135/AJ135)</f>
        <v/>
      </c>
      <c r="AN135" s="8"/>
      <c r="AO135" s="8"/>
      <c r="AP135" s="10" t="str">
        <f aca="false">IF(AN135="","Not assessed",IF(AND(R135="No",AN135="Gap - recommend tailoring"),"INVALID: HSSB is not tailorable",IF(OR(Z135="",Z135=0),"NO NAMED EXECUTOR",IF(AND(N(AF135)&gt;=3,AJ135=""),"Operating claimed with no sample",IF(AND(N(AF135)&gt;=3,Z135=1),"Operating rests on one individual",IF(AND(N(AF135)&gt;=3,AB135&lt;&gt;"Yes"),"Operating claimed below designed credential",IF(AND(R135="No",N(AF135)&lt;3),"HSSB GATE: below Operating",IF(AND(N(AF135)&gt;=3,AJ135&lt;&gt;"",AL135=""),"Sample size with no conforming count","OK"))))))))</f>
        <v>Not assessed</v>
      </c>
      <c r="AQ135" s="8"/>
      <c r="AR135" s="8"/>
      <c r="AS135" s="8"/>
    </row>
    <row r="136" customFormat="false" ht="22.35" hidden="false" customHeight="false" outlineLevel="0" collapsed="false">
      <c r="A136" s="6" t="s">
        <v>366</v>
      </c>
      <c r="B136" s="6" t="s">
        <v>288</v>
      </c>
      <c r="C136" s="6" t="s">
        <v>341</v>
      </c>
      <c r="D136" s="6" t="s">
        <v>342</v>
      </c>
      <c r="E136" s="6" t="s">
        <v>367</v>
      </c>
      <c r="F136" s="7"/>
      <c r="G136" s="6" t="s">
        <v>82</v>
      </c>
      <c r="H136" s="6"/>
      <c r="I136" s="6"/>
      <c r="J136" s="6"/>
      <c r="K136" s="6"/>
      <c r="L136" s="6" t="s">
        <v>83</v>
      </c>
      <c r="M136" s="6" t="s">
        <v>84</v>
      </c>
      <c r="N136" s="6"/>
      <c r="O136" s="6"/>
      <c r="P136" s="6"/>
      <c r="Q136" s="6"/>
      <c r="R136" s="6" t="s">
        <v>85</v>
      </c>
      <c r="S136" s="6"/>
      <c r="T136" s="6" t="s">
        <v>294</v>
      </c>
      <c r="U136" s="8"/>
      <c r="V136" s="8"/>
      <c r="W136" s="8"/>
      <c r="X136" s="8"/>
      <c r="Y136" s="9"/>
      <c r="Z136" s="9"/>
      <c r="AA136" s="9"/>
      <c r="AB136" s="9"/>
      <c r="AC136" s="10" t="str">
        <f aca="false">IF(Z136="","",IF(Z136=0,"Unassigned",IF(Z136=1,"Single point",IF(AB136="Yes","Staffed and credentialed","Staffed, credential gap"))))</f>
        <v/>
      </c>
      <c r="AD136" s="10" t="str">
        <f aca="false">IFERROR(INDEX(Lists!$H$3:$H$6,MATCH(AC136,Lists!$G$3:$G$6,0)),"")</f>
        <v/>
      </c>
      <c r="AE136" s="8"/>
      <c r="AF136" s="10" t="str">
        <f aca="false">IFERROR(INDEX(Lists!$B$3:$B$7,MATCH(AE136,Lists!$A$3:$A$7,0)),"")</f>
        <v/>
      </c>
      <c r="AG136" s="8"/>
      <c r="AH136" s="8"/>
      <c r="AI136" s="8"/>
      <c r="AJ136" s="8"/>
      <c r="AK136" s="8"/>
      <c r="AL136" s="8"/>
      <c r="AM136" s="11" t="str">
        <f aca="false">IF(OR(AJ136="",AJ136=0),"",AL136/AJ136)</f>
        <v/>
      </c>
      <c r="AN136" s="8"/>
      <c r="AO136" s="8"/>
      <c r="AP136" s="10" t="str">
        <f aca="false">IF(AN136="","Not assessed",IF(AND(R136="No",AN136="Gap - recommend tailoring"),"INVALID: HSSB is not tailorable",IF(OR(Z136="",Z136=0),"NO NAMED EXECUTOR",IF(AND(N(AF136)&gt;=3,AJ136=""),"Operating claimed with no sample",IF(AND(N(AF136)&gt;=3,Z136=1),"Operating rests on one individual",IF(AND(N(AF136)&gt;=3,AB136&lt;&gt;"Yes"),"Operating claimed below designed credential",IF(AND(R136="No",N(AF136)&lt;3),"HSSB GATE: below Operating",IF(AND(N(AF136)&gt;=3,AJ136&lt;&gt;"",AL136=""),"Sample size with no conforming count","OK"))))))))</f>
        <v>Not assessed</v>
      </c>
      <c r="AQ136" s="8"/>
      <c r="AR136" s="8"/>
      <c r="AS136" s="8"/>
    </row>
    <row r="137" customFormat="false" ht="22.35" hidden="false" customHeight="false" outlineLevel="0" collapsed="false">
      <c r="A137" s="6" t="s">
        <v>368</v>
      </c>
      <c r="B137" s="6" t="s">
        <v>288</v>
      </c>
      <c r="C137" s="6" t="s">
        <v>341</v>
      </c>
      <c r="D137" s="6" t="s">
        <v>342</v>
      </c>
      <c r="E137" s="6" t="s">
        <v>369</v>
      </c>
      <c r="F137" s="7"/>
      <c r="G137" s="6" t="s">
        <v>82</v>
      </c>
      <c r="H137" s="6"/>
      <c r="I137" s="6"/>
      <c r="J137" s="6"/>
      <c r="K137" s="6"/>
      <c r="L137" s="6" t="s">
        <v>83</v>
      </c>
      <c r="M137" s="6" t="s">
        <v>84</v>
      </c>
      <c r="N137" s="6"/>
      <c r="O137" s="6"/>
      <c r="P137" s="6"/>
      <c r="Q137" s="6"/>
      <c r="R137" s="6" t="s">
        <v>85</v>
      </c>
      <c r="S137" s="6"/>
      <c r="T137" s="6" t="s">
        <v>294</v>
      </c>
      <c r="U137" s="8"/>
      <c r="V137" s="8"/>
      <c r="W137" s="8"/>
      <c r="X137" s="8"/>
      <c r="Y137" s="9"/>
      <c r="Z137" s="9"/>
      <c r="AA137" s="9"/>
      <c r="AB137" s="9"/>
      <c r="AC137" s="10" t="str">
        <f aca="false">IF(Z137="","",IF(Z137=0,"Unassigned",IF(Z137=1,"Single point",IF(AB137="Yes","Staffed and credentialed","Staffed, credential gap"))))</f>
        <v/>
      </c>
      <c r="AD137" s="10" t="str">
        <f aca="false">IFERROR(INDEX(Lists!$H$3:$H$6,MATCH(AC137,Lists!$G$3:$G$6,0)),"")</f>
        <v/>
      </c>
      <c r="AE137" s="8"/>
      <c r="AF137" s="10" t="str">
        <f aca="false">IFERROR(INDEX(Lists!$B$3:$B$7,MATCH(AE137,Lists!$A$3:$A$7,0)),"")</f>
        <v/>
      </c>
      <c r="AG137" s="8"/>
      <c r="AH137" s="8"/>
      <c r="AI137" s="8"/>
      <c r="AJ137" s="8"/>
      <c r="AK137" s="8"/>
      <c r="AL137" s="8"/>
      <c r="AM137" s="11" t="str">
        <f aca="false">IF(OR(AJ137="",AJ137=0),"",AL137/AJ137)</f>
        <v/>
      </c>
      <c r="AN137" s="8"/>
      <c r="AO137" s="8"/>
      <c r="AP137" s="10" t="str">
        <f aca="false">IF(AN137="","Not assessed",IF(AND(R137="No",AN137="Gap - recommend tailoring"),"INVALID: HSSB is not tailorable",IF(OR(Z137="",Z137=0),"NO NAMED EXECUTOR",IF(AND(N(AF137)&gt;=3,AJ137=""),"Operating claimed with no sample",IF(AND(N(AF137)&gt;=3,Z137=1),"Operating rests on one individual",IF(AND(N(AF137)&gt;=3,AB137&lt;&gt;"Yes"),"Operating claimed below designed credential",IF(AND(R137="No",N(AF137)&lt;3),"HSSB GATE: below Operating",IF(AND(N(AF137)&gt;=3,AJ137&lt;&gt;"",AL137=""),"Sample size with no conforming count","OK"))))))))</f>
        <v>Not assessed</v>
      </c>
      <c r="AQ137" s="8"/>
      <c r="AR137" s="8"/>
      <c r="AS137" s="8"/>
    </row>
    <row r="138" customFormat="false" ht="22.35" hidden="false" customHeight="false" outlineLevel="0" collapsed="false">
      <c r="A138" s="6" t="s">
        <v>370</v>
      </c>
      <c r="B138" s="6" t="s">
        <v>288</v>
      </c>
      <c r="C138" s="6" t="s">
        <v>341</v>
      </c>
      <c r="D138" s="6" t="s">
        <v>342</v>
      </c>
      <c r="E138" s="6" t="s">
        <v>371</v>
      </c>
      <c r="F138" s="7"/>
      <c r="G138" s="6" t="s">
        <v>82</v>
      </c>
      <c r="H138" s="6"/>
      <c r="I138" s="6"/>
      <c r="J138" s="6"/>
      <c r="K138" s="6"/>
      <c r="L138" s="6" t="s">
        <v>83</v>
      </c>
      <c r="M138" s="6" t="s">
        <v>84</v>
      </c>
      <c r="N138" s="6"/>
      <c r="O138" s="6"/>
      <c r="P138" s="6"/>
      <c r="Q138" s="6"/>
      <c r="R138" s="6" t="s">
        <v>85</v>
      </c>
      <c r="S138" s="6"/>
      <c r="T138" s="6" t="s">
        <v>294</v>
      </c>
      <c r="U138" s="8"/>
      <c r="V138" s="8"/>
      <c r="W138" s="8"/>
      <c r="X138" s="8"/>
      <c r="Y138" s="9"/>
      <c r="Z138" s="9"/>
      <c r="AA138" s="9"/>
      <c r="AB138" s="9"/>
      <c r="AC138" s="10" t="str">
        <f aca="false">IF(Z138="","",IF(Z138=0,"Unassigned",IF(Z138=1,"Single point",IF(AB138="Yes","Staffed and credentialed","Staffed, credential gap"))))</f>
        <v/>
      </c>
      <c r="AD138" s="10" t="str">
        <f aca="false">IFERROR(INDEX(Lists!$H$3:$H$6,MATCH(AC138,Lists!$G$3:$G$6,0)),"")</f>
        <v/>
      </c>
      <c r="AE138" s="8"/>
      <c r="AF138" s="10" t="str">
        <f aca="false">IFERROR(INDEX(Lists!$B$3:$B$7,MATCH(AE138,Lists!$A$3:$A$7,0)),"")</f>
        <v/>
      </c>
      <c r="AG138" s="8"/>
      <c r="AH138" s="8"/>
      <c r="AI138" s="8"/>
      <c r="AJ138" s="8"/>
      <c r="AK138" s="8"/>
      <c r="AL138" s="8"/>
      <c r="AM138" s="11" t="str">
        <f aca="false">IF(OR(AJ138="",AJ138=0),"",AL138/AJ138)</f>
        <v/>
      </c>
      <c r="AN138" s="8"/>
      <c r="AO138" s="8"/>
      <c r="AP138" s="10" t="str">
        <f aca="false">IF(AN138="","Not assessed",IF(AND(R138="No",AN138="Gap - recommend tailoring"),"INVALID: HSSB is not tailorable",IF(OR(Z138="",Z138=0),"NO NAMED EXECUTOR",IF(AND(N(AF138)&gt;=3,AJ138=""),"Operating claimed with no sample",IF(AND(N(AF138)&gt;=3,Z138=1),"Operating rests on one individual",IF(AND(N(AF138)&gt;=3,AB138&lt;&gt;"Yes"),"Operating claimed below designed credential",IF(AND(R138="No",N(AF138)&lt;3),"HSSB GATE: below Operating",IF(AND(N(AF138)&gt;=3,AJ138&lt;&gt;"",AL138=""),"Sample size with no conforming count","OK"))))))))</f>
        <v>Not assessed</v>
      </c>
      <c r="AQ138" s="8"/>
      <c r="AR138" s="8"/>
      <c r="AS138" s="8"/>
    </row>
    <row r="139" customFormat="false" ht="22.35" hidden="false" customHeight="false" outlineLevel="0" collapsed="false">
      <c r="A139" s="6" t="s">
        <v>372</v>
      </c>
      <c r="B139" s="6" t="s">
        <v>288</v>
      </c>
      <c r="C139" s="6" t="s">
        <v>341</v>
      </c>
      <c r="D139" s="6" t="s">
        <v>342</v>
      </c>
      <c r="E139" s="6" t="s">
        <v>373</v>
      </c>
      <c r="F139" s="7"/>
      <c r="G139" s="6" t="s">
        <v>82</v>
      </c>
      <c r="H139" s="6"/>
      <c r="I139" s="6"/>
      <c r="J139" s="6"/>
      <c r="K139" s="6"/>
      <c r="L139" s="6" t="s">
        <v>83</v>
      </c>
      <c r="M139" s="6" t="s">
        <v>84</v>
      </c>
      <c r="N139" s="6"/>
      <c r="O139" s="6"/>
      <c r="P139" s="6"/>
      <c r="Q139" s="6"/>
      <c r="R139" s="6" t="s">
        <v>85</v>
      </c>
      <c r="S139" s="6"/>
      <c r="T139" s="6" t="s">
        <v>294</v>
      </c>
      <c r="U139" s="8"/>
      <c r="V139" s="8"/>
      <c r="W139" s="8"/>
      <c r="X139" s="8"/>
      <c r="Y139" s="9"/>
      <c r="Z139" s="9"/>
      <c r="AA139" s="9"/>
      <c r="AB139" s="9"/>
      <c r="AC139" s="10" t="str">
        <f aca="false">IF(Z139="","",IF(Z139=0,"Unassigned",IF(Z139=1,"Single point",IF(AB139="Yes","Staffed and credentialed","Staffed, credential gap"))))</f>
        <v/>
      </c>
      <c r="AD139" s="10" t="str">
        <f aca="false">IFERROR(INDEX(Lists!$H$3:$H$6,MATCH(AC139,Lists!$G$3:$G$6,0)),"")</f>
        <v/>
      </c>
      <c r="AE139" s="8"/>
      <c r="AF139" s="10" t="str">
        <f aca="false">IFERROR(INDEX(Lists!$B$3:$B$7,MATCH(AE139,Lists!$A$3:$A$7,0)),"")</f>
        <v/>
      </c>
      <c r="AG139" s="8"/>
      <c r="AH139" s="8"/>
      <c r="AI139" s="8"/>
      <c r="AJ139" s="8"/>
      <c r="AK139" s="8"/>
      <c r="AL139" s="8"/>
      <c r="AM139" s="11" t="str">
        <f aca="false">IF(OR(AJ139="",AJ139=0),"",AL139/AJ139)</f>
        <v/>
      </c>
      <c r="AN139" s="8"/>
      <c r="AO139" s="8"/>
      <c r="AP139" s="10" t="str">
        <f aca="false">IF(AN139="","Not assessed",IF(AND(R139="No",AN139="Gap - recommend tailoring"),"INVALID: HSSB is not tailorable",IF(OR(Z139="",Z139=0),"NO NAMED EXECUTOR",IF(AND(N(AF139)&gt;=3,AJ139=""),"Operating claimed with no sample",IF(AND(N(AF139)&gt;=3,Z139=1),"Operating rests on one individual",IF(AND(N(AF139)&gt;=3,AB139&lt;&gt;"Yes"),"Operating claimed below designed credential",IF(AND(R139="No",N(AF139)&lt;3),"HSSB GATE: below Operating",IF(AND(N(AF139)&gt;=3,AJ139&lt;&gt;"",AL139=""),"Sample size with no conforming count","OK"))))))))</f>
        <v>Not assessed</v>
      </c>
      <c r="AQ139" s="8"/>
      <c r="AR139" s="8"/>
      <c r="AS139" s="8"/>
    </row>
    <row r="140" customFormat="false" ht="22.35" hidden="false" customHeight="false" outlineLevel="0" collapsed="false">
      <c r="A140" s="6" t="s">
        <v>374</v>
      </c>
      <c r="B140" s="6" t="s">
        <v>288</v>
      </c>
      <c r="C140" s="6" t="s">
        <v>341</v>
      </c>
      <c r="D140" s="6" t="s">
        <v>342</v>
      </c>
      <c r="E140" s="6" t="s">
        <v>375</v>
      </c>
      <c r="F140" s="7"/>
      <c r="G140" s="6" t="s">
        <v>82</v>
      </c>
      <c r="H140" s="6"/>
      <c r="I140" s="6"/>
      <c r="J140" s="6"/>
      <c r="K140" s="6"/>
      <c r="L140" s="6" t="s">
        <v>83</v>
      </c>
      <c r="M140" s="6" t="s">
        <v>84</v>
      </c>
      <c r="N140" s="6"/>
      <c r="O140" s="6"/>
      <c r="P140" s="6"/>
      <c r="Q140" s="6"/>
      <c r="R140" s="6" t="s">
        <v>85</v>
      </c>
      <c r="S140" s="6"/>
      <c r="T140" s="6" t="s">
        <v>294</v>
      </c>
      <c r="U140" s="8"/>
      <c r="V140" s="8"/>
      <c r="W140" s="8"/>
      <c r="X140" s="8"/>
      <c r="Y140" s="9"/>
      <c r="Z140" s="9"/>
      <c r="AA140" s="9"/>
      <c r="AB140" s="9"/>
      <c r="AC140" s="10" t="str">
        <f aca="false">IF(Z140="","",IF(Z140=0,"Unassigned",IF(Z140=1,"Single point",IF(AB140="Yes","Staffed and credentialed","Staffed, credential gap"))))</f>
        <v/>
      </c>
      <c r="AD140" s="10" t="str">
        <f aca="false">IFERROR(INDEX(Lists!$H$3:$H$6,MATCH(AC140,Lists!$G$3:$G$6,0)),"")</f>
        <v/>
      </c>
      <c r="AE140" s="8"/>
      <c r="AF140" s="10" t="str">
        <f aca="false">IFERROR(INDEX(Lists!$B$3:$B$7,MATCH(AE140,Lists!$A$3:$A$7,0)),"")</f>
        <v/>
      </c>
      <c r="AG140" s="8"/>
      <c r="AH140" s="8"/>
      <c r="AI140" s="8"/>
      <c r="AJ140" s="8"/>
      <c r="AK140" s="8"/>
      <c r="AL140" s="8"/>
      <c r="AM140" s="11" t="str">
        <f aca="false">IF(OR(AJ140="",AJ140=0),"",AL140/AJ140)</f>
        <v/>
      </c>
      <c r="AN140" s="8"/>
      <c r="AO140" s="8"/>
      <c r="AP140" s="10" t="str">
        <f aca="false">IF(AN140="","Not assessed",IF(AND(R140="No",AN140="Gap - recommend tailoring"),"INVALID: HSSB is not tailorable",IF(OR(Z140="",Z140=0),"NO NAMED EXECUTOR",IF(AND(N(AF140)&gt;=3,AJ140=""),"Operating claimed with no sample",IF(AND(N(AF140)&gt;=3,Z140=1),"Operating rests on one individual",IF(AND(N(AF140)&gt;=3,AB140&lt;&gt;"Yes"),"Operating claimed below designed credential",IF(AND(R140="No",N(AF140)&lt;3),"HSSB GATE: below Operating",IF(AND(N(AF140)&gt;=3,AJ140&lt;&gt;"",AL140=""),"Sample size with no conforming count","OK"))))))))</f>
        <v>Not assessed</v>
      </c>
      <c r="AQ140" s="8"/>
      <c r="AR140" s="8"/>
      <c r="AS140" s="8"/>
    </row>
    <row r="141" customFormat="false" ht="22.35" hidden="false" customHeight="false" outlineLevel="0" collapsed="false">
      <c r="A141" s="6" t="s">
        <v>376</v>
      </c>
      <c r="B141" s="6" t="s">
        <v>288</v>
      </c>
      <c r="C141" s="6" t="s">
        <v>341</v>
      </c>
      <c r="D141" s="6" t="s">
        <v>342</v>
      </c>
      <c r="E141" s="6" t="s">
        <v>377</v>
      </c>
      <c r="F141" s="7"/>
      <c r="G141" s="6" t="s">
        <v>82</v>
      </c>
      <c r="H141" s="6"/>
      <c r="I141" s="6"/>
      <c r="J141" s="6"/>
      <c r="K141" s="6"/>
      <c r="L141" s="6" t="s">
        <v>83</v>
      </c>
      <c r="M141" s="6" t="s">
        <v>84</v>
      </c>
      <c r="N141" s="6"/>
      <c r="O141" s="6"/>
      <c r="P141" s="6"/>
      <c r="Q141" s="6"/>
      <c r="R141" s="6" t="s">
        <v>85</v>
      </c>
      <c r="S141" s="6"/>
      <c r="T141" s="6" t="s">
        <v>294</v>
      </c>
      <c r="U141" s="8"/>
      <c r="V141" s="8"/>
      <c r="W141" s="8"/>
      <c r="X141" s="8"/>
      <c r="Y141" s="9"/>
      <c r="Z141" s="9"/>
      <c r="AA141" s="9"/>
      <c r="AB141" s="9"/>
      <c r="AC141" s="10" t="str">
        <f aca="false">IF(Z141="","",IF(Z141=0,"Unassigned",IF(Z141=1,"Single point",IF(AB141="Yes","Staffed and credentialed","Staffed, credential gap"))))</f>
        <v/>
      </c>
      <c r="AD141" s="10" t="str">
        <f aca="false">IFERROR(INDEX(Lists!$H$3:$H$6,MATCH(AC141,Lists!$G$3:$G$6,0)),"")</f>
        <v/>
      </c>
      <c r="AE141" s="8"/>
      <c r="AF141" s="10" t="str">
        <f aca="false">IFERROR(INDEX(Lists!$B$3:$B$7,MATCH(AE141,Lists!$A$3:$A$7,0)),"")</f>
        <v/>
      </c>
      <c r="AG141" s="8"/>
      <c r="AH141" s="8"/>
      <c r="AI141" s="8"/>
      <c r="AJ141" s="8"/>
      <c r="AK141" s="8"/>
      <c r="AL141" s="8"/>
      <c r="AM141" s="11" t="str">
        <f aca="false">IF(OR(AJ141="",AJ141=0),"",AL141/AJ141)</f>
        <v/>
      </c>
      <c r="AN141" s="8"/>
      <c r="AO141" s="8"/>
      <c r="AP141" s="10" t="str">
        <f aca="false">IF(AN141="","Not assessed",IF(AND(R141="No",AN141="Gap - recommend tailoring"),"INVALID: HSSB is not tailorable",IF(OR(Z141="",Z141=0),"NO NAMED EXECUTOR",IF(AND(N(AF141)&gt;=3,AJ141=""),"Operating claimed with no sample",IF(AND(N(AF141)&gt;=3,Z141=1),"Operating rests on one individual",IF(AND(N(AF141)&gt;=3,AB141&lt;&gt;"Yes"),"Operating claimed below designed credential",IF(AND(R141="No",N(AF141)&lt;3),"HSSB GATE: below Operating",IF(AND(N(AF141)&gt;=3,AJ141&lt;&gt;"",AL141=""),"Sample size with no conforming count","OK"))))))))</f>
        <v>Not assessed</v>
      </c>
      <c r="AQ141" s="8"/>
      <c r="AR141" s="8"/>
      <c r="AS141" s="8"/>
    </row>
    <row r="142" customFormat="false" ht="22.35" hidden="false" customHeight="false" outlineLevel="0" collapsed="false">
      <c r="A142" s="6" t="s">
        <v>378</v>
      </c>
      <c r="B142" s="6" t="s">
        <v>288</v>
      </c>
      <c r="C142" s="6" t="s">
        <v>341</v>
      </c>
      <c r="D142" s="6" t="s">
        <v>342</v>
      </c>
      <c r="E142" s="6" t="s">
        <v>379</v>
      </c>
      <c r="F142" s="7"/>
      <c r="G142" s="6" t="s">
        <v>82</v>
      </c>
      <c r="H142" s="6"/>
      <c r="I142" s="6"/>
      <c r="J142" s="6"/>
      <c r="K142" s="6"/>
      <c r="L142" s="6" t="s">
        <v>83</v>
      </c>
      <c r="M142" s="6" t="s">
        <v>84</v>
      </c>
      <c r="N142" s="6"/>
      <c r="O142" s="6"/>
      <c r="P142" s="6"/>
      <c r="Q142" s="6"/>
      <c r="R142" s="6" t="s">
        <v>85</v>
      </c>
      <c r="S142" s="6"/>
      <c r="T142" s="6" t="s">
        <v>294</v>
      </c>
      <c r="U142" s="8"/>
      <c r="V142" s="8"/>
      <c r="W142" s="8"/>
      <c r="X142" s="8"/>
      <c r="Y142" s="9"/>
      <c r="Z142" s="9"/>
      <c r="AA142" s="9"/>
      <c r="AB142" s="9"/>
      <c r="AC142" s="10" t="str">
        <f aca="false">IF(Z142="","",IF(Z142=0,"Unassigned",IF(Z142=1,"Single point",IF(AB142="Yes","Staffed and credentialed","Staffed, credential gap"))))</f>
        <v/>
      </c>
      <c r="AD142" s="10" t="str">
        <f aca="false">IFERROR(INDEX(Lists!$H$3:$H$6,MATCH(AC142,Lists!$G$3:$G$6,0)),"")</f>
        <v/>
      </c>
      <c r="AE142" s="8"/>
      <c r="AF142" s="10" t="str">
        <f aca="false">IFERROR(INDEX(Lists!$B$3:$B$7,MATCH(AE142,Lists!$A$3:$A$7,0)),"")</f>
        <v/>
      </c>
      <c r="AG142" s="8"/>
      <c r="AH142" s="8"/>
      <c r="AI142" s="8"/>
      <c r="AJ142" s="8"/>
      <c r="AK142" s="8"/>
      <c r="AL142" s="8"/>
      <c r="AM142" s="11" t="str">
        <f aca="false">IF(OR(AJ142="",AJ142=0),"",AL142/AJ142)</f>
        <v/>
      </c>
      <c r="AN142" s="8"/>
      <c r="AO142" s="8"/>
      <c r="AP142" s="10" t="str">
        <f aca="false">IF(AN142="","Not assessed",IF(AND(R142="No",AN142="Gap - recommend tailoring"),"INVALID: HSSB is not tailorable",IF(OR(Z142="",Z142=0),"NO NAMED EXECUTOR",IF(AND(N(AF142)&gt;=3,AJ142=""),"Operating claimed with no sample",IF(AND(N(AF142)&gt;=3,Z142=1),"Operating rests on one individual",IF(AND(N(AF142)&gt;=3,AB142&lt;&gt;"Yes"),"Operating claimed below designed credential",IF(AND(R142="No",N(AF142)&lt;3),"HSSB GATE: below Operating",IF(AND(N(AF142)&gt;=3,AJ142&lt;&gt;"",AL142=""),"Sample size with no conforming count","OK"))))))))</f>
        <v>Not assessed</v>
      </c>
      <c r="AQ142" s="8"/>
      <c r="AR142" s="8"/>
      <c r="AS142" s="8"/>
    </row>
    <row r="143" customFormat="false" ht="22.35" hidden="false" customHeight="false" outlineLevel="0" collapsed="false">
      <c r="A143" s="6" t="s">
        <v>380</v>
      </c>
      <c r="B143" s="6" t="s">
        <v>288</v>
      </c>
      <c r="C143" s="6" t="s">
        <v>341</v>
      </c>
      <c r="D143" s="6" t="s">
        <v>342</v>
      </c>
      <c r="E143" s="6" t="s">
        <v>381</v>
      </c>
      <c r="F143" s="7"/>
      <c r="G143" s="6" t="s">
        <v>82</v>
      </c>
      <c r="H143" s="6"/>
      <c r="I143" s="6"/>
      <c r="J143" s="6"/>
      <c r="K143" s="6"/>
      <c r="L143" s="6" t="s">
        <v>83</v>
      </c>
      <c r="M143" s="6" t="s">
        <v>84</v>
      </c>
      <c r="N143" s="6"/>
      <c r="O143" s="6"/>
      <c r="P143" s="6"/>
      <c r="Q143" s="6"/>
      <c r="R143" s="6" t="s">
        <v>85</v>
      </c>
      <c r="S143" s="6"/>
      <c r="T143" s="6" t="s">
        <v>294</v>
      </c>
      <c r="U143" s="8"/>
      <c r="V143" s="8"/>
      <c r="W143" s="8"/>
      <c r="X143" s="8"/>
      <c r="Y143" s="9"/>
      <c r="Z143" s="9"/>
      <c r="AA143" s="9"/>
      <c r="AB143" s="9"/>
      <c r="AC143" s="10" t="str">
        <f aca="false">IF(Z143="","",IF(Z143=0,"Unassigned",IF(Z143=1,"Single point",IF(AB143="Yes","Staffed and credentialed","Staffed, credential gap"))))</f>
        <v/>
      </c>
      <c r="AD143" s="10" t="str">
        <f aca="false">IFERROR(INDEX(Lists!$H$3:$H$6,MATCH(AC143,Lists!$G$3:$G$6,0)),"")</f>
        <v/>
      </c>
      <c r="AE143" s="8"/>
      <c r="AF143" s="10" t="str">
        <f aca="false">IFERROR(INDEX(Lists!$B$3:$B$7,MATCH(AE143,Lists!$A$3:$A$7,0)),"")</f>
        <v/>
      </c>
      <c r="AG143" s="8"/>
      <c r="AH143" s="8"/>
      <c r="AI143" s="8"/>
      <c r="AJ143" s="8"/>
      <c r="AK143" s="8"/>
      <c r="AL143" s="8"/>
      <c r="AM143" s="11" t="str">
        <f aca="false">IF(OR(AJ143="",AJ143=0),"",AL143/AJ143)</f>
        <v/>
      </c>
      <c r="AN143" s="8"/>
      <c r="AO143" s="8"/>
      <c r="AP143" s="10" t="str">
        <f aca="false">IF(AN143="","Not assessed",IF(AND(R143="No",AN143="Gap - recommend tailoring"),"INVALID: HSSB is not tailorable",IF(OR(Z143="",Z143=0),"NO NAMED EXECUTOR",IF(AND(N(AF143)&gt;=3,AJ143=""),"Operating claimed with no sample",IF(AND(N(AF143)&gt;=3,Z143=1),"Operating rests on one individual",IF(AND(N(AF143)&gt;=3,AB143&lt;&gt;"Yes"),"Operating claimed below designed credential",IF(AND(R143="No",N(AF143)&lt;3),"HSSB GATE: below Operating",IF(AND(N(AF143)&gt;=3,AJ143&lt;&gt;"",AL143=""),"Sample size with no conforming count","OK"))))))))</f>
        <v>Not assessed</v>
      </c>
      <c r="AQ143" s="8"/>
      <c r="AR143" s="8"/>
      <c r="AS143" s="8"/>
    </row>
    <row r="144" customFormat="false" ht="22.35" hidden="false" customHeight="false" outlineLevel="0" collapsed="false">
      <c r="A144" s="6" t="s">
        <v>382</v>
      </c>
      <c r="B144" s="6" t="s">
        <v>288</v>
      </c>
      <c r="C144" s="6" t="s">
        <v>341</v>
      </c>
      <c r="D144" s="6" t="s">
        <v>342</v>
      </c>
      <c r="E144" s="6" t="s">
        <v>383</v>
      </c>
      <c r="F144" s="7"/>
      <c r="G144" s="6" t="s">
        <v>82</v>
      </c>
      <c r="H144" s="6"/>
      <c r="I144" s="6"/>
      <c r="J144" s="6"/>
      <c r="K144" s="6"/>
      <c r="L144" s="6" t="s">
        <v>83</v>
      </c>
      <c r="M144" s="6" t="s">
        <v>84</v>
      </c>
      <c r="N144" s="6"/>
      <c r="O144" s="6"/>
      <c r="P144" s="6"/>
      <c r="Q144" s="6"/>
      <c r="R144" s="6" t="s">
        <v>85</v>
      </c>
      <c r="S144" s="6"/>
      <c r="T144" s="6" t="s">
        <v>294</v>
      </c>
      <c r="U144" s="8"/>
      <c r="V144" s="8"/>
      <c r="W144" s="8"/>
      <c r="X144" s="8"/>
      <c r="Y144" s="9"/>
      <c r="Z144" s="9"/>
      <c r="AA144" s="9"/>
      <c r="AB144" s="9"/>
      <c r="AC144" s="10" t="str">
        <f aca="false">IF(Z144="","",IF(Z144=0,"Unassigned",IF(Z144=1,"Single point",IF(AB144="Yes","Staffed and credentialed","Staffed, credential gap"))))</f>
        <v/>
      </c>
      <c r="AD144" s="10" t="str">
        <f aca="false">IFERROR(INDEX(Lists!$H$3:$H$6,MATCH(AC144,Lists!$G$3:$G$6,0)),"")</f>
        <v/>
      </c>
      <c r="AE144" s="8"/>
      <c r="AF144" s="10" t="str">
        <f aca="false">IFERROR(INDEX(Lists!$B$3:$B$7,MATCH(AE144,Lists!$A$3:$A$7,0)),"")</f>
        <v/>
      </c>
      <c r="AG144" s="8"/>
      <c r="AH144" s="8"/>
      <c r="AI144" s="8"/>
      <c r="AJ144" s="8"/>
      <c r="AK144" s="8"/>
      <c r="AL144" s="8"/>
      <c r="AM144" s="11" t="str">
        <f aca="false">IF(OR(AJ144="",AJ144=0),"",AL144/AJ144)</f>
        <v/>
      </c>
      <c r="AN144" s="8"/>
      <c r="AO144" s="8"/>
      <c r="AP144" s="10" t="str">
        <f aca="false">IF(AN144="","Not assessed",IF(AND(R144="No",AN144="Gap - recommend tailoring"),"INVALID: HSSB is not tailorable",IF(OR(Z144="",Z144=0),"NO NAMED EXECUTOR",IF(AND(N(AF144)&gt;=3,AJ144=""),"Operating claimed with no sample",IF(AND(N(AF144)&gt;=3,Z144=1),"Operating rests on one individual",IF(AND(N(AF144)&gt;=3,AB144&lt;&gt;"Yes"),"Operating claimed below designed credential",IF(AND(R144="No",N(AF144)&lt;3),"HSSB GATE: below Operating",IF(AND(N(AF144)&gt;=3,AJ144&lt;&gt;"",AL144=""),"Sample size with no conforming count","OK"))))))))</f>
        <v>Not assessed</v>
      </c>
      <c r="AQ144" s="8"/>
      <c r="AR144" s="8"/>
      <c r="AS144" s="8"/>
    </row>
    <row r="145" customFormat="false" ht="22.35" hidden="false" customHeight="false" outlineLevel="0" collapsed="false">
      <c r="A145" s="6" t="s">
        <v>384</v>
      </c>
      <c r="B145" s="6" t="s">
        <v>288</v>
      </c>
      <c r="C145" s="6" t="s">
        <v>341</v>
      </c>
      <c r="D145" s="6" t="s">
        <v>342</v>
      </c>
      <c r="E145" s="6" t="s">
        <v>385</v>
      </c>
      <c r="F145" s="7"/>
      <c r="G145" s="6" t="s">
        <v>82</v>
      </c>
      <c r="H145" s="6"/>
      <c r="I145" s="6"/>
      <c r="J145" s="6"/>
      <c r="K145" s="6"/>
      <c r="L145" s="6" t="s">
        <v>83</v>
      </c>
      <c r="M145" s="6" t="s">
        <v>84</v>
      </c>
      <c r="N145" s="6"/>
      <c r="O145" s="6"/>
      <c r="P145" s="6"/>
      <c r="Q145" s="6"/>
      <c r="R145" s="6" t="s">
        <v>85</v>
      </c>
      <c r="S145" s="6"/>
      <c r="T145" s="6" t="s">
        <v>294</v>
      </c>
      <c r="U145" s="8"/>
      <c r="V145" s="8"/>
      <c r="W145" s="8"/>
      <c r="X145" s="8"/>
      <c r="Y145" s="9"/>
      <c r="Z145" s="9"/>
      <c r="AA145" s="9"/>
      <c r="AB145" s="9"/>
      <c r="AC145" s="10" t="str">
        <f aca="false">IF(Z145="","",IF(Z145=0,"Unassigned",IF(Z145=1,"Single point",IF(AB145="Yes","Staffed and credentialed","Staffed, credential gap"))))</f>
        <v/>
      </c>
      <c r="AD145" s="10" t="str">
        <f aca="false">IFERROR(INDEX(Lists!$H$3:$H$6,MATCH(AC145,Lists!$G$3:$G$6,0)),"")</f>
        <v/>
      </c>
      <c r="AE145" s="8"/>
      <c r="AF145" s="10" t="str">
        <f aca="false">IFERROR(INDEX(Lists!$B$3:$B$7,MATCH(AE145,Lists!$A$3:$A$7,0)),"")</f>
        <v/>
      </c>
      <c r="AG145" s="8"/>
      <c r="AH145" s="8"/>
      <c r="AI145" s="8"/>
      <c r="AJ145" s="8"/>
      <c r="AK145" s="8"/>
      <c r="AL145" s="8"/>
      <c r="AM145" s="11" t="str">
        <f aca="false">IF(OR(AJ145="",AJ145=0),"",AL145/AJ145)</f>
        <v/>
      </c>
      <c r="AN145" s="8"/>
      <c r="AO145" s="8"/>
      <c r="AP145" s="10" t="str">
        <f aca="false">IF(AN145="","Not assessed",IF(AND(R145="No",AN145="Gap - recommend tailoring"),"INVALID: HSSB is not tailorable",IF(OR(Z145="",Z145=0),"NO NAMED EXECUTOR",IF(AND(N(AF145)&gt;=3,AJ145=""),"Operating claimed with no sample",IF(AND(N(AF145)&gt;=3,Z145=1),"Operating rests on one individual",IF(AND(N(AF145)&gt;=3,AB145&lt;&gt;"Yes"),"Operating claimed below designed credential",IF(AND(R145="No",N(AF145)&lt;3),"HSSB GATE: below Operating",IF(AND(N(AF145)&gt;=3,AJ145&lt;&gt;"",AL145=""),"Sample size with no conforming count","OK"))))))))</f>
        <v>Not assessed</v>
      </c>
      <c r="AQ145" s="8"/>
      <c r="AR145" s="8"/>
      <c r="AS145" s="8"/>
    </row>
    <row r="146" customFormat="false" ht="22.35" hidden="false" customHeight="false" outlineLevel="0" collapsed="false">
      <c r="A146" s="6" t="s">
        <v>386</v>
      </c>
      <c r="B146" s="6" t="s">
        <v>288</v>
      </c>
      <c r="C146" s="6" t="s">
        <v>341</v>
      </c>
      <c r="D146" s="6" t="s">
        <v>342</v>
      </c>
      <c r="E146" s="6" t="s">
        <v>387</v>
      </c>
      <c r="F146" s="7"/>
      <c r="G146" s="6" t="s">
        <v>82</v>
      </c>
      <c r="H146" s="6"/>
      <c r="I146" s="6"/>
      <c r="J146" s="6"/>
      <c r="K146" s="6"/>
      <c r="L146" s="6" t="s">
        <v>83</v>
      </c>
      <c r="M146" s="6" t="s">
        <v>84</v>
      </c>
      <c r="N146" s="6"/>
      <c r="O146" s="6"/>
      <c r="P146" s="6"/>
      <c r="Q146" s="6"/>
      <c r="R146" s="6" t="s">
        <v>85</v>
      </c>
      <c r="S146" s="6"/>
      <c r="T146" s="6" t="s">
        <v>294</v>
      </c>
      <c r="U146" s="8"/>
      <c r="V146" s="8"/>
      <c r="W146" s="8"/>
      <c r="X146" s="8"/>
      <c r="Y146" s="9"/>
      <c r="Z146" s="9"/>
      <c r="AA146" s="9"/>
      <c r="AB146" s="9"/>
      <c r="AC146" s="10" t="str">
        <f aca="false">IF(Z146="","",IF(Z146=0,"Unassigned",IF(Z146=1,"Single point",IF(AB146="Yes","Staffed and credentialed","Staffed, credential gap"))))</f>
        <v/>
      </c>
      <c r="AD146" s="10" t="str">
        <f aca="false">IFERROR(INDEX(Lists!$H$3:$H$6,MATCH(AC146,Lists!$G$3:$G$6,0)),"")</f>
        <v/>
      </c>
      <c r="AE146" s="8"/>
      <c r="AF146" s="10" t="str">
        <f aca="false">IFERROR(INDEX(Lists!$B$3:$B$7,MATCH(AE146,Lists!$A$3:$A$7,0)),"")</f>
        <v/>
      </c>
      <c r="AG146" s="8"/>
      <c r="AH146" s="8"/>
      <c r="AI146" s="8"/>
      <c r="AJ146" s="8"/>
      <c r="AK146" s="8"/>
      <c r="AL146" s="8"/>
      <c r="AM146" s="11" t="str">
        <f aca="false">IF(OR(AJ146="",AJ146=0),"",AL146/AJ146)</f>
        <v/>
      </c>
      <c r="AN146" s="8"/>
      <c r="AO146" s="8"/>
      <c r="AP146" s="10" t="str">
        <f aca="false">IF(AN146="","Not assessed",IF(AND(R146="No",AN146="Gap - recommend tailoring"),"INVALID: HSSB is not tailorable",IF(OR(Z146="",Z146=0),"NO NAMED EXECUTOR",IF(AND(N(AF146)&gt;=3,AJ146=""),"Operating claimed with no sample",IF(AND(N(AF146)&gt;=3,Z146=1),"Operating rests on one individual",IF(AND(N(AF146)&gt;=3,AB146&lt;&gt;"Yes"),"Operating claimed below designed credential",IF(AND(R146="No",N(AF146)&lt;3),"HSSB GATE: below Operating",IF(AND(N(AF146)&gt;=3,AJ146&lt;&gt;"",AL146=""),"Sample size with no conforming count","OK"))))))))</f>
        <v>Not assessed</v>
      </c>
      <c r="AQ146" s="8"/>
      <c r="AR146" s="8"/>
      <c r="AS146" s="8"/>
    </row>
    <row r="147" customFormat="false" ht="22.35" hidden="false" customHeight="false" outlineLevel="0" collapsed="false">
      <c r="A147" s="6" t="s">
        <v>388</v>
      </c>
      <c r="B147" s="6" t="s">
        <v>288</v>
      </c>
      <c r="C147" s="6" t="s">
        <v>341</v>
      </c>
      <c r="D147" s="6" t="s">
        <v>342</v>
      </c>
      <c r="E147" s="6" t="s">
        <v>389</v>
      </c>
      <c r="F147" s="7"/>
      <c r="G147" s="6" t="s">
        <v>82</v>
      </c>
      <c r="H147" s="6"/>
      <c r="I147" s="6"/>
      <c r="J147" s="6"/>
      <c r="K147" s="6"/>
      <c r="L147" s="6" t="s">
        <v>83</v>
      </c>
      <c r="M147" s="6" t="s">
        <v>84</v>
      </c>
      <c r="N147" s="6"/>
      <c r="O147" s="6"/>
      <c r="P147" s="6"/>
      <c r="Q147" s="6"/>
      <c r="R147" s="6" t="s">
        <v>85</v>
      </c>
      <c r="S147" s="6"/>
      <c r="T147" s="6" t="s">
        <v>294</v>
      </c>
      <c r="U147" s="8"/>
      <c r="V147" s="8"/>
      <c r="W147" s="8"/>
      <c r="X147" s="8"/>
      <c r="Y147" s="9"/>
      <c r="Z147" s="9"/>
      <c r="AA147" s="9"/>
      <c r="AB147" s="9"/>
      <c r="AC147" s="10" t="str">
        <f aca="false">IF(Z147="","",IF(Z147=0,"Unassigned",IF(Z147=1,"Single point",IF(AB147="Yes","Staffed and credentialed","Staffed, credential gap"))))</f>
        <v/>
      </c>
      <c r="AD147" s="10" t="str">
        <f aca="false">IFERROR(INDEX(Lists!$H$3:$H$6,MATCH(AC147,Lists!$G$3:$G$6,0)),"")</f>
        <v/>
      </c>
      <c r="AE147" s="8"/>
      <c r="AF147" s="10" t="str">
        <f aca="false">IFERROR(INDEX(Lists!$B$3:$B$7,MATCH(AE147,Lists!$A$3:$A$7,0)),"")</f>
        <v/>
      </c>
      <c r="AG147" s="8"/>
      <c r="AH147" s="8"/>
      <c r="AI147" s="8"/>
      <c r="AJ147" s="8"/>
      <c r="AK147" s="8"/>
      <c r="AL147" s="8"/>
      <c r="AM147" s="11" t="str">
        <f aca="false">IF(OR(AJ147="",AJ147=0),"",AL147/AJ147)</f>
        <v/>
      </c>
      <c r="AN147" s="8"/>
      <c r="AO147" s="8"/>
      <c r="AP147" s="10" t="str">
        <f aca="false">IF(AN147="","Not assessed",IF(AND(R147="No",AN147="Gap - recommend tailoring"),"INVALID: HSSB is not tailorable",IF(OR(Z147="",Z147=0),"NO NAMED EXECUTOR",IF(AND(N(AF147)&gt;=3,AJ147=""),"Operating claimed with no sample",IF(AND(N(AF147)&gt;=3,Z147=1),"Operating rests on one individual",IF(AND(N(AF147)&gt;=3,AB147&lt;&gt;"Yes"),"Operating claimed below designed credential",IF(AND(R147="No",N(AF147)&lt;3),"HSSB GATE: below Operating",IF(AND(N(AF147)&gt;=3,AJ147&lt;&gt;"",AL147=""),"Sample size with no conforming count","OK"))))))))</f>
        <v>Not assessed</v>
      </c>
      <c r="AQ147" s="8"/>
      <c r="AR147" s="8"/>
      <c r="AS147" s="8"/>
    </row>
    <row r="148" customFormat="false" ht="22.35" hidden="false" customHeight="false" outlineLevel="0" collapsed="false">
      <c r="A148" s="6" t="s">
        <v>390</v>
      </c>
      <c r="B148" s="6" t="s">
        <v>288</v>
      </c>
      <c r="C148" s="6" t="s">
        <v>341</v>
      </c>
      <c r="D148" s="6" t="s">
        <v>342</v>
      </c>
      <c r="E148" s="6" t="s">
        <v>391</v>
      </c>
      <c r="F148" s="7"/>
      <c r="G148" s="6" t="s">
        <v>82</v>
      </c>
      <c r="H148" s="6"/>
      <c r="I148" s="6"/>
      <c r="J148" s="6"/>
      <c r="K148" s="6"/>
      <c r="L148" s="6" t="s">
        <v>83</v>
      </c>
      <c r="M148" s="6" t="s">
        <v>84</v>
      </c>
      <c r="N148" s="6"/>
      <c r="O148" s="6"/>
      <c r="P148" s="6"/>
      <c r="Q148" s="6"/>
      <c r="R148" s="6" t="s">
        <v>85</v>
      </c>
      <c r="S148" s="6"/>
      <c r="T148" s="6" t="s">
        <v>294</v>
      </c>
      <c r="U148" s="8"/>
      <c r="V148" s="8"/>
      <c r="W148" s="8"/>
      <c r="X148" s="8"/>
      <c r="Y148" s="9"/>
      <c r="Z148" s="9"/>
      <c r="AA148" s="9"/>
      <c r="AB148" s="9"/>
      <c r="AC148" s="10" t="str">
        <f aca="false">IF(Z148="","",IF(Z148=0,"Unassigned",IF(Z148=1,"Single point",IF(AB148="Yes","Staffed and credentialed","Staffed, credential gap"))))</f>
        <v/>
      </c>
      <c r="AD148" s="10" t="str">
        <f aca="false">IFERROR(INDEX(Lists!$H$3:$H$6,MATCH(AC148,Lists!$G$3:$G$6,0)),"")</f>
        <v/>
      </c>
      <c r="AE148" s="8"/>
      <c r="AF148" s="10" t="str">
        <f aca="false">IFERROR(INDEX(Lists!$B$3:$B$7,MATCH(AE148,Lists!$A$3:$A$7,0)),"")</f>
        <v/>
      </c>
      <c r="AG148" s="8"/>
      <c r="AH148" s="8"/>
      <c r="AI148" s="8"/>
      <c r="AJ148" s="8"/>
      <c r="AK148" s="8"/>
      <c r="AL148" s="8"/>
      <c r="AM148" s="11" t="str">
        <f aca="false">IF(OR(AJ148="",AJ148=0),"",AL148/AJ148)</f>
        <v/>
      </c>
      <c r="AN148" s="8"/>
      <c r="AO148" s="8"/>
      <c r="AP148" s="10" t="str">
        <f aca="false">IF(AN148="","Not assessed",IF(AND(R148="No",AN148="Gap - recommend tailoring"),"INVALID: HSSB is not tailorable",IF(OR(Z148="",Z148=0),"NO NAMED EXECUTOR",IF(AND(N(AF148)&gt;=3,AJ148=""),"Operating claimed with no sample",IF(AND(N(AF148)&gt;=3,Z148=1),"Operating rests on one individual",IF(AND(N(AF148)&gt;=3,AB148&lt;&gt;"Yes"),"Operating claimed below designed credential",IF(AND(R148="No",N(AF148)&lt;3),"HSSB GATE: below Operating",IF(AND(N(AF148)&gt;=3,AJ148&lt;&gt;"",AL148=""),"Sample size with no conforming count","OK"))))))))</f>
        <v>Not assessed</v>
      </c>
      <c r="AQ148" s="8"/>
      <c r="AR148" s="8"/>
      <c r="AS148" s="8"/>
    </row>
    <row r="149" customFormat="false" ht="22.35" hidden="false" customHeight="false" outlineLevel="0" collapsed="false">
      <c r="A149" s="6" t="s">
        <v>392</v>
      </c>
      <c r="B149" s="6" t="s">
        <v>288</v>
      </c>
      <c r="C149" s="6" t="s">
        <v>341</v>
      </c>
      <c r="D149" s="6" t="s">
        <v>342</v>
      </c>
      <c r="E149" s="6" t="s">
        <v>393</v>
      </c>
      <c r="F149" s="7"/>
      <c r="G149" s="6" t="s">
        <v>82</v>
      </c>
      <c r="H149" s="6"/>
      <c r="I149" s="6"/>
      <c r="J149" s="6"/>
      <c r="K149" s="6"/>
      <c r="L149" s="6" t="s">
        <v>83</v>
      </c>
      <c r="M149" s="6" t="s">
        <v>84</v>
      </c>
      <c r="N149" s="6"/>
      <c r="O149" s="6"/>
      <c r="P149" s="6"/>
      <c r="Q149" s="6"/>
      <c r="R149" s="6" t="s">
        <v>85</v>
      </c>
      <c r="S149" s="6"/>
      <c r="T149" s="6" t="s">
        <v>294</v>
      </c>
      <c r="U149" s="8"/>
      <c r="V149" s="8"/>
      <c r="W149" s="8"/>
      <c r="X149" s="8"/>
      <c r="Y149" s="9"/>
      <c r="Z149" s="9"/>
      <c r="AA149" s="9"/>
      <c r="AB149" s="9"/>
      <c r="AC149" s="10" t="str">
        <f aca="false">IF(Z149="","",IF(Z149=0,"Unassigned",IF(Z149=1,"Single point",IF(AB149="Yes","Staffed and credentialed","Staffed, credential gap"))))</f>
        <v/>
      </c>
      <c r="AD149" s="10" t="str">
        <f aca="false">IFERROR(INDEX(Lists!$H$3:$H$6,MATCH(AC149,Lists!$G$3:$G$6,0)),"")</f>
        <v/>
      </c>
      <c r="AE149" s="8"/>
      <c r="AF149" s="10" t="str">
        <f aca="false">IFERROR(INDEX(Lists!$B$3:$B$7,MATCH(AE149,Lists!$A$3:$A$7,0)),"")</f>
        <v/>
      </c>
      <c r="AG149" s="8"/>
      <c r="AH149" s="8"/>
      <c r="AI149" s="8"/>
      <c r="AJ149" s="8"/>
      <c r="AK149" s="8"/>
      <c r="AL149" s="8"/>
      <c r="AM149" s="11" t="str">
        <f aca="false">IF(OR(AJ149="",AJ149=0),"",AL149/AJ149)</f>
        <v/>
      </c>
      <c r="AN149" s="8"/>
      <c r="AO149" s="8"/>
      <c r="AP149" s="10" t="str">
        <f aca="false">IF(AN149="","Not assessed",IF(AND(R149="No",AN149="Gap - recommend tailoring"),"INVALID: HSSB is not tailorable",IF(OR(Z149="",Z149=0),"NO NAMED EXECUTOR",IF(AND(N(AF149)&gt;=3,AJ149=""),"Operating claimed with no sample",IF(AND(N(AF149)&gt;=3,Z149=1),"Operating rests on one individual",IF(AND(N(AF149)&gt;=3,AB149&lt;&gt;"Yes"),"Operating claimed below designed credential",IF(AND(R149="No",N(AF149)&lt;3),"HSSB GATE: below Operating",IF(AND(N(AF149)&gt;=3,AJ149&lt;&gt;"",AL149=""),"Sample size with no conforming count","OK"))))))))</f>
        <v>Not assessed</v>
      </c>
      <c r="AQ149" s="8"/>
      <c r="AR149" s="8"/>
      <c r="AS149" s="8"/>
    </row>
    <row r="150" customFormat="false" ht="22.35" hidden="false" customHeight="false" outlineLevel="0" collapsed="false">
      <c r="A150" s="6" t="s">
        <v>394</v>
      </c>
      <c r="B150" s="6" t="s">
        <v>288</v>
      </c>
      <c r="C150" s="6" t="s">
        <v>341</v>
      </c>
      <c r="D150" s="6" t="s">
        <v>342</v>
      </c>
      <c r="E150" s="6" t="s">
        <v>395</v>
      </c>
      <c r="F150" s="7"/>
      <c r="G150" s="6" t="s">
        <v>82</v>
      </c>
      <c r="H150" s="6"/>
      <c r="I150" s="6"/>
      <c r="J150" s="6"/>
      <c r="K150" s="6"/>
      <c r="L150" s="6" t="s">
        <v>83</v>
      </c>
      <c r="M150" s="6" t="s">
        <v>84</v>
      </c>
      <c r="N150" s="6"/>
      <c r="O150" s="6"/>
      <c r="P150" s="6"/>
      <c r="Q150" s="6"/>
      <c r="R150" s="6" t="s">
        <v>85</v>
      </c>
      <c r="S150" s="6"/>
      <c r="T150" s="6" t="s">
        <v>294</v>
      </c>
      <c r="U150" s="8"/>
      <c r="V150" s="8"/>
      <c r="W150" s="8"/>
      <c r="X150" s="8"/>
      <c r="Y150" s="9"/>
      <c r="Z150" s="9"/>
      <c r="AA150" s="9"/>
      <c r="AB150" s="9"/>
      <c r="AC150" s="10" t="str">
        <f aca="false">IF(Z150="","",IF(Z150=0,"Unassigned",IF(Z150=1,"Single point",IF(AB150="Yes","Staffed and credentialed","Staffed, credential gap"))))</f>
        <v/>
      </c>
      <c r="AD150" s="10" t="str">
        <f aca="false">IFERROR(INDEX(Lists!$H$3:$H$6,MATCH(AC150,Lists!$G$3:$G$6,0)),"")</f>
        <v/>
      </c>
      <c r="AE150" s="8"/>
      <c r="AF150" s="10" t="str">
        <f aca="false">IFERROR(INDEX(Lists!$B$3:$B$7,MATCH(AE150,Lists!$A$3:$A$7,0)),"")</f>
        <v/>
      </c>
      <c r="AG150" s="8"/>
      <c r="AH150" s="8"/>
      <c r="AI150" s="8"/>
      <c r="AJ150" s="8"/>
      <c r="AK150" s="8"/>
      <c r="AL150" s="8"/>
      <c r="AM150" s="11" t="str">
        <f aca="false">IF(OR(AJ150="",AJ150=0),"",AL150/AJ150)</f>
        <v/>
      </c>
      <c r="AN150" s="8"/>
      <c r="AO150" s="8"/>
      <c r="AP150" s="10" t="str">
        <f aca="false">IF(AN150="","Not assessed",IF(AND(R150="No",AN150="Gap - recommend tailoring"),"INVALID: HSSB is not tailorable",IF(OR(Z150="",Z150=0),"NO NAMED EXECUTOR",IF(AND(N(AF150)&gt;=3,AJ150=""),"Operating claimed with no sample",IF(AND(N(AF150)&gt;=3,Z150=1),"Operating rests on one individual",IF(AND(N(AF150)&gt;=3,AB150&lt;&gt;"Yes"),"Operating claimed below designed credential",IF(AND(R150="No",N(AF150)&lt;3),"HSSB GATE: below Operating",IF(AND(N(AF150)&gt;=3,AJ150&lt;&gt;"",AL150=""),"Sample size with no conforming count","OK"))))))))</f>
        <v>Not assessed</v>
      </c>
      <c r="AQ150" s="8"/>
      <c r="AR150" s="8"/>
      <c r="AS150" s="8"/>
    </row>
    <row r="151" customFormat="false" ht="22.35" hidden="false" customHeight="false" outlineLevel="0" collapsed="false">
      <c r="A151" s="6" t="s">
        <v>396</v>
      </c>
      <c r="B151" s="6" t="s">
        <v>288</v>
      </c>
      <c r="C151" s="6" t="s">
        <v>341</v>
      </c>
      <c r="D151" s="6" t="s">
        <v>342</v>
      </c>
      <c r="E151" s="6" t="s">
        <v>397</v>
      </c>
      <c r="F151" s="7"/>
      <c r="G151" s="6" t="s">
        <v>82</v>
      </c>
      <c r="H151" s="6"/>
      <c r="I151" s="6"/>
      <c r="J151" s="6"/>
      <c r="K151" s="6"/>
      <c r="L151" s="6" t="s">
        <v>83</v>
      </c>
      <c r="M151" s="6" t="s">
        <v>84</v>
      </c>
      <c r="N151" s="6"/>
      <c r="O151" s="6"/>
      <c r="P151" s="6"/>
      <c r="Q151" s="6"/>
      <c r="R151" s="6" t="s">
        <v>85</v>
      </c>
      <c r="S151" s="6"/>
      <c r="T151" s="6" t="s">
        <v>294</v>
      </c>
      <c r="U151" s="8"/>
      <c r="V151" s="8"/>
      <c r="W151" s="8"/>
      <c r="X151" s="8"/>
      <c r="Y151" s="9"/>
      <c r="Z151" s="9"/>
      <c r="AA151" s="9"/>
      <c r="AB151" s="9"/>
      <c r="AC151" s="10" t="str">
        <f aca="false">IF(Z151="","",IF(Z151=0,"Unassigned",IF(Z151=1,"Single point",IF(AB151="Yes","Staffed and credentialed","Staffed, credential gap"))))</f>
        <v/>
      </c>
      <c r="AD151" s="10" t="str">
        <f aca="false">IFERROR(INDEX(Lists!$H$3:$H$6,MATCH(AC151,Lists!$G$3:$G$6,0)),"")</f>
        <v/>
      </c>
      <c r="AE151" s="8"/>
      <c r="AF151" s="10" t="str">
        <f aca="false">IFERROR(INDEX(Lists!$B$3:$B$7,MATCH(AE151,Lists!$A$3:$A$7,0)),"")</f>
        <v/>
      </c>
      <c r="AG151" s="8"/>
      <c r="AH151" s="8"/>
      <c r="AI151" s="8"/>
      <c r="AJ151" s="8"/>
      <c r="AK151" s="8"/>
      <c r="AL151" s="8"/>
      <c r="AM151" s="11" t="str">
        <f aca="false">IF(OR(AJ151="",AJ151=0),"",AL151/AJ151)</f>
        <v/>
      </c>
      <c r="AN151" s="8"/>
      <c r="AO151" s="8"/>
      <c r="AP151" s="10" t="str">
        <f aca="false">IF(AN151="","Not assessed",IF(AND(R151="No",AN151="Gap - recommend tailoring"),"INVALID: HSSB is not tailorable",IF(OR(Z151="",Z151=0),"NO NAMED EXECUTOR",IF(AND(N(AF151)&gt;=3,AJ151=""),"Operating claimed with no sample",IF(AND(N(AF151)&gt;=3,Z151=1),"Operating rests on one individual",IF(AND(N(AF151)&gt;=3,AB151&lt;&gt;"Yes"),"Operating claimed below designed credential",IF(AND(R151="No",N(AF151)&lt;3),"HSSB GATE: below Operating",IF(AND(N(AF151)&gt;=3,AJ151&lt;&gt;"",AL151=""),"Sample size with no conforming count","OK"))))))))</f>
        <v>Not assessed</v>
      </c>
      <c r="AQ151" s="8"/>
      <c r="AR151" s="8"/>
      <c r="AS151" s="8"/>
    </row>
    <row r="152" customFormat="false" ht="22.35" hidden="false" customHeight="false" outlineLevel="0" collapsed="false">
      <c r="A152" s="6" t="s">
        <v>398</v>
      </c>
      <c r="B152" s="6" t="s">
        <v>288</v>
      </c>
      <c r="C152" s="6" t="s">
        <v>341</v>
      </c>
      <c r="D152" s="6" t="s">
        <v>342</v>
      </c>
      <c r="E152" s="6" t="s">
        <v>399</v>
      </c>
      <c r="F152" s="7"/>
      <c r="G152" s="6" t="s">
        <v>82</v>
      </c>
      <c r="H152" s="6"/>
      <c r="I152" s="6"/>
      <c r="J152" s="6"/>
      <c r="K152" s="6"/>
      <c r="L152" s="6" t="s">
        <v>83</v>
      </c>
      <c r="M152" s="6" t="s">
        <v>84</v>
      </c>
      <c r="N152" s="6"/>
      <c r="O152" s="6"/>
      <c r="P152" s="6"/>
      <c r="Q152" s="6"/>
      <c r="R152" s="6" t="s">
        <v>85</v>
      </c>
      <c r="S152" s="6"/>
      <c r="T152" s="6" t="s">
        <v>294</v>
      </c>
      <c r="U152" s="8"/>
      <c r="V152" s="8"/>
      <c r="W152" s="8"/>
      <c r="X152" s="8"/>
      <c r="Y152" s="9"/>
      <c r="Z152" s="9"/>
      <c r="AA152" s="9"/>
      <c r="AB152" s="9"/>
      <c r="AC152" s="10" t="str">
        <f aca="false">IF(Z152="","",IF(Z152=0,"Unassigned",IF(Z152=1,"Single point",IF(AB152="Yes","Staffed and credentialed","Staffed, credential gap"))))</f>
        <v/>
      </c>
      <c r="AD152" s="10" t="str">
        <f aca="false">IFERROR(INDEX(Lists!$H$3:$H$6,MATCH(AC152,Lists!$G$3:$G$6,0)),"")</f>
        <v/>
      </c>
      <c r="AE152" s="8"/>
      <c r="AF152" s="10" t="str">
        <f aca="false">IFERROR(INDEX(Lists!$B$3:$B$7,MATCH(AE152,Lists!$A$3:$A$7,0)),"")</f>
        <v/>
      </c>
      <c r="AG152" s="8"/>
      <c r="AH152" s="8"/>
      <c r="AI152" s="8"/>
      <c r="AJ152" s="8"/>
      <c r="AK152" s="8"/>
      <c r="AL152" s="8"/>
      <c r="AM152" s="11" t="str">
        <f aca="false">IF(OR(AJ152="",AJ152=0),"",AL152/AJ152)</f>
        <v/>
      </c>
      <c r="AN152" s="8"/>
      <c r="AO152" s="8"/>
      <c r="AP152" s="10" t="str">
        <f aca="false">IF(AN152="","Not assessed",IF(AND(R152="No",AN152="Gap - recommend tailoring"),"INVALID: HSSB is not tailorable",IF(OR(Z152="",Z152=0),"NO NAMED EXECUTOR",IF(AND(N(AF152)&gt;=3,AJ152=""),"Operating claimed with no sample",IF(AND(N(AF152)&gt;=3,Z152=1),"Operating rests on one individual",IF(AND(N(AF152)&gt;=3,AB152&lt;&gt;"Yes"),"Operating claimed below designed credential",IF(AND(R152="No",N(AF152)&lt;3),"HSSB GATE: below Operating",IF(AND(N(AF152)&gt;=3,AJ152&lt;&gt;"",AL152=""),"Sample size with no conforming count","OK"))))))))</f>
        <v>Not assessed</v>
      </c>
      <c r="AQ152" s="8"/>
      <c r="AR152" s="8"/>
      <c r="AS152" s="8"/>
    </row>
    <row r="153" customFormat="false" ht="22.35" hidden="false" customHeight="false" outlineLevel="0" collapsed="false">
      <c r="A153" s="6" t="s">
        <v>400</v>
      </c>
      <c r="B153" s="6" t="s">
        <v>288</v>
      </c>
      <c r="C153" s="6" t="s">
        <v>341</v>
      </c>
      <c r="D153" s="6" t="s">
        <v>342</v>
      </c>
      <c r="E153" s="6" t="s">
        <v>401</v>
      </c>
      <c r="F153" s="7"/>
      <c r="G153" s="6" t="s">
        <v>82</v>
      </c>
      <c r="H153" s="6"/>
      <c r="I153" s="6"/>
      <c r="J153" s="6"/>
      <c r="K153" s="6"/>
      <c r="L153" s="6" t="s">
        <v>83</v>
      </c>
      <c r="M153" s="6" t="s">
        <v>84</v>
      </c>
      <c r="N153" s="6"/>
      <c r="O153" s="6"/>
      <c r="P153" s="6"/>
      <c r="Q153" s="6"/>
      <c r="R153" s="6" t="s">
        <v>85</v>
      </c>
      <c r="S153" s="6"/>
      <c r="T153" s="6" t="s">
        <v>294</v>
      </c>
      <c r="U153" s="8"/>
      <c r="V153" s="8"/>
      <c r="W153" s="8"/>
      <c r="X153" s="8"/>
      <c r="Y153" s="9"/>
      <c r="Z153" s="9"/>
      <c r="AA153" s="9"/>
      <c r="AB153" s="9"/>
      <c r="AC153" s="10" t="str">
        <f aca="false">IF(Z153="","",IF(Z153=0,"Unassigned",IF(Z153=1,"Single point",IF(AB153="Yes","Staffed and credentialed","Staffed, credential gap"))))</f>
        <v/>
      </c>
      <c r="AD153" s="10" t="str">
        <f aca="false">IFERROR(INDEX(Lists!$H$3:$H$6,MATCH(AC153,Lists!$G$3:$G$6,0)),"")</f>
        <v/>
      </c>
      <c r="AE153" s="8"/>
      <c r="AF153" s="10" t="str">
        <f aca="false">IFERROR(INDEX(Lists!$B$3:$B$7,MATCH(AE153,Lists!$A$3:$A$7,0)),"")</f>
        <v/>
      </c>
      <c r="AG153" s="8"/>
      <c r="AH153" s="8"/>
      <c r="AI153" s="8"/>
      <c r="AJ153" s="8"/>
      <c r="AK153" s="8"/>
      <c r="AL153" s="8"/>
      <c r="AM153" s="11" t="str">
        <f aca="false">IF(OR(AJ153="",AJ153=0),"",AL153/AJ153)</f>
        <v/>
      </c>
      <c r="AN153" s="8"/>
      <c r="AO153" s="8"/>
      <c r="AP153" s="10" t="str">
        <f aca="false">IF(AN153="","Not assessed",IF(AND(R153="No",AN153="Gap - recommend tailoring"),"INVALID: HSSB is not tailorable",IF(OR(Z153="",Z153=0),"NO NAMED EXECUTOR",IF(AND(N(AF153)&gt;=3,AJ153=""),"Operating claimed with no sample",IF(AND(N(AF153)&gt;=3,Z153=1),"Operating rests on one individual",IF(AND(N(AF153)&gt;=3,AB153&lt;&gt;"Yes"),"Operating claimed below designed credential",IF(AND(R153="No",N(AF153)&lt;3),"HSSB GATE: below Operating",IF(AND(N(AF153)&gt;=3,AJ153&lt;&gt;"",AL153=""),"Sample size with no conforming count","OK"))))))))</f>
        <v>Not assessed</v>
      </c>
      <c r="AQ153" s="8"/>
      <c r="AR153" s="8"/>
      <c r="AS153" s="8"/>
    </row>
    <row r="154" customFormat="false" ht="22.35" hidden="false" customHeight="false" outlineLevel="0" collapsed="false">
      <c r="A154" s="6" t="s">
        <v>402</v>
      </c>
      <c r="B154" s="6" t="s">
        <v>288</v>
      </c>
      <c r="C154" s="6" t="s">
        <v>341</v>
      </c>
      <c r="D154" s="6" t="s">
        <v>342</v>
      </c>
      <c r="E154" s="6" t="s">
        <v>403</v>
      </c>
      <c r="F154" s="7"/>
      <c r="G154" s="6" t="s">
        <v>82</v>
      </c>
      <c r="H154" s="6"/>
      <c r="I154" s="6"/>
      <c r="J154" s="6"/>
      <c r="K154" s="6"/>
      <c r="L154" s="6" t="s">
        <v>83</v>
      </c>
      <c r="M154" s="6" t="s">
        <v>84</v>
      </c>
      <c r="N154" s="6"/>
      <c r="O154" s="6"/>
      <c r="P154" s="6"/>
      <c r="Q154" s="6"/>
      <c r="R154" s="6" t="s">
        <v>85</v>
      </c>
      <c r="S154" s="6"/>
      <c r="T154" s="6" t="s">
        <v>294</v>
      </c>
      <c r="U154" s="8"/>
      <c r="V154" s="8"/>
      <c r="W154" s="8"/>
      <c r="X154" s="8"/>
      <c r="Y154" s="9"/>
      <c r="Z154" s="9"/>
      <c r="AA154" s="9"/>
      <c r="AB154" s="9"/>
      <c r="AC154" s="10" t="str">
        <f aca="false">IF(Z154="","",IF(Z154=0,"Unassigned",IF(Z154=1,"Single point",IF(AB154="Yes","Staffed and credentialed","Staffed, credential gap"))))</f>
        <v/>
      </c>
      <c r="AD154" s="10" t="str">
        <f aca="false">IFERROR(INDEX(Lists!$H$3:$H$6,MATCH(AC154,Lists!$G$3:$G$6,0)),"")</f>
        <v/>
      </c>
      <c r="AE154" s="8"/>
      <c r="AF154" s="10" t="str">
        <f aca="false">IFERROR(INDEX(Lists!$B$3:$B$7,MATCH(AE154,Lists!$A$3:$A$7,0)),"")</f>
        <v/>
      </c>
      <c r="AG154" s="8"/>
      <c r="AH154" s="8"/>
      <c r="AI154" s="8"/>
      <c r="AJ154" s="8"/>
      <c r="AK154" s="8"/>
      <c r="AL154" s="8"/>
      <c r="AM154" s="11" t="str">
        <f aca="false">IF(OR(AJ154="",AJ154=0),"",AL154/AJ154)</f>
        <v/>
      </c>
      <c r="AN154" s="8"/>
      <c r="AO154" s="8"/>
      <c r="AP154" s="10" t="str">
        <f aca="false">IF(AN154="","Not assessed",IF(AND(R154="No",AN154="Gap - recommend tailoring"),"INVALID: HSSB is not tailorable",IF(OR(Z154="",Z154=0),"NO NAMED EXECUTOR",IF(AND(N(AF154)&gt;=3,AJ154=""),"Operating claimed with no sample",IF(AND(N(AF154)&gt;=3,Z154=1),"Operating rests on one individual",IF(AND(N(AF154)&gt;=3,AB154&lt;&gt;"Yes"),"Operating claimed below designed credential",IF(AND(R154="No",N(AF154)&lt;3),"HSSB GATE: below Operating",IF(AND(N(AF154)&gt;=3,AJ154&lt;&gt;"",AL154=""),"Sample size with no conforming count","OK"))))))))</f>
        <v>Not assessed</v>
      </c>
      <c r="AQ154" s="8"/>
      <c r="AR154" s="8"/>
      <c r="AS154" s="8"/>
    </row>
    <row r="155" customFormat="false" ht="22.35" hidden="false" customHeight="false" outlineLevel="0" collapsed="false">
      <c r="A155" s="6" t="s">
        <v>404</v>
      </c>
      <c r="B155" s="6" t="s">
        <v>288</v>
      </c>
      <c r="C155" s="6" t="s">
        <v>341</v>
      </c>
      <c r="D155" s="6" t="s">
        <v>342</v>
      </c>
      <c r="E155" s="6" t="s">
        <v>405</v>
      </c>
      <c r="F155" s="7"/>
      <c r="G155" s="6" t="s">
        <v>82</v>
      </c>
      <c r="H155" s="6"/>
      <c r="I155" s="6"/>
      <c r="J155" s="6"/>
      <c r="K155" s="6"/>
      <c r="L155" s="6" t="s">
        <v>83</v>
      </c>
      <c r="M155" s="6" t="s">
        <v>84</v>
      </c>
      <c r="N155" s="6"/>
      <c r="O155" s="6"/>
      <c r="P155" s="6"/>
      <c r="Q155" s="6"/>
      <c r="R155" s="6" t="s">
        <v>85</v>
      </c>
      <c r="S155" s="6"/>
      <c r="T155" s="6" t="s">
        <v>294</v>
      </c>
      <c r="U155" s="8"/>
      <c r="V155" s="8"/>
      <c r="W155" s="8"/>
      <c r="X155" s="8"/>
      <c r="Y155" s="9"/>
      <c r="Z155" s="9"/>
      <c r="AA155" s="9"/>
      <c r="AB155" s="9"/>
      <c r="AC155" s="10" t="str">
        <f aca="false">IF(Z155="","",IF(Z155=0,"Unassigned",IF(Z155=1,"Single point",IF(AB155="Yes","Staffed and credentialed","Staffed, credential gap"))))</f>
        <v/>
      </c>
      <c r="AD155" s="10" t="str">
        <f aca="false">IFERROR(INDEX(Lists!$H$3:$H$6,MATCH(AC155,Lists!$G$3:$G$6,0)),"")</f>
        <v/>
      </c>
      <c r="AE155" s="8"/>
      <c r="AF155" s="10" t="str">
        <f aca="false">IFERROR(INDEX(Lists!$B$3:$B$7,MATCH(AE155,Lists!$A$3:$A$7,0)),"")</f>
        <v/>
      </c>
      <c r="AG155" s="8"/>
      <c r="AH155" s="8"/>
      <c r="AI155" s="8"/>
      <c r="AJ155" s="8"/>
      <c r="AK155" s="8"/>
      <c r="AL155" s="8"/>
      <c r="AM155" s="11" t="str">
        <f aca="false">IF(OR(AJ155="",AJ155=0),"",AL155/AJ155)</f>
        <v/>
      </c>
      <c r="AN155" s="8"/>
      <c r="AO155" s="8"/>
      <c r="AP155" s="10" t="str">
        <f aca="false">IF(AN155="","Not assessed",IF(AND(R155="No",AN155="Gap - recommend tailoring"),"INVALID: HSSB is not tailorable",IF(OR(Z155="",Z155=0),"NO NAMED EXECUTOR",IF(AND(N(AF155)&gt;=3,AJ155=""),"Operating claimed with no sample",IF(AND(N(AF155)&gt;=3,Z155=1),"Operating rests on one individual",IF(AND(N(AF155)&gt;=3,AB155&lt;&gt;"Yes"),"Operating claimed below designed credential",IF(AND(R155="No",N(AF155)&lt;3),"HSSB GATE: below Operating",IF(AND(N(AF155)&gt;=3,AJ155&lt;&gt;"",AL155=""),"Sample size with no conforming count","OK"))))))))</f>
        <v>Not assessed</v>
      </c>
      <c r="AQ155" s="8"/>
      <c r="AR155" s="8"/>
      <c r="AS155" s="8"/>
    </row>
    <row r="156" customFormat="false" ht="22.35" hidden="false" customHeight="false" outlineLevel="0" collapsed="false">
      <c r="A156" s="12" t="s">
        <v>406</v>
      </c>
      <c r="B156" s="12" t="s">
        <v>288</v>
      </c>
      <c r="C156" s="12" t="s">
        <v>341</v>
      </c>
      <c r="D156" s="12" t="s">
        <v>342</v>
      </c>
      <c r="E156" s="12" t="s">
        <v>407</v>
      </c>
      <c r="F156" s="12"/>
      <c r="G156" s="13" t="s">
        <v>85</v>
      </c>
      <c r="H156" s="13" t="s">
        <v>408</v>
      </c>
      <c r="I156" s="12" t="s">
        <v>192</v>
      </c>
      <c r="J156" s="12" t="s">
        <v>308</v>
      </c>
      <c r="K156" s="12" t="s">
        <v>309</v>
      </c>
      <c r="L156" s="12" t="s">
        <v>93</v>
      </c>
      <c r="M156" s="12" t="s">
        <v>94</v>
      </c>
      <c r="N156" s="12" t="s">
        <v>95</v>
      </c>
      <c r="O156" s="12" t="s">
        <v>96</v>
      </c>
      <c r="P156" s="12" t="s">
        <v>97</v>
      </c>
      <c r="Q156" s="12" t="s">
        <v>195</v>
      </c>
      <c r="R156" s="12" t="s">
        <v>82</v>
      </c>
      <c r="S156" s="12"/>
      <c r="T156" s="12" t="s">
        <v>294</v>
      </c>
      <c r="U156" s="8"/>
      <c r="V156" s="8"/>
      <c r="W156" s="8"/>
      <c r="X156" s="8"/>
      <c r="Y156" s="9"/>
      <c r="Z156" s="9"/>
      <c r="AA156" s="9"/>
      <c r="AB156" s="9"/>
      <c r="AC156" s="10" t="str">
        <f aca="false">IF(Z156="","",IF(Z156=0,"Unassigned",IF(Z156=1,"Single point",IF(AB156="Yes","Staffed and credentialed","Staffed, credential gap"))))</f>
        <v/>
      </c>
      <c r="AD156" s="10" t="str">
        <f aca="false">IFERROR(INDEX(Lists!$H$3:$H$6,MATCH(AC156,Lists!$G$3:$G$6,0)),"")</f>
        <v/>
      </c>
      <c r="AE156" s="8"/>
      <c r="AF156" s="10" t="str">
        <f aca="false">IFERROR(INDEX(Lists!$B$3:$B$7,MATCH(AE156,Lists!$A$3:$A$7,0)),"")</f>
        <v/>
      </c>
      <c r="AG156" s="8"/>
      <c r="AH156" s="8"/>
      <c r="AI156" s="8"/>
      <c r="AJ156" s="8"/>
      <c r="AK156" s="8"/>
      <c r="AL156" s="8"/>
      <c r="AM156" s="11" t="str">
        <f aca="false">IF(OR(AJ156="",AJ156=0),"",AL156/AJ156)</f>
        <v/>
      </c>
      <c r="AN156" s="8"/>
      <c r="AO156" s="8"/>
      <c r="AP156" s="10" t="str">
        <f aca="false">IF(AN156="","Not assessed",IF(AND(R156="No",AN156="Gap - recommend tailoring"),"INVALID: HSSB is not tailorable",IF(OR(Z156="",Z156=0),"NO NAMED EXECUTOR",IF(AND(N(AF156)&gt;=3,AJ156=""),"Operating claimed with no sample",IF(AND(N(AF156)&gt;=3,Z156=1),"Operating rests on one individual",IF(AND(N(AF156)&gt;=3,AB156&lt;&gt;"Yes"),"Operating claimed below designed credential",IF(AND(R156="No",N(AF156)&lt;3),"HSSB GATE: below Operating",IF(AND(N(AF156)&gt;=3,AJ156&lt;&gt;"",AL156=""),"Sample size with no conforming count","OK"))))))))</f>
        <v>Not assessed</v>
      </c>
      <c r="AQ156" s="8"/>
      <c r="AR156" s="8"/>
      <c r="AS156" s="8"/>
    </row>
    <row r="157" customFormat="false" ht="22.35" hidden="false" customHeight="false" outlineLevel="0" collapsed="false">
      <c r="A157" s="6" t="s">
        <v>409</v>
      </c>
      <c r="B157" s="6" t="s">
        <v>288</v>
      </c>
      <c r="C157" s="6" t="s">
        <v>341</v>
      </c>
      <c r="D157" s="6" t="s">
        <v>342</v>
      </c>
      <c r="E157" s="6" t="s">
        <v>410</v>
      </c>
      <c r="F157" s="7"/>
      <c r="G157" s="6" t="s">
        <v>82</v>
      </c>
      <c r="H157" s="6"/>
      <c r="I157" s="6"/>
      <c r="J157" s="6"/>
      <c r="K157" s="6"/>
      <c r="L157" s="6" t="s">
        <v>83</v>
      </c>
      <c r="M157" s="6" t="s">
        <v>84</v>
      </c>
      <c r="N157" s="6"/>
      <c r="O157" s="6"/>
      <c r="P157" s="6"/>
      <c r="Q157" s="6"/>
      <c r="R157" s="6" t="s">
        <v>85</v>
      </c>
      <c r="S157" s="6"/>
      <c r="T157" s="6" t="s">
        <v>294</v>
      </c>
      <c r="U157" s="8"/>
      <c r="V157" s="8"/>
      <c r="W157" s="8"/>
      <c r="X157" s="8"/>
      <c r="Y157" s="9"/>
      <c r="Z157" s="9"/>
      <c r="AA157" s="9"/>
      <c r="AB157" s="9"/>
      <c r="AC157" s="10" t="str">
        <f aca="false">IF(Z157="","",IF(Z157=0,"Unassigned",IF(Z157=1,"Single point",IF(AB157="Yes","Staffed and credentialed","Staffed, credential gap"))))</f>
        <v/>
      </c>
      <c r="AD157" s="10" t="str">
        <f aca="false">IFERROR(INDEX(Lists!$H$3:$H$6,MATCH(AC157,Lists!$G$3:$G$6,0)),"")</f>
        <v/>
      </c>
      <c r="AE157" s="8"/>
      <c r="AF157" s="10" t="str">
        <f aca="false">IFERROR(INDEX(Lists!$B$3:$B$7,MATCH(AE157,Lists!$A$3:$A$7,0)),"")</f>
        <v/>
      </c>
      <c r="AG157" s="8"/>
      <c r="AH157" s="8"/>
      <c r="AI157" s="8"/>
      <c r="AJ157" s="8"/>
      <c r="AK157" s="8"/>
      <c r="AL157" s="8"/>
      <c r="AM157" s="11" t="str">
        <f aca="false">IF(OR(AJ157="",AJ157=0),"",AL157/AJ157)</f>
        <v/>
      </c>
      <c r="AN157" s="8"/>
      <c r="AO157" s="8"/>
      <c r="AP157" s="10" t="str">
        <f aca="false">IF(AN157="","Not assessed",IF(AND(R157="No",AN157="Gap - recommend tailoring"),"INVALID: HSSB is not tailorable",IF(OR(Z157="",Z157=0),"NO NAMED EXECUTOR",IF(AND(N(AF157)&gt;=3,AJ157=""),"Operating claimed with no sample",IF(AND(N(AF157)&gt;=3,Z157=1),"Operating rests on one individual",IF(AND(N(AF157)&gt;=3,AB157&lt;&gt;"Yes"),"Operating claimed below designed credential",IF(AND(R157="No",N(AF157)&lt;3),"HSSB GATE: below Operating",IF(AND(N(AF157)&gt;=3,AJ157&lt;&gt;"",AL157=""),"Sample size with no conforming count","OK"))))))))</f>
        <v>Not assessed</v>
      </c>
      <c r="AQ157" s="8"/>
      <c r="AR157" s="8"/>
      <c r="AS157" s="8"/>
    </row>
    <row r="158" customFormat="false" ht="22.35" hidden="false" customHeight="false" outlineLevel="0" collapsed="false">
      <c r="A158" s="6" t="s">
        <v>411</v>
      </c>
      <c r="B158" s="6" t="s">
        <v>288</v>
      </c>
      <c r="C158" s="6" t="s">
        <v>341</v>
      </c>
      <c r="D158" s="6" t="s">
        <v>342</v>
      </c>
      <c r="E158" s="6" t="s">
        <v>412</v>
      </c>
      <c r="F158" s="7"/>
      <c r="G158" s="6" t="s">
        <v>82</v>
      </c>
      <c r="H158" s="6"/>
      <c r="I158" s="6"/>
      <c r="J158" s="6"/>
      <c r="K158" s="6"/>
      <c r="L158" s="6" t="s">
        <v>83</v>
      </c>
      <c r="M158" s="6" t="s">
        <v>84</v>
      </c>
      <c r="N158" s="6"/>
      <c r="O158" s="6"/>
      <c r="P158" s="6"/>
      <c r="Q158" s="6"/>
      <c r="R158" s="6" t="s">
        <v>85</v>
      </c>
      <c r="S158" s="6"/>
      <c r="T158" s="6" t="s">
        <v>294</v>
      </c>
      <c r="U158" s="8"/>
      <c r="V158" s="8"/>
      <c r="W158" s="8"/>
      <c r="X158" s="8"/>
      <c r="Y158" s="9"/>
      <c r="Z158" s="9"/>
      <c r="AA158" s="9"/>
      <c r="AB158" s="9"/>
      <c r="AC158" s="10" t="str">
        <f aca="false">IF(Z158="","",IF(Z158=0,"Unassigned",IF(Z158=1,"Single point",IF(AB158="Yes","Staffed and credentialed","Staffed, credential gap"))))</f>
        <v/>
      </c>
      <c r="AD158" s="10" t="str">
        <f aca="false">IFERROR(INDEX(Lists!$H$3:$H$6,MATCH(AC158,Lists!$G$3:$G$6,0)),"")</f>
        <v/>
      </c>
      <c r="AE158" s="8"/>
      <c r="AF158" s="10" t="str">
        <f aca="false">IFERROR(INDEX(Lists!$B$3:$B$7,MATCH(AE158,Lists!$A$3:$A$7,0)),"")</f>
        <v/>
      </c>
      <c r="AG158" s="8"/>
      <c r="AH158" s="8"/>
      <c r="AI158" s="8"/>
      <c r="AJ158" s="8"/>
      <c r="AK158" s="8"/>
      <c r="AL158" s="8"/>
      <c r="AM158" s="11" t="str">
        <f aca="false">IF(OR(AJ158="",AJ158=0),"",AL158/AJ158)</f>
        <v/>
      </c>
      <c r="AN158" s="8"/>
      <c r="AO158" s="8"/>
      <c r="AP158" s="10" t="str">
        <f aca="false">IF(AN158="","Not assessed",IF(AND(R158="No",AN158="Gap - recommend tailoring"),"INVALID: HSSB is not tailorable",IF(OR(Z158="",Z158=0),"NO NAMED EXECUTOR",IF(AND(N(AF158)&gt;=3,AJ158=""),"Operating claimed with no sample",IF(AND(N(AF158)&gt;=3,Z158=1),"Operating rests on one individual",IF(AND(N(AF158)&gt;=3,AB158&lt;&gt;"Yes"),"Operating claimed below designed credential",IF(AND(R158="No",N(AF158)&lt;3),"HSSB GATE: below Operating",IF(AND(N(AF158)&gt;=3,AJ158&lt;&gt;"",AL158=""),"Sample size with no conforming count","OK"))))))))</f>
        <v>Not assessed</v>
      </c>
      <c r="AQ158" s="8"/>
      <c r="AR158" s="8"/>
      <c r="AS158" s="8"/>
    </row>
    <row r="159" customFormat="false" ht="22.35" hidden="false" customHeight="false" outlineLevel="0" collapsed="false">
      <c r="A159" s="6" t="s">
        <v>413</v>
      </c>
      <c r="B159" s="6" t="s">
        <v>288</v>
      </c>
      <c r="C159" s="6" t="s">
        <v>341</v>
      </c>
      <c r="D159" s="6" t="s">
        <v>342</v>
      </c>
      <c r="E159" s="6" t="s">
        <v>414</v>
      </c>
      <c r="F159" s="7"/>
      <c r="G159" s="6" t="s">
        <v>82</v>
      </c>
      <c r="H159" s="6"/>
      <c r="I159" s="6"/>
      <c r="J159" s="6"/>
      <c r="K159" s="6"/>
      <c r="L159" s="6" t="s">
        <v>83</v>
      </c>
      <c r="M159" s="6" t="s">
        <v>84</v>
      </c>
      <c r="N159" s="6"/>
      <c r="O159" s="6"/>
      <c r="P159" s="6"/>
      <c r="Q159" s="6"/>
      <c r="R159" s="6" t="s">
        <v>85</v>
      </c>
      <c r="S159" s="6"/>
      <c r="T159" s="6" t="s">
        <v>294</v>
      </c>
      <c r="U159" s="8"/>
      <c r="V159" s="8"/>
      <c r="W159" s="8"/>
      <c r="X159" s="8"/>
      <c r="Y159" s="9"/>
      <c r="Z159" s="9"/>
      <c r="AA159" s="9"/>
      <c r="AB159" s="9"/>
      <c r="AC159" s="10" t="str">
        <f aca="false">IF(Z159="","",IF(Z159=0,"Unassigned",IF(Z159=1,"Single point",IF(AB159="Yes","Staffed and credentialed","Staffed, credential gap"))))</f>
        <v/>
      </c>
      <c r="AD159" s="10" t="str">
        <f aca="false">IFERROR(INDEX(Lists!$H$3:$H$6,MATCH(AC159,Lists!$G$3:$G$6,0)),"")</f>
        <v/>
      </c>
      <c r="AE159" s="8"/>
      <c r="AF159" s="10" t="str">
        <f aca="false">IFERROR(INDEX(Lists!$B$3:$B$7,MATCH(AE159,Lists!$A$3:$A$7,0)),"")</f>
        <v/>
      </c>
      <c r="AG159" s="8"/>
      <c r="AH159" s="8"/>
      <c r="AI159" s="8"/>
      <c r="AJ159" s="8"/>
      <c r="AK159" s="8"/>
      <c r="AL159" s="8"/>
      <c r="AM159" s="11" t="str">
        <f aca="false">IF(OR(AJ159="",AJ159=0),"",AL159/AJ159)</f>
        <v/>
      </c>
      <c r="AN159" s="8"/>
      <c r="AO159" s="8"/>
      <c r="AP159" s="10" t="str">
        <f aca="false">IF(AN159="","Not assessed",IF(AND(R159="No",AN159="Gap - recommend tailoring"),"INVALID: HSSB is not tailorable",IF(OR(Z159="",Z159=0),"NO NAMED EXECUTOR",IF(AND(N(AF159)&gt;=3,AJ159=""),"Operating claimed with no sample",IF(AND(N(AF159)&gt;=3,Z159=1),"Operating rests on one individual",IF(AND(N(AF159)&gt;=3,AB159&lt;&gt;"Yes"),"Operating claimed below designed credential",IF(AND(R159="No",N(AF159)&lt;3),"HSSB GATE: below Operating",IF(AND(N(AF159)&gt;=3,AJ159&lt;&gt;"",AL159=""),"Sample size with no conforming count","OK"))))))))</f>
        <v>Not assessed</v>
      </c>
      <c r="AQ159" s="8"/>
      <c r="AR159" s="8"/>
      <c r="AS159" s="8"/>
    </row>
    <row r="160" customFormat="false" ht="22.35" hidden="false" customHeight="false" outlineLevel="0" collapsed="false">
      <c r="A160" s="6" t="s">
        <v>415</v>
      </c>
      <c r="B160" s="6" t="s">
        <v>288</v>
      </c>
      <c r="C160" s="6" t="s">
        <v>341</v>
      </c>
      <c r="D160" s="6" t="s">
        <v>342</v>
      </c>
      <c r="E160" s="6" t="s">
        <v>416</v>
      </c>
      <c r="F160" s="7"/>
      <c r="G160" s="6" t="s">
        <v>82</v>
      </c>
      <c r="H160" s="6"/>
      <c r="I160" s="6"/>
      <c r="J160" s="6"/>
      <c r="K160" s="6"/>
      <c r="L160" s="6" t="s">
        <v>83</v>
      </c>
      <c r="M160" s="6" t="s">
        <v>84</v>
      </c>
      <c r="N160" s="6"/>
      <c r="O160" s="6"/>
      <c r="P160" s="6"/>
      <c r="Q160" s="6"/>
      <c r="R160" s="6" t="s">
        <v>85</v>
      </c>
      <c r="S160" s="6"/>
      <c r="T160" s="6" t="s">
        <v>294</v>
      </c>
      <c r="U160" s="8"/>
      <c r="V160" s="8"/>
      <c r="W160" s="8"/>
      <c r="X160" s="8"/>
      <c r="Y160" s="9"/>
      <c r="Z160" s="9"/>
      <c r="AA160" s="9"/>
      <c r="AB160" s="9"/>
      <c r="AC160" s="10" t="str">
        <f aca="false">IF(Z160="","",IF(Z160=0,"Unassigned",IF(Z160=1,"Single point",IF(AB160="Yes","Staffed and credentialed","Staffed, credential gap"))))</f>
        <v/>
      </c>
      <c r="AD160" s="10" t="str">
        <f aca="false">IFERROR(INDEX(Lists!$H$3:$H$6,MATCH(AC160,Lists!$G$3:$G$6,0)),"")</f>
        <v/>
      </c>
      <c r="AE160" s="8"/>
      <c r="AF160" s="10" t="str">
        <f aca="false">IFERROR(INDEX(Lists!$B$3:$B$7,MATCH(AE160,Lists!$A$3:$A$7,0)),"")</f>
        <v/>
      </c>
      <c r="AG160" s="8"/>
      <c r="AH160" s="8"/>
      <c r="AI160" s="8"/>
      <c r="AJ160" s="8"/>
      <c r="AK160" s="8"/>
      <c r="AL160" s="8"/>
      <c r="AM160" s="11" t="str">
        <f aca="false">IF(OR(AJ160="",AJ160=0),"",AL160/AJ160)</f>
        <v/>
      </c>
      <c r="AN160" s="8"/>
      <c r="AO160" s="8"/>
      <c r="AP160" s="10" t="str">
        <f aca="false">IF(AN160="","Not assessed",IF(AND(R160="No",AN160="Gap - recommend tailoring"),"INVALID: HSSB is not tailorable",IF(OR(Z160="",Z160=0),"NO NAMED EXECUTOR",IF(AND(N(AF160)&gt;=3,AJ160=""),"Operating claimed with no sample",IF(AND(N(AF160)&gt;=3,Z160=1),"Operating rests on one individual",IF(AND(N(AF160)&gt;=3,AB160&lt;&gt;"Yes"),"Operating claimed below designed credential",IF(AND(R160="No",N(AF160)&lt;3),"HSSB GATE: below Operating",IF(AND(N(AF160)&gt;=3,AJ160&lt;&gt;"",AL160=""),"Sample size with no conforming count","OK"))))))))</f>
        <v>Not assessed</v>
      </c>
      <c r="AQ160" s="8"/>
      <c r="AR160" s="8"/>
      <c r="AS160" s="8"/>
    </row>
    <row r="161" customFormat="false" ht="22.35" hidden="false" customHeight="false" outlineLevel="0" collapsed="false">
      <c r="A161" s="6" t="s">
        <v>417</v>
      </c>
      <c r="B161" s="6" t="s">
        <v>288</v>
      </c>
      <c r="C161" s="6" t="s">
        <v>341</v>
      </c>
      <c r="D161" s="6" t="s">
        <v>342</v>
      </c>
      <c r="E161" s="6" t="s">
        <v>418</v>
      </c>
      <c r="F161" s="7"/>
      <c r="G161" s="6" t="s">
        <v>82</v>
      </c>
      <c r="H161" s="6"/>
      <c r="I161" s="6"/>
      <c r="J161" s="6"/>
      <c r="K161" s="6"/>
      <c r="L161" s="6" t="s">
        <v>83</v>
      </c>
      <c r="M161" s="6" t="s">
        <v>84</v>
      </c>
      <c r="N161" s="6"/>
      <c r="O161" s="6"/>
      <c r="P161" s="6"/>
      <c r="Q161" s="6"/>
      <c r="R161" s="6" t="s">
        <v>85</v>
      </c>
      <c r="S161" s="6"/>
      <c r="T161" s="6" t="s">
        <v>294</v>
      </c>
      <c r="U161" s="8"/>
      <c r="V161" s="8"/>
      <c r="W161" s="8"/>
      <c r="X161" s="8"/>
      <c r="Y161" s="9"/>
      <c r="Z161" s="9"/>
      <c r="AA161" s="9"/>
      <c r="AB161" s="9"/>
      <c r="AC161" s="10" t="str">
        <f aca="false">IF(Z161="","",IF(Z161=0,"Unassigned",IF(Z161=1,"Single point",IF(AB161="Yes","Staffed and credentialed","Staffed, credential gap"))))</f>
        <v/>
      </c>
      <c r="AD161" s="10" t="str">
        <f aca="false">IFERROR(INDEX(Lists!$H$3:$H$6,MATCH(AC161,Lists!$G$3:$G$6,0)),"")</f>
        <v/>
      </c>
      <c r="AE161" s="8"/>
      <c r="AF161" s="10" t="str">
        <f aca="false">IFERROR(INDEX(Lists!$B$3:$B$7,MATCH(AE161,Lists!$A$3:$A$7,0)),"")</f>
        <v/>
      </c>
      <c r="AG161" s="8"/>
      <c r="AH161" s="8"/>
      <c r="AI161" s="8"/>
      <c r="AJ161" s="8"/>
      <c r="AK161" s="8"/>
      <c r="AL161" s="8"/>
      <c r="AM161" s="11" t="str">
        <f aca="false">IF(OR(AJ161="",AJ161=0),"",AL161/AJ161)</f>
        <v/>
      </c>
      <c r="AN161" s="8"/>
      <c r="AO161" s="8"/>
      <c r="AP161" s="10" t="str">
        <f aca="false">IF(AN161="","Not assessed",IF(AND(R161="No",AN161="Gap - recommend tailoring"),"INVALID: HSSB is not tailorable",IF(OR(Z161="",Z161=0),"NO NAMED EXECUTOR",IF(AND(N(AF161)&gt;=3,AJ161=""),"Operating claimed with no sample",IF(AND(N(AF161)&gt;=3,Z161=1),"Operating rests on one individual",IF(AND(N(AF161)&gt;=3,AB161&lt;&gt;"Yes"),"Operating claimed below designed credential",IF(AND(R161="No",N(AF161)&lt;3),"HSSB GATE: below Operating",IF(AND(N(AF161)&gt;=3,AJ161&lt;&gt;"",AL161=""),"Sample size with no conforming count","OK"))))))))</f>
        <v>Not assessed</v>
      </c>
      <c r="AQ161" s="8"/>
      <c r="AR161" s="8"/>
      <c r="AS161" s="8"/>
    </row>
    <row r="162" customFormat="false" ht="22.35" hidden="false" customHeight="false" outlineLevel="0" collapsed="false">
      <c r="A162" s="6" t="s">
        <v>419</v>
      </c>
      <c r="B162" s="6" t="s">
        <v>288</v>
      </c>
      <c r="C162" s="6" t="s">
        <v>341</v>
      </c>
      <c r="D162" s="6" t="s">
        <v>342</v>
      </c>
      <c r="E162" s="6" t="s">
        <v>420</v>
      </c>
      <c r="F162" s="7"/>
      <c r="G162" s="6" t="s">
        <v>82</v>
      </c>
      <c r="H162" s="6"/>
      <c r="I162" s="6"/>
      <c r="J162" s="6"/>
      <c r="K162" s="6"/>
      <c r="L162" s="6" t="s">
        <v>83</v>
      </c>
      <c r="M162" s="6" t="s">
        <v>84</v>
      </c>
      <c r="N162" s="6"/>
      <c r="O162" s="6"/>
      <c r="P162" s="6"/>
      <c r="Q162" s="6"/>
      <c r="R162" s="6" t="s">
        <v>85</v>
      </c>
      <c r="S162" s="6"/>
      <c r="T162" s="6" t="s">
        <v>294</v>
      </c>
      <c r="U162" s="8"/>
      <c r="V162" s="8"/>
      <c r="W162" s="8"/>
      <c r="X162" s="8"/>
      <c r="Y162" s="9"/>
      <c r="Z162" s="9"/>
      <c r="AA162" s="9"/>
      <c r="AB162" s="9"/>
      <c r="AC162" s="10" t="str">
        <f aca="false">IF(Z162="","",IF(Z162=0,"Unassigned",IF(Z162=1,"Single point",IF(AB162="Yes","Staffed and credentialed","Staffed, credential gap"))))</f>
        <v/>
      </c>
      <c r="AD162" s="10" t="str">
        <f aca="false">IFERROR(INDEX(Lists!$H$3:$H$6,MATCH(AC162,Lists!$G$3:$G$6,0)),"")</f>
        <v/>
      </c>
      <c r="AE162" s="8"/>
      <c r="AF162" s="10" t="str">
        <f aca="false">IFERROR(INDEX(Lists!$B$3:$B$7,MATCH(AE162,Lists!$A$3:$A$7,0)),"")</f>
        <v/>
      </c>
      <c r="AG162" s="8"/>
      <c r="AH162" s="8"/>
      <c r="AI162" s="8"/>
      <c r="AJ162" s="8"/>
      <c r="AK162" s="8"/>
      <c r="AL162" s="8"/>
      <c r="AM162" s="11" t="str">
        <f aca="false">IF(OR(AJ162="",AJ162=0),"",AL162/AJ162)</f>
        <v/>
      </c>
      <c r="AN162" s="8"/>
      <c r="AO162" s="8"/>
      <c r="AP162" s="10" t="str">
        <f aca="false">IF(AN162="","Not assessed",IF(AND(R162="No",AN162="Gap - recommend tailoring"),"INVALID: HSSB is not tailorable",IF(OR(Z162="",Z162=0),"NO NAMED EXECUTOR",IF(AND(N(AF162)&gt;=3,AJ162=""),"Operating claimed with no sample",IF(AND(N(AF162)&gt;=3,Z162=1),"Operating rests on one individual",IF(AND(N(AF162)&gt;=3,AB162&lt;&gt;"Yes"),"Operating claimed below designed credential",IF(AND(R162="No",N(AF162)&lt;3),"HSSB GATE: below Operating",IF(AND(N(AF162)&gt;=3,AJ162&lt;&gt;"",AL162=""),"Sample size with no conforming count","OK"))))))))</f>
        <v>Not assessed</v>
      </c>
      <c r="AQ162" s="8"/>
      <c r="AR162" s="8"/>
      <c r="AS162" s="8"/>
    </row>
    <row r="163" customFormat="false" ht="22.35" hidden="false" customHeight="false" outlineLevel="0" collapsed="false">
      <c r="A163" s="6" t="s">
        <v>421</v>
      </c>
      <c r="B163" s="6" t="s">
        <v>288</v>
      </c>
      <c r="C163" s="6" t="s">
        <v>341</v>
      </c>
      <c r="D163" s="6" t="s">
        <v>342</v>
      </c>
      <c r="E163" s="6" t="s">
        <v>100</v>
      </c>
      <c r="F163" s="7"/>
      <c r="G163" s="6" t="s">
        <v>82</v>
      </c>
      <c r="H163" s="6"/>
      <c r="I163" s="6"/>
      <c r="J163" s="6"/>
      <c r="K163" s="6"/>
      <c r="L163" s="6" t="s">
        <v>83</v>
      </c>
      <c r="M163" s="6" t="s">
        <v>84</v>
      </c>
      <c r="N163" s="6"/>
      <c r="O163" s="6"/>
      <c r="P163" s="6"/>
      <c r="Q163" s="6"/>
      <c r="R163" s="6" t="s">
        <v>85</v>
      </c>
      <c r="S163" s="6"/>
      <c r="T163" s="6" t="s">
        <v>294</v>
      </c>
      <c r="U163" s="8"/>
      <c r="V163" s="8"/>
      <c r="W163" s="8"/>
      <c r="X163" s="8"/>
      <c r="Y163" s="9"/>
      <c r="Z163" s="9"/>
      <c r="AA163" s="9"/>
      <c r="AB163" s="9"/>
      <c r="AC163" s="10" t="str">
        <f aca="false">IF(Z163="","",IF(Z163=0,"Unassigned",IF(Z163=1,"Single point",IF(AB163="Yes","Staffed and credentialed","Staffed, credential gap"))))</f>
        <v/>
      </c>
      <c r="AD163" s="10" t="str">
        <f aca="false">IFERROR(INDEX(Lists!$H$3:$H$6,MATCH(AC163,Lists!$G$3:$G$6,0)),"")</f>
        <v/>
      </c>
      <c r="AE163" s="8"/>
      <c r="AF163" s="10" t="str">
        <f aca="false">IFERROR(INDEX(Lists!$B$3:$B$7,MATCH(AE163,Lists!$A$3:$A$7,0)),"")</f>
        <v/>
      </c>
      <c r="AG163" s="8"/>
      <c r="AH163" s="8"/>
      <c r="AI163" s="8"/>
      <c r="AJ163" s="8"/>
      <c r="AK163" s="8"/>
      <c r="AL163" s="8"/>
      <c r="AM163" s="11" t="str">
        <f aca="false">IF(OR(AJ163="",AJ163=0),"",AL163/AJ163)</f>
        <v/>
      </c>
      <c r="AN163" s="8"/>
      <c r="AO163" s="8"/>
      <c r="AP163" s="10" t="str">
        <f aca="false">IF(AN163="","Not assessed",IF(AND(R163="No",AN163="Gap - recommend tailoring"),"INVALID: HSSB is not tailorable",IF(OR(Z163="",Z163=0),"NO NAMED EXECUTOR",IF(AND(N(AF163)&gt;=3,AJ163=""),"Operating claimed with no sample",IF(AND(N(AF163)&gt;=3,Z163=1),"Operating rests on one individual",IF(AND(N(AF163)&gt;=3,AB163&lt;&gt;"Yes"),"Operating claimed below designed credential",IF(AND(R163="No",N(AF163)&lt;3),"HSSB GATE: below Operating",IF(AND(N(AF163)&gt;=3,AJ163&lt;&gt;"",AL163=""),"Sample size with no conforming count","OK"))))))))</f>
        <v>Not assessed</v>
      </c>
      <c r="AQ163" s="8"/>
      <c r="AR163" s="8"/>
      <c r="AS163" s="8"/>
    </row>
    <row r="164" customFormat="false" ht="22.35" hidden="false" customHeight="false" outlineLevel="0" collapsed="false">
      <c r="A164" s="6" t="s">
        <v>422</v>
      </c>
      <c r="B164" s="6" t="s">
        <v>288</v>
      </c>
      <c r="C164" s="6" t="s">
        <v>341</v>
      </c>
      <c r="D164" s="6" t="s">
        <v>342</v>
      </c>
      <c r="E164" s="6" t="s">
        <v>102</v>
      </c>
      <c r="F164" s="7"/>
      <c r="G164" s="6" t="s">
        <v>82</v>
      </c>
      <c r="H164" s="6"/>
      <c r="I164" s="6"/>
      <c r="J164" s="6"/>
      <c r="K164" s="6"/>
      <c r="L164" s="6" t="s">
        <v>83</v>
      </c>
      <c r="M164" s="6" t="s">
        <v>84</v>
      </c>
      <c r="N164" s="6"/>
      <c r="O164" s="6"/>
      <c r="P164" s="6"/>
      <c r="Q164" s="6"/>
      <c r="R164" s="6" t="s">
        <v>85</v>
      </c>
      <c r="S164" s="6"/>
      <c r="T164" s="6" t="s">
        <v>294</v>
      </c>
      <c r="U164" s="8"/>
      <c r="V164" s="8"/>
      <c r="W164" s="8"/>
      <c r="X164" s="8"/>
      <c r="Y164" s="9"/>
      <c r="Z164" s="9"/>
      <c r="AA164" s="9"/>
      <c r="AB164" s="9"/>
      <c r="AC164" s="10" t="str">
        <f aca="false">IF(Z164="","",IF(Z164=0,"Unassigned",IF(Z164=1,"Single point",IF(AB164="Yes","Staffed and credentialed","Staffed, credential gap"))))</f>
        <v/>
      </c>
      <c r="AD164" s="10" t="str">
        <f aca="false">IFERROR(INDEX(Lists!$H$3:$H$6,MATCH(AC164,Lists!$G$3:$G$6,0)),"")</f>
        <v/>
      </c>
      <c r="AE164" s="8"/>
      <c r="AF164" s="10" t="str">
        <f aca="false">IFERROR(INDEX(Lists!$B$3:$B$7,MATCH(AE164,Lists!$A$3:$A$7,0)),"")</f>
        <v/>
      </c>
      <c r="AG164" s="8"/>
      <c r="AH164" s="8"/>
      <c r="AI164" s="8"/>
      <c r="AJ164" s="8"/>
      <c r="AK164" s="8"/>
      <c r="AL164" s="8"/>
      <c r="AM164" s="11" t="str">
        <f aca="false">IF(OR(AJ164="",AJ164=0),"",AL164/AJ164)</f>
        <v/>
      </c>
      <c r="AN164" s="8"/>
      <c r="AO164" s="8"/>
      <c r="AP164" s="10" t="str">
        <f aca="false">IF(AN164="","Not assessed",IF(AND(R164="No",AN164="Gap - recommend tailoring"),"INVALID: HSSB is not tailorable",IF(OR(Z164="",Z164=0),"NO NAMED EXECUTOR",IF(AND(N(AF164)&gt;=3,AJ164=""),"Operating claimed with no sample",IF(AND(N(AF164)&gt;=3,Z164=1),"Operating rests on one individual",IF(AND(N(AF164)&gt;=3,AB164&lt;&gt;"Yes"),"Operating claimed below designed credential",IF(AND(R164="No",N(AF164)&lt;3),"HSSB GATE: below Operating",IF(AND(N(AF164)&gt;=3,AJ164&lt;&gt;"",AL164=""),"Sample size with no conforming count","OK"))))))))</f>
        <v>Not assessed</v>
      </c>
      <c r="AQ164" s="8"/>
      <c r="AR164" s="8"/>
      <c r="AS164" s="8"/>
    </row>
    <row r="165" customFormat="false" ht="22.35" hidden="false" customHeight="false" outlineLevel="0" collapsed="false">
      <c r="A165" s="6" t="s">
        <v>423</v>
      </c>
      <c r="B165" s="6" t="s">
        <v>288</v>
      </c>
      <c r="C165" s="6" t="s">
        <v>424</v>
      </c>
      <c r="D165" s="6" t="s">
        <v>425</v>
      </c>
      <c r="E165" s="6" t="s">
        <v>81</v>
      </c>
      <c r="F165" s="7"/>
      <c r="G165" s="6" t="s">
        <v>82</v>
      </c>
      <c r="H165" s="6"/>
      <c r="I165" s="6"/>
      <c r="J165" s="6"/>
      <c r="K165" s="6"/>
      <c r="L165" s="6" t="s">
        <v>83</v>
      </c>
      <c r="M165" s="6" t="s">
        <v>84</v>
      </c>
      <c r="N165" s="6"/>
      <c r="O165" s="6"/>
      <c r="P165" s="6"/>
      <c r="Q165" s="6"/>
      <c r="R165" s="6" t="s">
        <v>85</v>
      </c>
      <c r="S165" s="6" t="s">
        <v>426</v>
      </c>
      <c r="T165" s="6" t="s">
        <v>294</v>
      </c>
      <c r="U165" s="8"/>
      <c r="V165" s="8"/>
      <c r="W165" s="8"/>
      <c r="X165" s="8"/>
      <c r="Y165" s="9"/>
      <c r="Z165" s="9"/>
      <c r="AA165" s="9"/>
      <c r="AB165" s="9"/>
      <c r="AC165" s="10" t="str">
        <f aca="false">IF(Z165="","",IF(Z165=0,"Unassigned",IF(Z165=1,"Single point",IF(AB165="Yes","Staffed and credentialed","Staffed, credential gap"))))</f>
        <v/>
      </c>
      <c r="AD165" s="10" t="str">
        <f aca="false">IFERROR(INDEX(Lists!$H$3:$H$6,MATCH(AC165,Lists!$G$3:$G$6,0)),"")</f>
        <v/>
      </c>
      <c r="AE165" s="8"/>
      <c r="AF165" s="10" t="str">
        <f aca="false">IFERROR(INDEX(Lists!$B$3:$B$7,MATCH(AE165,Lists!$A$3:$A$7,0)),"")</f>
        <v/>
      </c>
      <c r="AG165" s="8"/>
      <c r="AH165" s="8"/>
      <c r="AI165" s="8"/>
      <c r="AJ165" s="8"/>
      <c r="AK165" s="8"/>
      <c r="AL165" s="8"/>
      <c r="AM165" s="11" t="str">
        <f aca="false">IF(OR(AJ165="",AJ165=0),"",AL165/AJ165)</f>
        <v/>
      </c>
      <c r="AN165" s="8"/>
      <c r="AO165" s="8"/>
      <c r="AP165" s="10" t="str">
        <f aca="false">IF(AN165="","Not assessed",IF(AND(R165="No",AN165="Gap - recommend tailoring"),"INVALID: HSSB is not tailorable",IF(OR(Z165="",Z165=0),"NO NAMED EXECUTOR",IF(AND(N(AF165)&gt;=3,AJ165=""),"Operating claimed with no sample",IF(AND(N(AF165)&gt;=3,Z165=1),"Operating rests on one individual",IF(AND(N(AF165)&gt;=3,AB165&lt;&gt;"Yes"),"Operating claimed below designed credential",IF(AND(R165="No",N(AF165)&lt;3),"HSSB GATE: below Operating",IF(AND(N(AF165)&gt;=3,AJ165&lt;&gt;"",AL165=""),"Sample size with no conforming count","OK"))))))))</f>
        <v>Not assessed</v>
      </c>
      <c r="AQ165" s="8"/>
      <c r="AR165" s="8"/>
      <c r="AS165" s="8"/>
    </row>
    <row r="166" customFormat="false" ht="22.35" hidden="false" customHeight="false" outlineLevel="0" collapsed="false">
      <c r="A166" s="6" t="s">
        <v>427</v>
      </c>
      <c r="B166" s="6" t="s">
        <v>288</v>
      </c>
      <c r="C166" s="6" t="s">
        <v>424</v>
      </c>
      <c r="D166" s="6" t="s">
        <v>425</v>
      </c>
      <c r="E166" s="6" t="s">
        <v>88</v>
      </c>
      <c r="F166" s="7"/>
      <c r="G166" s="6" t="s">
        <v>82</v>
      </c>
      <c r="H166" s="6"/>
      <c r="I166" s="6"/>
      <c r="J166" s="6"/>
      <c r="K166" s="6"/>
      <c r="L166" s="6" t="s">
        <v>83</v>
      </c>
      <c r="M166" s="6" t="s">
        <v>84</v>
      </c>
      <c r="N166" s="6"/>
      <c r="O166" s="6"/>
      <c r="P166" s="6"/>
      <c r="Q166" s="6"/>
      <c r="R166" s="6" t="s">
        <v>85</v>
      </c>
      <c r="S166" s="6" t="s">
        <v>426</v>
      </c>
      <c r="T166" s="6" t="s">
        <v>294</v>
      </c>
      <c r="U166" s="8"/>
      <c r="V166" s="8"/>
      <c r="W166" s="8"/>
      <c r="X166" s="8"/>
      <c r="Y166" s="9"/>
      <c r="Z166" s="9"/>
      <c r="AA166" s="9"/>
      <c r="AB166" s="9"/>
      <c r="AC166" s="10" t="str">
        <f aca="false">IF(Z166="","",IF(Z166=0,"Unassigned",IF(Z166=1,"Single point",IF(AB166="Yes","Staffed and credentialed","Staffed, credential gap"))))</f>
        <v/>
      </c>
      <c r="AD166" s="10" t="str">
        <f aca="false">IFERROR(INDEX(Lists!$H$3:$H$6,MATCH(AC166,Lists!$G$3:$G$6,0)),"")</f>
        <v/>
      </c>
      <c r="AE166" s="8"/>
      <c r="AF166" s="10" t="str">
        <f aca="false">IFERROR(INDEX(Lists!$B$3:$B$7,MATCH(AE166,Lists!$A$3:$A$7,0)),"")</f>
        <v/>
      </c>
      <c r="AG166" s="8"/>
      <c r="AH166" s="8"/>
      <c r="AI166" s="8"/>
      <c r="AJ166" s="8"/>
      <c r="AK166" s="8"/>
      <c r="AL166" s="8"/>
      <c r="AM166" s="11" t="str">
        <f aca="false">IF(OR(AJ166="",AJ166=0),"",AL166/AJ166)</f>
        <v/>
      </c>
      <c r="AN166" s="8"/>
      <c r="AO166" s="8"/>
      <c r="AP166" s="10" t="str">
        <f aca="false">IF(AN166="","Not assessed",IF(AND(R166="No",AN166="Gap - recommend tailoring"),"INVALID: HSSB is not tailorable",IF(OR(Z166="",Z166=0),"NO NAMED EXECUTOR",IF(AND(N(AF166)&gt;=3,AJ166=""),"Operating claimed with no sample",IF(AND(N(AF166)&gt;=3,Z166=1),"Operating rests on one individual",IF(AND(N(AF166)&gt;=3,AB166&lt;&gt;"Yes"),"Operating claimed below designed credential",IF(AND(R166="No",N(AF166)&lt;3),"HSSB GATE: below Operating",IF(AND(N(AF166)&gt;=3,AJ166&lt;&gt;"",AL166=""),"Sample size with no conforming count","OK"))))))))</f>
        <v>Not assessed</v>
      </c>
      <c r="AQ166" s="8"/>
      <c r="AR166" s="8"/>
      <c r="AS166" s="8"/>
    </row>
    <row r="167" customFormat="false" ht="22.35" hidden="false" customHeight="false" outlineLevel="0" collapsed="false">
      <c r="A167" s="12" t="s">
        <v>428</v>
      </c>
      <c r="B167" s="12" t="s">
        <v>288</v>
      </c>
      <c r="C167" s="12" t="s">
        <v>429</v>
      </c>
      <c r="D167" s="12" t="s">
        <v>430</v>
      </c>
      <c r="E167" s="12" t="s">
        <v>81</v>
      </c>
      <c r="F167" s="12"/>
      <c r="G167" s="13" t="s">
        <v>85</v>
      </c>
      <c r="H167" s="13" t="s">
        <v>431</v>
      </c>
      <c r="I167" s="12" t="s">
        <v>240</v>
      </c>
      <c r="J167" s="12" t="s">
        <v>432</v>
      </c>
      <c r="K167" s="12" t="s">
        <v>433</v>
      </c>
      <c r="L167" s="12" t="s">
        <v>93</v>
      </c>
      <c r="M167" s="12" t="s">
        <v>94</v>
      </c>
      <c r="N167" s="12" t="s">
        <v>95</v>
      </c>
      <c r="O167" s="12" t="s">
        <v>96</v>
      </c>
      <c r="P167" s="12" t="s">
        <v>97</v>
      </c>
      <c r="Q167" s="12" t="s">
        <v>195</v>
      </c>
      <c r="R167" s="12" t="s">
        <v>82</v>
      </c>
      <c r="S167" s="12"/>
      <c r="T167" s="12" t="s">
        <v>294</v>
      </c>
      <c r="U167" s="8"/>
      <c r="V167" s="8"/>
      <c r="W167" s="8"/>
      <c r="X167" s="8"/>
      <c r="Y167" s="9"/>
      <c r="Z167" s="9"/>
      <c r="AA167" s="9"/>
      <c r="AB167" s="9"/>
      <c r="AC167" s="10" t="str">
        <f aca="false">IF(Z167="","",IF(Z167=0,"Unassigned",IF(Z167=1,"Single point",IF(AB167="Yes","Staffed and credentialed","Staffed, credential gap"))))</f>
        <v/>
      </c>
      <c r="AD167" s="10" t="str">
        <f aca="false">IFERROR(INDEX(Lists!$H$3:$H$6,MATCH(AC167,Lists!$G$3:$G$6,0)),"")</f>
        <v/>
      </c>
      <c r="AE167" s="8"/>
      <c r="AF167" s="10" t="str">
        <f aca="false">IFERROR(INDEX(Lists!$B$3:$B$7,MATCH(AE167,Lists!$A$3:$A$7,0)),"")</f>
        <v/>
      </c>
      <c r="AG167" s="8"/>
      <c r="AH167" s="8"/>
      <c r="AI167" s="8"/>
      <c r="AJ167" s="8"/>
      <c r="AK167" s="8"/>
      <c r="AL167" s="8"/>
      <c r="AM167" s="11" t="str">
        <f aca="false">IF(OR(AJ167="",AJ167=0),"",AL167/AJ167)</f>
        <v/>
      </c>
      <c r="AN167" s="8"/>
      <c r="AO167" s="8"/>
      <c r="AP167" s="10" t="str">
        <f aca="false">IF(AN167="","Not assessed",IF(AND(R167="No",AN167="Gap - recommend tailoring"),"INVALID: HSSB is not tailorable",IF(OR(Z167="",Z167=0),"NO NAMED EXECUTOR",IF(AND(N(AF167)&gt;=3,AJ167=""),"Operating claimed with no sample",IF(AND(N(AF167)&gt;=3,Z167=1),"Operating rests on one individual",IF(AND(N(AF167)&gt;=3,AB167&lt;&gt;"Yes"),"Operating claimed below designed credential",IF(AND(R167="No",N(AF167)&lt;3),"HSSB GATE: below Operating",IF(AND(N(AF167)&gt;=3,AJ167&lt;&gt;"",AL167=""),"Sample size with no conforming count","OK"))))))))</f>
        <v>Not assessed</v>
      </c>
      <c r="AQ167" s="8"/>
      <c r="AR167" s="8"/>
      <c r="AS167" s="8"/>
    </row>
    <row r="168" customFormat="false" ht="22.35" hidden="false" customHeight="false" outlineLevel="0" collapsed="false">
      <c r="A168" s="6" t="s">
        <v>434</v>
      </c>
      <c r="B168" s="6" t="s">
        <v>288</v>
      </c>
      <c r="C168" s="6" t="s">
        <v>429</v>
      </c>
      <c r="D168" s="6" t="s">
        <v>430</v>
      </c>
      <c r="E168" s="6" t="s">
        <v>156</v>
      </c>
      <c r="F168" s="7"/>
      <c r="G168" s="6" t="s">
        <v>82</v>
      </c>
      <c r="H168" s="6"/>
      <c r="I168" s="6"/>
      <c r="J168" s="6"/>
      <c r="K168" s="6"/>
      <c r="L168" s="6" t="s">
        <v>83</v>
      </c>
      <c r="M168" s="6" t="s">
        <v>84</v>
      </c>
      <c r="N168" s="6"/>
      <c r="O168" s="6"/>
      <c r="P168" s="6"/>
      <c r="Q168" s="6"/>
      <c r="R168" s="6" t="s">
        <v>85</v>
      </c>
      <c r="S168" s="6"/>
      <c r="T168" s="6" t="s">
        <v>294</v>
      </c>
      <c r="U168" s="8"/>
      <c r="V168" s="8"/>
      <c r="W168" s="8"/>
      <c r="X168" s="8"/>
      <c r="Y168" s="9"/>
      <c r="Z168" s="9"/>
      <c r="AA168" s="9"/>
      <c r="AB168" s="9"/>
      <c r="AC168" s="10" t="str">
        <f aca="false">IF(Z168="","",IF(Z168=0,"Unassigned",IF(Z168=1,"Single point",IF(AB168="Yes","Staffed and credentialed","Staffed, credential gap"))))</f>
        <v/>
      </c>
      <c r="AD168" s="10" t="str">
        <f aca="false">IFERROR(INDEX(Lists!$H$3:$H$6,MATCH(AC168,Lists!$G$3:$G$6,0)),"")</f>
        <v/>
      </c>
      <c r="AE168" s="8"/>
      <c r="AF168" s="10" t="str">
        <f aca="false">IFERROR(INDEX(Lists!$B$3:$B$7,MATCH(AE168,Lists!$A$3:$A$7,0)),"")</f>
        <v/>
      </c>
      <c r="AG168" s="8"/>
      <c r="AH168" s="8"/>
      <c r="AI168" s="8"/>
      <c r="AJ168" s="8"/>
      <c r="AK168" s="8"/>
      <c r="AL168" s="8"/>
      <c r="AM168" s="11" t="str">
        <f aca="false">IF(OR(AJ168="",AJ168=0),"",AL168/AJ168)</f>
        <v/>
      </c>
      <c r="AN168" s="8"/>
      <c r="AO168" s="8"/>
      <c r="AP168" s="10" t="str">
        <f aca="false">IF(AN168="","Not assessed",IF(AND(R168="No",AN168="Gap - recommend tailoring"),"INVALID: HSSB is not tailorable",IF(OR(Z168="",Z168=0),"NO NAMED EXECUTOR",IF(AND(N(AF168)&gt;=3,AJ168=""),"Operating claimed with no sample",IF(AND(N(AF168)&gt;=3,Z168=1),"Operating rests on one individual",IF(AND(N(AF168)&gt;=3,AB168&lt;&gt;"Yes"),"Operating claimed below designed credential",IF(AND(R168="No",N(AF168)&lt;3),"HSSB GATE: below Operating",IF(AND(N(AF168)&gt;=3,AJ168&lt;&gt;"",AL168=""),"Sample size with no conforming count","OK"))))))))</f>
        <v>Not assessed</v>
      </c>
      <c r="AQ168" s="8"/>
      <c r="AR168" s="8"/>
      <c r="AS168" s="8"/>
    </row>
    <row r="169" customFormat="false" ht="22.35" hidden="false" customHeight="false" outlineLevel="0" collapsed="false">
      <c r="A169" s="6" t="s">
        <v>435</v>
      </c>
      <c r="B169" s="6" t="s">
        <v>288</v>
      </c>
      <c r="C169" s="6" t="s">
        <v>429</v>
      </c>
      <c r="D169" s="6" t="s">
        <v>430</v>
      </c>
      <c r="E169" s="6" t="s">
        <v>158</v>
      </c>
      <c r="F169" s="7"/>
      <c r="G169" s="6" t="s">
        <v>82</v>
      </c>
      <c r="H169" s="6"/>
      <c r="I169" s="6"/>
      <c r="J169" s="6"/>
      <c r="K169" s="6"/>
      <c r="L169" s="6" t="s">
        <v>83</v>
      </c>
      <c r="M169" s="6" t="s">
        <v>84</v>
      </c>
      <c r="N169" s="6"/>
      <c r="O169" s="6"/>
      <c r="P169" s="6"/>
      <c r="Q169" s="6"/>
      <c r="R169" s="6" t="s">
        <v>85</v>
      </c>
      <c r="S169" s="6"/>
      <c r="T169" s="6" t="s">
        <v>294</v>
      </c>
      <c r="U169" s="8"/>
      <c r="V169" s="8"/>
      <c r="W169" s="8"/>
      <c r="X169" s="8"/>
      <c r="Y169" s="9"/>
      <c r="Z169" s="9"/>
      <c r="AA169" s="9"/>
      <c r="AB169" s="9"/>
      <c r="AC169" s="10" t="str">
        <f aca="false">IF(Z169="","",IF(Z169=0,"Unassigned",IF(Z169=1,"Single point",IF(AB169="Yes","Staffed and credentialed","Staffed, credential gap"))))</f>
        <v/>
      </c>
      <c r="AD169" s="10" t="str">
        <f aca="false">IFERROR(INDEX(Lists!$H$3:$H$6,MATCH(AC169,Lists!$G$3:$G$6,0)),"")</f>
        <v/>
      </c>
      <c r="AE169" s="8"/>
      <c r="AF169" s="10" t="str">
        <f aca="false">IFERROR(INDEX(Lists!$B$3:$B$7,MATCH(AE169,Lists!$A$3:$A$7,0)),"")</f>
        <v/>
      </c>
      <c r="AG169" s="8"/>
      <c r="AH169" s="8"/>
      <c r="AI169" s="8"/>
      <c r="AJ169" s="8"/>
      <c r="AK169" s="8"/>
      <c r="AL169" s="8"/>
      <c r="AM169" s="11" t="str">
        <f aca="false">IF(OR(AJ169="",AJ169=0),"",AL169/AJ169)</f>
        <v/>
      </c>
      <c r="AN169" s="8"/>
      <c r="AO169" s="8"/>
      <c r="AP169" s="10" t="str">
        <f aca="false">IF(AN169="","Not assessed",IF(AND(R169="No",AN169="Gap - recommend tailoring"),"INVALID: HSSB is not tailorable",IF(OR(Z169="",Z169=0),"NO NAMED EXECUTOR",IF(AND(N(AF169)&gt;=3,AJ169=""),"Operating claimed with no sample",IF(AND(N(AF169)&gt;=3,Z169=1),"Operating rests on one individual",IF(AND(N(AF169)&gt;=3,AB169&lt;&gt;"Yes"),"Operating claimed below designed credential",IF(AND(R169="No",N(AF169)&lt;3),"HSSB GATE: below Operating",IF(AND(N(AF169)&gt;=3,AJ169&lt;&gt;"",AL169=""),"Sample size with no conforming count","OK"))))))))</f>
        <v>Not assessed</v>
      </c>
      <c r="AQ169" s="8"/>
      <c r="AR169" s="8"/>
      <c r="AS169" s="8"/>
    </row>
    <row r="170" customFormat="false" ht="22.35" hidden="false" customHeight="false" outlineLevel="0" collapsed="false">
      <c r="A170" s="12" t="s">
        <v>436</v>
      </c>
      <c r="B170" s="12" t="s">
        <v>288</v>
      </c>
      <c r="C170" s="12" t="s">
        <v>429</v>
      </c>
      <c r="D170" s="12" t="s">
        <v>430</v>
      </c>
      <c r="E170" s="12" t="s">
        <v>100</v>
      </c>
      <c r="F170" s="12"/>
      <c r="G170" s="13" t="s">
        <v>85</v>
      </c>
      <c r="H170" s="13" t="s">
        <v>437</v>
      </c>
      <c r="I170" s="12" t="s">
        <v>240</v>
      </c>
      <c r="J170" s="12" t="s">
        <v>432</v>
      </c>
      <c r="K170" s="12" t="s">
        <v>433</v>
      </c>
      <c r="L170" s="12" t="s">
        <v>93</v>
      </c>
      <c r="M170" s="12" t="s">
        <v>94</v>
      </c>
      <c r="N170" s="12" t="s">
        <v>95</v>
      </c>
      <c r="O170" s="12" t="s">
        <v>96</v>
      </c>
      <c r="P170" s="12" t="s">
        <v>97</v>
      </c>
      <c r="Q170" s="12" t="s">
        <v>195</v>
      </c>
      <c r="R170" s="12" t="s">
        <v>82</v>
      </c>
      <c r="S170" s="12"/>
      <c r="T170" s="12" t="s">
        <v>294</v>
      </c>
      <c r="U170" s="8"/>
      <c r="V170" s="8"/>
      <c r="W170" s="8"/>
      <c r="X170" s="8"/>
      <c r="Y170" s="9"/>
      <c r="Z170" s="9"/>
      <c r="AA170" s="9"/>
      <c r="AB170" s="9"/>
      <c r="AC170" s="10" t="str">
        <f aca="false">IF(Z170="","",IF(Z170=0,"Unassigned",IF(Z170=1,"Single point",IF(AB170="Yes","Staffed and credentialed","Staffed, credential gap"))))</f>
        <v/>
      </c>
      <c r="AD170" s="10" t="str">
        <f aca="false">IFERROR(INDEX(Lists!$H$3:$H$6,MATCH(AC170,Lists!$G$3:$G$6,0)),"")</f>
        <v/>
      </c>
      <c r="AE170" s="8"/>
      <c r="AF170" s="10" t="str">
        <f aca="false">IFERROR(INDEX(Lists!$B$3:$B$7,MATCH(AE170,Lists!$A$3:$A$7,0)),"")</f>
        <v/>
      </c>
      <c r="AG170" s="8"/>
      <c r="AH170" s="8"/>
      <c r="AI170" s="8"/>
      <c r="AJ170" s="8"/>
      <c r="AK170" s="8"/>
      <c r="AL170" s="8"/>
      <c r="AM170" s="11" t="str">
        <f aca="false">IF(OR(AJ170="",AJ170=0),"",AL170/AJ170)</f>
        <v/>
      </c>
      <c r="AN170" s="8"/>
      <c r="AO170" s="8"/>
      <c r="AP170" s="10" t="str">
        <f aca="false">IF(AN170="","Not assessed",IF(AND(R170="No",AN170="Gap - recommend tailoring"),"INVALID: HSSB is not tailorable",IF(OR(Z170="",Z170=0),"NO NAMED EXECUTOR",IF(AND(N(AF170)&gt;=3,AJ170=""),"Operating claimed with no sample",IF(AND(N(AF170)&gt;=3,Z170=1),"Operating rests on one individual",IF(AND(N(AF170)&gt;=3,AB170&lt;&gt;"Yes"),"Operating claimed below designed credential",IF(AND(R170="No",N(AF170)&lt;3),"HSSB GATE: below Operating",IF(AND(N(AF170)&gt;=3,AJ170&lt;&gt;"",AL170=""),"Sample size with no conforming count","OK"))))))))</f>
        <v>Not assessed</v>
      </c>
      <c r="AQ170" s="8"/>
      <c r="AR170" s="8"/>
      <c r="AS170" s="8"/>
    </row>
    <row r="171" customFormat="false" ht="22.35" hidden="false" customHeight="false" outlineLevel="0" collapsed="false">
      <c r="A171" s="6" t="s">
        <v>438</v>
      </c>
      <c r="B171" s="6" t="s">
        <v>288</v>
      </c>
      <c r="C171" s="6" t="s">
        <v>439</v>
      </c>
      <c r="D171" s="6" t="s">
        <v>440</v>
      </c>
      <c r="E171" s="6" t="s">
        <v>81</v>
      </c>
      <c r="F171" s="7"/>
      <c r="G171" s="6" t="s">
        <v>82</v>
      </c>
      <c r="H171" s="6"/>
      <c r="I171" s="6"/>
      <c r="J171" s="6"/>
      <c r="K171" s="6"/>
      <c r="L171" s="6" t="s">
        <v>83</v>
      </c>
      <c r="M171" s="6" t="s">
        <v>84</v>
      </c>
      <c r="N171" s="6"/>
      <c r="O171" s="6"/>
      <c r="P171" s="6"/>
      <c r="Q171" s="6"/>
      <c r="R171" s="6" t="s">
        <v>85</v>
      </c>
      <c r="S171" s="6"/>
      <c r="T171" s="6" t="s">
        <v>294</v>
      </c>
      <c r="U171" s="8"/>
      <c r="V171" s="8"/>
      <c r="W171" s="8"/>
      <c r="X171" s="8"/>
      <c r="Y171" s="9"/>
      <c r="Z171" s="9"/>
      <c r="AA171" s="9"/>
      <c r="AB171" s="9"/>
      <c r="AC171" s="10" t="str">
        <f aca="false">IF(Z171="","",IF(Z171=0,"Unassigned",IF(Z171=1,"Single point",IF(AB171="Yes","Staffed and credentialed","Staffed, credential gap"))))</f>
        <v/>
      </c>
      <c r="AD171" s="10" t="str">
        <f aca="false">IFERROR(INDEX(Lists!$H$3:$H$6,MATCH(AC171,Lists!$G$3:$G$6,0)),"")</f>
        <v/>
      </c>
      <c r="AE171" s="8"/>
      <c r="AF171" s="10" t="str">
        <f aca="false">IFERROR(INDEX(Lists!$B$3:$B$7,MATCH(AE171,Lists!$A$3:$A$7,0)),"")</f>
        <v/>
      </c>
      <c r="AG171" s="8"/>
      <c r="AH171" s="8"/>
      <c r="AI171" s="8"/>
      <c r="AJ171" s="8"/>
      <c r="AK171" s="8"/>
      <c r="AL171" s="8"/>
      <c r="AM171" s="11" t="str">
        <f aca="false">IF(OR(AJ171="",AJ171=0),"",AL171/AJ171)</f>
        <v/>
      </c>
      <c r="AN171" s="8"/>
      <c r="AO171" s="8"/>
      <c r="AP171" s="10" t="str">
        <f aca="false">IF(AN171="","Not assessed",IF(AND(R171="No",AN171="Gap - recommend tailoring"),"INVALID: HSSB is not tailorable",IF(OR(Z171="",Z171=0),"NO NAMED EXECUTOR",IF(AND(N(AF171)&gt;=3,AJ171=""),"Operating claimed with no sample",IF(AND(N(AF171)&gt;=3,Z171=1),"Operating rests on one individual",IF(AND(N(AF171)&gt;=3,AB171&lt;&gt;"Yes"),"Operating claimed below designed credential",IF(AND(R171="No",N(AF171)&lt;3),"HSSB GATE: below Operating",IF(AND(N(AF171)&gt;=3,AJ171&lt;&gt;"",AL171=""),"Sample size with no conforming count","OK"))))))))</f>
        <v>Not assessed</v>
      </c>
      <c r="AQ171" s="8"/>
      <c r="AR171" s="8"/>
      <c r="AS171" s="8"/>
    </row>
    <row r="172" customFormat="false" ht="22.35" hidden="false" customHeight="false" outlineLevel="0" collapsed="false">
      <c r="A172" s="6" t="s">
        <v>441</v>
      </c>
      <c r="B172" s="6" t="s">
        <v>288</v>
      </c>
      <c r="C172" s="6" t="s">
        <v>442</v>
      </c>
      <c r="D172" s="6" t="s">
        <v>443</v>
      </c>
      <c r="E172" s="6" t="s">
        <v>81</v>
      </c>
      <c r="F172" s="7"/>
      <c r="G172" s="6" t="s">
        <v>82</v>
      </c>
      <c r="H172" s="6"/>
      <c r="I172" s="6"/>
      <c r="J172" s="6"/>
      <c r="K172" s="6"/>
      <c r="L172" s="6" t="s">
        <v>83</v>
      </c>
      <c r="M172" s="6" t="s">
        <v>84</v>
      </c>
      <c r="N172" s="6"/>
      <c r="O172" s="6"/>
      <c r="P172" s="6"/>
      <c r="Q172" s="6"/>
      <c r="R172" s="6" t="s">
        <v>85</v>
      </c>
      <c r="S172" s="6"/>
      <c r="T172" s="6" t="s">
        <v>294</v>
      </c>
      <c r="U172" s="8"/>
      <c r="V172" s="8"/>
      <c r="W172" s="8"/>
      <c r="X172" s="8"/>
      <c r="Y172" s="9"/>
      <c r="Z172" s="9"/>
      <c r="AA172" s="9"/>
      <c r="AB172" s="9"/>
      <c r="AC172" s="10" t="str">
        <f aca="false">IF(Z172="","",IF(Z172=0,"Unassigned",IF(Z172=1,"Single point",IF(AB172="Yes","Staffed and credentialed","Staffed, credential gap"))))</f>
        <v/>
      </c>
      <c r="AD172" s="10" t="str">
        <f aca="false">IFERROR(INDEX(Lists!$H$3:$H$6,MATCH(AC172,Lists!$G$3:$G$6,0)),"")</f>
        <v/>
      </c>
      <c r="AE172" s="8"/>
      <c r="AF172" s="10" t="str">
        <f aca="false">IFERROR(INDEX(Lists!$B$3:$B$7,MATCH(AE172,Lists!$A$3:$A$7,0)),"")</f>
        <v/>
      </c>
      <c r="AG172" s="8"/>
      <c r="AH172" s="8"/>
      <c r="AI172" s="8"/>
      <c r="AJ172" s="8"/>
      <c r="AK172" s="8"/>
      <c r="AL172" s="8"/>
      <c r="AM172" s="11" t="str">
        <f aca="false">IF(OR(AJ172="",AJ172=0),"",AL172/AJ172)</f>
        <v/>
      </c>
      <c r="AN172" s="8"/>
      <c r="AO172" s="8"/>
      <c r="AP172" s="10" t="str">
        <f aca="false">IF(AN172="","Not assessed",IF(AND(R172="No",AN172="Gap - recommend tailoring"),"INVALID: HSSB is not tailorable",IF(OR(Z172="",Z172=0),"NO NAMED EXECUTOR",IF(AND(N(AF172)&gt;=3,AJ172=""),"Operating claimed with no sample",IF(AND(N(AF172)&gt;=3,Z172=1),"Operating rests on one individual",IF(AND(N(AF172)&gt;=3,AB172&lt;&gt;"Yes"),"Operating claimed below designed credential",IF(AND(R172="No",N(AF172)&lt;3),"HSSB GATE: below Operating",IF(AND(N(AF172)&gt;=3,AJ172&lt;&gt;"",AL172=""),"Sample size with no conforming count","OK"))))))))</f>
        <v>Not assessed</v>
      </c>
      <c r="AQ172" s="8"/>
      <c r="AR172" s="8"/>
      <c r="AS172" s="8"/>
    </row>
    <row r="173" customFormat="false" ht="22.35" hidden="false" customHeight="false" outlineLevel="0" collapsed="false">
      <c r="A173" s="6" t="s">
        <v>444</v>
      </c>
      <c r="B173" s="6" t="s">
        <v>288</v>
      </c>
      <c r="C173" s="6" t="s">
        <v>445</v>
      </c>
      <c r="D173" s="6" t="s">
        <v>446</v>
      </c>
      <c r="E173" s="6" t="s">
        <v>81</v>
      </c>
      <c r="F173" s="7"/>
      <c r="G173" s="6" t="s">
        <v>82</v>
      </c>
      <c r="H173" s="6"/>
      <c r="I173" s="6"/>
      <c r="J173" s="6"/>
      <c r="K173" s="6"/>
      <c r="L173" s="6" t="s">
        <v>83</v>
      </c>
      <c r="M173" s="6" t="s">
        <v>84</v>
      </c>
      <c r="N173" s="6"/>
      <c r="O173" s="6"/>
      <c r="P173" s="6"/>
      <c r="Q173" s="6"/>
      <c r="R173" s="6" t="s">
        <v>85</v>
      </c>
      <c r="S173" s="6"/>
      <c r="T173" s="6" t="s">
        <v>294</v>
      </c>
      <c r="U173" s="8"/>
      <c r="V173" s="8"/>
      <c r="W173" s="8"/>
      <c r="X173" s="8"/>
      <c r="Y173" s="9"/>
      <c r="Z173" s="9"/>
      <c r="AA173" s="9"/>
      <c r="AB173" s="9"/>
      <c r="AC173" s="10" t="str">
        <f aca="false">IF(Z173="","",IF(Z173=0,"Unassigned",IF(Z173=1,"Single point",IF(AB173="Yes","Staffed and credentialed","Staffed, credential gap"))))</f>
        <v/>
      </c>
      <c r="AD173" s="10" t="str">
        <f aca="false">IFERROR(INDEX(Lists!$H$3:$H$6,MATCH(AC173,Lists!$G$3:$G$6,0)),"")</f>
        <v/>
      </c>
      <c r="AE173" s="8"/>
      <c r="AF173" s="10" t="str">
        <f aca="false">IFERROR(INDEX(Lists!$B$3:$B$7,MATCH(AE173,Lists!$A$3:$A$7,0)),"")</f>
        <v/>
      </c>
      <c r="AG173" s="8"/>
      <c r="AH173" s="8"/>
      <c r="AI173" s="8"/>
      <c r="AJ173" s="8"/>
      <c r="AK173" s="8"/>
      <c r="AL173" s="8"/>
      <c r="AM173" s="11" t="str">
        <f aca="false">IF(OR(AJ173="",AJ173=0),"",AL173/AJ173)</f>
        <v/>
      </c>
      <c r="AN173" s="8"/>
      <c r="AO173" s="8"/>
      <c r="AP173" s="10" t="str">
        <f aca="false">IF(AN173="","Not assessed",IF(AND(R173="No",AN173="Gap - recommend tailoring"),"INVALID: HSSB is not tailorable",IF(OR(Z173="",Z173=0),"NO NAMED EXECUTOR",IF(AND(N(AF173)&gt;=3,AJ173=""),"Operating claimed with no sample",IF(AND(N(AF173)&gt;=3,Z173=1),"Operating rests on one individual",IF(AND(N(AF173)&gt;=3,AB173&lt;&gt;"Yes"),"Operating claimed below designed credential",IF(AND(R173="No",N(AF173)&lt;3),"HSSB GATE: below Operating",IF(AND(N(AF173)&gt;=3,AJ173&lt;&gt;"",AL173=""),"Sample size with no conforming count","OK"))))))))</f>
        <v>Not assessed</v>
      </c>
      <c r="AQ173" s="8"/>
      <c r="AR173" s="8"/>
      <c r="AS173" s="8"/>
    </row>
    <row r="174" customFormat="false" ht="22.35" hidden="false" customHeight="false" outlineLevel="0" collapsed="false">
      <c r="A174" s="6" t="s">
        <v>447</v>
      </c>
      <c r="B174" s="6" t="s">
        <v>288</v>
      </c>
      <c r="C174" s="6" t="s">
        <v>445</v>
      </c>
      <c r="D174" s="6" t="s">
        <v>446</v>
      </c>
      <c r="E174" s="6" t="s">
        <v>88</v>
      </c>
      <c r="F174" s="7"/>
      <c r="G174" s="6" t="s">
        <v>82</v>
      </c>
      <c r="H174" s="6"/>
      <c r="I174" s="6"/>
      <c r="J174" s="6"/>
      <c r="K174" s="6"/>
      <c r="L174" s="6" t="s">
        <v>83</v>
      </c>
      <c r="M174" s="6" t="s">
        <v>84</v>
      </c>
      <c r="N174" s="6"/>
      <c r="O174" s="6"/>
      <c r="P174" s="6"/>
      <c r="Q174" s="6"/>
      <c r="R174" s="6" t="s">
        <v>85</v>
      </c>
      <c r="S174" s="6"/>
      <c r="T174" s="6" t="s">
        <v>294</v>
      </c>
      <c r="U174" s="8"/>
      <c r="V174" s="8"/>
      <c r="W174" s="8"/>
      <c r="X174" s="8"/>
      <c r="Y174" s="9"/>
      <c r="Z174" s="9"/>
      <c r="AA174" s="9"/>
      <c r="AB174" s="9"/>
      <c r="AC174" s="10" t="str">
        <f aca="false">IF(Z174="","",IF(Z174=0,"Unassigned",IF(Z174=1,"Single point",IF(AB174="Yes","Staffed and credentialed","Staffed, credential gap"))))</f>
        <v/>
      </c>
      <c r="AD174" s="10" t="str">
        <f aca="false">IFERROR(INDEX(Lists!$H$3:$H$6,MATCH(AC174,Lists!$G$3:$G$6,0)),"")</f>
        <v/>
      </c>
      <c r="AE174" s="8"/>
      <c r="AF174" s="10" t="str">
        <f aca="false">IFERROR(INDEX(Lists!$B$3:$B$7,MATCH(AE174,Lists!$A$3:$A$7,0)),"")</f>
        <v/>
      </c>
      <c r="AG174" s="8"/>
      <c r="AH174" s="8"/>
      <c r="AI174" s="8"/>
      <c r="AJ174" s="8"/>
      <c r="AK174" s="8"/>
      <c r="AL174" s="8"/>
      <c r="AM174" s="11" t="str">
        <f aca="false">IF(OR(AJ174="",AJ174=0),"",AL174/AJ174)</f>
        <v/>
      </c>
      <c r="AN174" s="8"/>
      <c r="AO174" s="8"/>
      <c r="AP174" s="10" t="str">
        <f aca="false">IF(AN174="","Not assessed",IF(AND(R174="No",AN174="Gap - recommend tailoring"),"INVALID: HSSB is not tailorable",IF(OR(Z174="",Z174=0),"NO NAMED EXECUTOR",IF(AND(N(AF174)&gt;=3,AJ174=""),"Operating claimed with no sample",IF(AND(N(AF174)&gt;=3,Z174=1),"Operating rests on one individual",IF(AND(N(AF174)&gt;=3,AB174&lt;&gt;"Yes"),"Operating claimed below designed credential",IF(AND(R174="No",N(AF174)&lt;3),"HSSB GATE: below Operating",IF(AND(N(AF174)&gt;=3,AJ174&lt;&gt;"",AL174=""),"Sample size with no conforming count","OK"))))))))</f>
        <v>Not assessed</v>
      </c>
      <c r="AQ174" s="8"/>
      <c r="AR174" s="8"/>
      <c r="AS174" s="8"/>
    </row>
    <row r="175" customFormat="false" ht="22.35" hidden="false" customHeight="false" outlineLevel="0" collapsed="false">
      <c r="A175" s="6" t="s">
        <v>448</v>
      </c>
      <c r="B175" s="6" t="s">
        <v>288</v>
      </c>
      <c r="C175" s="6" t="s">
        <v>449</v>
      </c>
      <c r="D175" s="6" t="s">
        <v>450</v>
      </c>
      <c r="E175" s="6" t="s">
        <v>81</v>
      </c>
      <c r="F175" s="7"/>
      <c r="G175" s="6" t="s">
        <v>82</v>
      </c>
      <c r="H175" s="6"/>
      <c r="I175" s="6"/>
      <c r="J175" s="6"/>
      <c r="K175" s="6"/>
      <c r="L175" s="6" t="s">
        <v>83</v>
      </c>
      <c r="M175" s="6" t="s">
        <v>84</v>
      </c>
      <c r="N175" s="6"/>
      <c r="O175" s="6"/>
      <c r="P175" s="6"/>
      <c r="Q175" s="6"/>
      <c r="R175" s="6" t="s">
        <v>85</v>
      </c>
      <c r="S175" s="6"/>
      <c r="T175" s="6" t="s">
        <v>294</v>
      </c>
      <c r="U175" s="8"/>
      <c r="V175" s="8"/>
      <c r="W175" s="8"/>
      <c r="X175" s="8"/>
      <c r="Y175" s="9"/>
      <c r="Z175" s="9"/>
      <c r="AA175" s="9"/>
      <c r="AB175" s="9"/>
      <c r="AC175" s="10" t="str">
        <f aca="false">IF(Z175="","",IF(Z175=0,"Unassigned",IF(Z175=1,"Single point",IF(AB175="Yes","Staffed and credentialed","Staffed, credential gap"))))</f>
        <v/>
      </c>
      <c r="AD175" s="10" t="str">
        <f aca="false">IFERROR(INDEX(Lists!$H$3:$H$6,MATCH(AC175,Lists!$G$3:$G$6,0)),"")</f>
        <v/>
      </c>
      <c r="AE175" s="8"/>
      <c r="AF175" s="10" t="str">
        <f aca="false">IFERROR(INDEX(Lists!$B$3:$B$7,MATCH(AE175,Lists!$A$3:$A$7,0)),"")</f>
        <v/>
      </c>
      <c r="AG175" s="8"/>
      <c r="AH175" s="8"/>
      <c r="AI175" s="8"/>
      <c r="AJ175" s="8"/>
      <c r="AK175" s="8"/>
      <c r="AL175" s="8"/>
      <c r="AM175" s="11" t="str">
        <f aca="false">IF(OR(AJ175="",AJ175=0),"",AL175/AJ175)</f>
        <v/>
      </c>
      <c r="AN175" s="8"/>
      <c r="AO175" s="8"/>
      <c r="AP175" s="10" t="str">
        <f aca="false">IF(AN175="","Not assessed",IF(AND(R175="No",AN175="Gap - recommend tailoring"),"INVALID: HSSB is not tailorable",IF(OR(Z175="",Z175=0),"NO NAMED EXECUTOR",IF(AND(N(AF175)&gt;=3,AJ175=""),"Operating claimed with no sample",IF(AND(N(AF175)&gt;=3,Z175=1),"Operating rests on one individual",IF(AND(N(AF175)&gt;=3,AB175&lt;&gt;"Yes"),"Operating claimed below designed credential",IF(AND(R175="No",N(AF175)&lt;3),"HSSB GATE: below Operating",IF(AND(N(AF175)&gt;=3,AJ175&lt;&gt;"",AL175=""),"Sample size with no conforming count","OK"))))))))</f>
        <v>Not assessed</v>
      </c>
      <c r="AQ175" s="8"/>
      <c r="AR175" s="8"/>
      <c r="AS175" s="8"/>
    </row>
    <row r="176" customFormat="false" ht="22.35" hidden="false" customHeight="false" outlineLevel="0" collapsed="false">
      <c r="A176" s="6" t="s">
        <v>451</v>
      </c>
      <c r="B176" s="6" t="s">
        <v>288</v>
      </c>
      <c r="C176" s="6" t="s">
        <v>449</v>
      </c>
      <c r="D176" s="6" t="s">
        <v>450</v>
      </c>
      <c r="E176" s="6" t="s">
        <v>88</v>
      </c>
      <c r="F176" s="7"/>
      <c r="G176" s="6" t="s">
        <v>82</v>
      </c>
      <c r="H176" s="6"/>
      <c r="I176" s="6"/>
      <c r="J176" s="6"/>
      <c r="K176" s="6"/>
      <c r="L176" s="6" t="s">
        <v>83</v>
      </c>
      <c r="M176" s="6" t="s">
        <v>84</v>
      </c>
      <c r="N176" s="6"/>
      <c r="O176" s="6"/>
      <c r="P176" s="6"/>
      <c r="Q176" s="6"/>
      <c r="R176" s="6" t="s">
        <v>85</v>
      </c>
      <c r="S176" s="6"/>
      <c r="T176" s="6" t="s">
        <v>294</v>
      </c>
      <c r="U176" s="8"/>
      <c r="V176" s="8"/>
      <c r="W176" s="8"/>
      <c r="X176" s="8"/>
      <c r="Y176" s="9"/>
      <c r="Z176" s="9"/>
      <c r="AA176" s="9"/>
      <c r="AB176" s="9"/>
      <c r="AC176" s="10" t="str">
        <f aca="false">IF(Z176="","",IF(Z176=0,"Unassigned",IF(Z176=1,"Single point",IF(AB176="Yes","Staffed and credentialed","Staffed, credential gap"))))</f>
        <v/>
      </c>
      <c r="AD176" s="10" t="str">
        <f aca="false">IFERROR(INDEX(Lists!$H$3:$H$6,MATCH(AC176,Lists!$G$3:$G$6,0)),"")</f>
        <v/>
      </c>
      <c r="AE176" s="8"/>
      <c r="AF176" s="10" t="str">
        <f aca="false">IFERROR(INDEX(Lists!$B$3:$B$7,MATCH(AE176,Lists!$A$3:$A$7,0)),"")</f>
        <v/>
      </c>
      <c r="AG176" s="8"/>
      <c r="AH176" s="8"/>
      <c r="AI176" s="8"/>
      <c r="AJ176" s="8"/>
      <c r="AK176" s="8"/>
      <c r="AL176" s="8"/>
      <c r="AM176" s="11" t="str">
        <f aca="false">IF(OR(AJ176="",AJ176=0),"",AL176/AJ176)</f>
        <v/>
      </c>
      <c r="AN176" s="8"/>
      <c r="AO176" s="8"/>
      <c r="AP176" s="10" t="str">
        <f aca="false">IF(AN176="","Not assessed",IF(AND(R176="No",AN176="Gap - recommend tailoring"),"INVALID: HSSB is not tailorable",IF(OR(Z176="",Z176=0),"NO NAMED EXECUTOR",IF(AND(N(AF176)&gt;=3,AJ176=""),"Operating claimed with no sample",IF(AND(N(AF176)&gt;=3,Z176=1),"Operating rests on one individual",IF(AND(N(AF176)&gt;=3,AB176&lt;&gt;"Yes"),"Operating claimed below designed credential",IF(AND(R176="No",N(AF176)&lt;3),"HSSB GATE: below Operating",IF(AND(N(AF176)&gt;=3,AJ176&lt;&gt;"",AL176=""),"Sample size with no conforming count","OK"))))))))</f>
        <v>Not assessed</v>
      </c>
      <c r="AQ176" s="8"/>
      <c r="AR176" s="8"/>
      <c r="AS176" s="8"/>
    </row>
    <row r="177" customFormat="false" ht="22.35" hidden="false" customHeight="false" outlineLevel="0" collapsed="false">
      <c r="A177" s="6" t="s">
        <v>452</v>
      </c>
      <c r="B177" s="6" t="s">
        <v>288</v>
      </c>
      <c r="C177" s="6" t="s">
        <v>449</v>
      </c>
      <c r="D177" s="6" t="s">
        <v>450</v>
      </c>
      <c r="E177" s="6" t="s">
        <v>100</v>
      </c>
      <c r="F177" s="7"/>
      <c r="G177" s="6" t="s">
        <v>82</v>
      </c>
      <c r="H177" s="6"/>
      <c r="I177" s="6"/>
      <c r="J177" s="6"/>
      <c r="K177" s="6"/>
      <c r="L177" s="6" t="s">
        <v>83</v>
      </c>
      <c r="M177" s="6" t="s">
        <v>84</v>
      </c>
      <c r="N177" s="6"/>
      <c r="O177" s="6"/>
      <c r="P177" s="6"/>
      <c r="Q177" s="6"/>
      <c r="R177" s="6" t="s">
        <v>85</v>
      </c>
      <c r="S177" s="6"/>
      <c r="T177" s="6" t="s">
        <v>294</v>
      </c>
      <c r="U177" s="8"/>
      <c r="V177" s="8"/>
      <c r="W177" s="8"/>
      <c r="X177" s="8"/>
      <c r="Y177" s="9"/>
      <c r="Z177" s="9"/>
      <c r="AA177" s="9"/>
      <c r="AB177" s="9"/>
      <c r="AC177" s="10" t="str">
        <f aca="false">IF(Z177="","",IF(Z177=0,"Unassigned",IF(Z177=1,"Single point",IF(AB177="Yes","Staffed and credentialed","Staffed, credential gap"))))</f>
        <v/>
      </c>
      <c r="AD177" s="10" t="str">
        <f aca="false">IFERROR(INDEX(Lists!$H$3:$H$6,MATCH(AC177,Lists!$G$3:$G$6,0)),"")</f>
        <v/>
      </c>
      <c r="AE177" s="8"/>
      <c r="AF177" s="10" t="str">
        <f aca="false">IFERROR(INDEX(Lists!$B$3:$B$7,MATCH(AE177,Lists!$A$3:$A$7,0)),"")</f>
        <v/>
      </c>
      <c r="AG177" s="8"/>
      <c r="AH177" s="8"/>
      <c r="AI177" s="8"/>
      <c r="AJ177" s="8"/>
      <c r="AK177" s="8"/>
      <c r="AL177" s="8"/>
      <c r="AM177" s="11" t="str">
        <f aca="false">IF(OR(AJ177="",AJ177=0),"",AL177/AJ177)</f>
        <v/>
      </c>
      <c r="AN177" s="8"/>
      <c r="AO177" s="8"/>
      <c r="AP177" s="10" t="str">
        <f aca="false">IF(AN177="","Not assessed",IF(AND(R177="No",AN177="Gap - recommend tailoring"),"INVALID: HSSB is not tailorable",IF(OR(Z177="",Z177=0),"NO NAMED EXECUTOR",IF(AND(N(AF177)&gt;=3,AJ177=""),"Operating claimed with no sample",IF(AND(N(AF177)&gt;=3,Z177=1),"Operating rests on one individual",IF(AND(N(AF177)&gt;=3,AB177&lt;&gt;"Yes"),"Operating claimed below designed credential",IF(AND(R177="No",N(AF177)&lt;3),"HSSB GATE: below Operating",IF(AND(N(AF177)&gt;=3,AJ177&lt;&gt;"",AL177=""),"Sample size with no conforming count","OK"))))))))</f>
        <v>Not assessed</v>
      </c>
      <c r="AQ177" s="8"/>
      <c r="AR177" s="8"/>
      <c r="AS177" s="8"/>
    </row>
    <row r="178" customFormat="false" ht="22.35" hidden="false" customHeight="false" outlineLevel="0" collapsed="false">
      <c r="A178" s="6" t="s">
        <v>453</v>
      </c>
      <c r="B178" s="6" t="s">
        <v>288</v>
      </c>
      <c r="C178" s="6" t="s">
        <v>449</v>
      </c>
      <c r="D178" s="6" t="s">
        <v>450</v>
      </c>
      <c r="E178" s="6" t="s">
        <v>102</v>
      </c>
      <c r="F178" s="7"/>
      <c r="G178" s="6" t="s">
        <v>82</v>
      </c>
      <c r="H178" s="6"/>
      <c r="I178" s="6"/>
      <c r="J178" s="6"/>
      <c r="K178" s="6"/>
      <c r="L178" s="6" t="s">
        <v>83</v>
      </c>
      <c r="M178" s="6" t="s">
        <v>84</v>
      </c>
      <c r="N178" s="6"/>
      <c r="O178" s="6"/>
      <c r="P178" s="6"/>
      <c r="Q178" s="6"/>
      <c r="R178" s="6" t="s">
        <v>85</v>
      </c>
      <c r="S178" s="6"/>
      <c r="T178" s="6" t="s">
        <v>294</v>
      </c>
      <c r="U178" s="8"/>
      <c r="V178" s="8"/>
      <c r="W178" s="8"/>
      <c r="X178" s="8"/>
      <c r="Y178" s="9"/>
      <c r="Z178" s="9"/>
      <c r="AA178" s="9"/>
      <c r="AB178" s="9"/>
      <c r="AC178" s="10" t="str">
        <f aca="false">IF(Z178="","",IF(Z178=0,"Unassigned",IF(Z178=1,"Single point",IF(AB178="Yes","Staffed and credentialed","Staffed, credential gap"))))</f>
        <v/>
      </c>
      <c r="AD178" s="10" t="str">
        <f aca="false">IFERROR(INDEX(Lists!$H$3:$H$6,MATCH(AC178,Lists!$G$3:$G$6,0)),"")</f>
        <v/>
      </c>
      <c r="AE178" s="8"/>
      <c r="AF178" s="10" t="str">
        <f aca="false">IFERROR(INDEX(Lists!$B$3:$B$7,MATCH(AE178,Lists!$A$3:$A$7,0)),"")</f>
        <v/>
      </c>
      <c r="AG178" s="8"/>
      <c r="AH178" s="8"/>
      <c r="AI178" s="8"/>
      <c r="AJ178" s="8"/>
      <c r="AK178" s="8"/>
      <c r="AL178" s="8"/>
      <c r="AM178" s="11" t="str">
        <f aca="false">IF(OR(AJ178="",AJ178=0),"",AL178/AJ178)</f>
        <v/>
      </c>
      <c r="AN178" s="8"/>
      <c r="AO178" s="8"/>
      <c r="AP178" s="10" t="str">
        <f aca="false">IF(AN178="","Not assessed",IF(AND(R178="No",AN178="Gap - recommend tailoring"),"INVALID: HSSB is not tailorable",IF(OR(Z178="",Z178=0),"NO NAMED EXECUTOR",IF(AND(N(AF178)&gt;=3,AJ178=""),"Operating claimed with no sample",IF(AND(N(AF178)&gt;=3,Z178=1),"Operating rests on one individual",IF(AND(N(AF178)&gt;=3,AB178&lt;&gt;"Yes"),"Operating claimed below designed credential",IF(AND(R178="No",N(AF178)&lt;3),"HSSB GATE: below Operating",IF(AND(N(AF178)&gt;=3,AJ178&lt;&gt;"",AL178=""),"Sample size with no conforming count","OK"))))))))</f>
        <v>Not assessed</v>
      </c>
      <c r="AQ178" s="8"/>
      <c r="AR178" s="8"/>
      <c r="AS178" s="8"/>
    </row>
    <row r="179" customFormat="false" ht="22.35" hidden="false" customHeight="false" outlineLevel="0" collapsed="false">
      <c r="A179" s="6" t="s">
        <v>454</v>
      </c>
      <c r="B179" s="6" t="s">
        <v>288</v>
      </c>
      <c r="C179" s="6" t="s">
        <v>455</v>
      </c>
      <c r="D179" s="6" t="s">
        <v>456</v>
      </c>
      <c r="E179" s="6" t="s">
        <v>81</v>
      </c>
      <c r="F179" s="7"/>
      <c r="G179" s="6" t="s">
        <v>82</v>
      </c>
      <c r="H179" s="6"/>
      <c r="I179" s="6"/>
      <c r="J179" s="6"/>
      <c r="K179" s="6"/>
      <c r="L179" s="6" t="s">
        <v>83</v>
      </c>
      <c r="M179" s="6" t="s">
        <v>84</v>
      </c>
      <c r="N179" s="6"/>
      <c r="O179" s="6"/>
      <c r="P179" s="6"/>
      <c r="Q179" s="6"/>
      <c r="R179" s="6" t="s">
        <v>85</v>
      </c>
      <c r="S179" s="6"/>
      <c r="T179" s="6" t="s">
        <v>294</v>
      </c>
      <c r="U179" s="8"/>
      <c r="V179" s="8"/>
      <c r="W179" s="8"/>
      <c r="X179" s="8"/>
      <c r="Y179" s="9"/>
      <c r="Z179" s="9"/>
      <c r="AA179" s="9"/>
      <c r="AB179" s="9"/>
      <c r="AC179" s="10" t="str">
        <f aca="false">IF(Z179="","",IF(Z179=0,"Unassigned",IF(Z179=1,"Single point",IF(AB179="Yes","Staffed and credentialed","Staffed, credential gap"))))</f>
        <v/>
      </c>
      <c r="AD179" s="10" t="str">
        <f aca="false">IFERROR(INDEX(Lists!$H$3:$H$6,MATCH(AC179,Lists!$G$3:$G$6,0)),"")</f>
        <v/>
      </c>
      <c r="AE179" s="8"/>
      <c r="AF179" s="10" t="str">
        <f aca="false">IFERROR(INDEX(Lists!$B$3:$B$7,MATCH(AE179,Lists!$A$3:$A$7,0)),"")</f>
        <v/>
      </c>
      <c r="AG179" s="8"/>
      <c r="AH179" s="8"/>
      <c r="AI179" s="8"/>
      <c r="AJ179" s="8"/>
      <c r="AK179" s="8"/>
      <c r="AL179" s="8"/>
      <c r="AM179" s="11" t="str">
        <f aca="false">IF(OR(AJ179="",AJ179=0),"",AL179/AJ179)</f>
        <v/>
      </c>
      <c r="AN179" s="8"/>
      <c r="AO179" s="8"/>
      <c r="AP179" s="10" t="str">
        <f aca="false">IF(AN179="","Not assessed",IF(AND(R179="No",AN179="Gap - recommend tailoring"),"INVALID: HSSB is not tailorable",IF(OR(Z179="",Z179=0),"NO NAMED EXECUTOR",IF(AND(N(AF179)&gt;=3,AJ179=""),"Operating claimed with no sample",IF(AND(N(AF179)&gt;=3,Z179=1),"Operating rests on one individual",IF(AND(N(AF179)&gt;=3,AB179&lt;&gt;"Yes"),"Operating claimed below designed credential",IF(AND(R179="No",N(AF179)&lt;3),"HSSB GATE: below Operating",IF(AND(N(AF179)&gt;=3,AJ179&lt;&gt;"",AL179=""),"Sample size with no conforming count","OK"))))))))</f>
        <v>Not assessed</v>
      </c>
      <c r="AQ179" s="8"/>
      <c r="AR179" s="8"/>
      <c r="AS179" s="8"/>
    </row>
    <row r="180" customFormat="false" ht="22.35" hidden="false" customHeight="false" outlineLevel="0" collapsed="false">
      <c r="A180" s="12" t="s">
        <v>457</v>
      </c>
      <c r="B180" s="12" t="s">
        <v>288</v>
      </c>
      <c r="C180" s="12" t="s">
        <v>458</v>
      </c>
      <c r="D180" s="12" t="s">
        <v>459</v>
      </c>
      <c r="E180" s="12" t="s">
        <v>81</v>
      </c>
      <c r="F180" s="12"/>
      <c r="G180" s="13" t="s">
        <v>85</v>
      </c>
      <c r="H180" s="13" t="s">
        <v>460</v>
      </c>
      <c r="I180" s="12" t="s">
        <v>192</v>
      </c>
      <c r="J180" s="12" t="s">
        <v>308</v>
      </c>
      <c r="K180" s="12" t="s">
        <v>309</v>
      </c>
      <c r="L180" s="12" t="s">
        <v>93</v>
      </c>
      <c r="M180" s="12" t="s">
        <v>105</v>
      </c>
      <c r="N180" s="12" t="s">
        <v>95</v>
      </c>
      <c r="O180" s="12" t="s">
        <v>96</v>
      </c>
      <c r="P180" s="12" t="s">
        <v>97</v>
      </c>
      <c r="Q180" s="12" t="s">
        <v>98</v>
      </c>
      <c r="R180" s="12" t="s">
        <v>82</v>
      </c>
      <c r="S180" s="12"/>
      <c r="T180" s="12" t="s">
        <v>294</v>
      </c>
      <c r="U180" s="8"/>
      <c r="V180" s="8"/>
      <c r="W180" s="8"/>
      <c r="X180" s="8"/>
      <c r="Y180" s="9"/>
      <c r="Z180" s="9"/>
      <c r="AA180" s="9"/>
      <c r="AB180" s="9"/>
      <c r="AC180" s="10" t="str">
        <f aca="false">IF(Z180="","",IF(Z180=0,"Unassigned",IF(Z180=1,"Single point",IF(AB180="Yes","Staffed and credentialed","Staffed, credential gap"))))</f>
        <v/>
      </c>
      <c r="AD180" s="10" t="str">
        <f aca="false">IFERROR(INDEX(Lists!$H$3:$H$6,MATCH(AC180,Lists!$G$3:$G$6,0)),"")</f>
        <v/>
      </c>
      <c r="AE180" s="8"/>
      <c r="AF180" s="10" t="str">
        <f aca="false">IFERROR(INDEX(Lists!$B$3:$B$7,MATCH(AE180,Lists!$A$3:$A$7,0)),"")</f>
        <v/>
      </c>
      <c r="AG180" s="8"/>
      <c r="AH180" s="8"/>
      <c r="AI180" s="8"/>
      <c r="AJ180" s="8"/>
      <c r="AK180" s="8"/>
      <c r="AL180" s="8"/>
      <c r="AM180" s="11" t="str">
        <f aca="false">IF(OR(AJ180="",AJ180=0),"",AL180/AJ180)</f>
        <v/>
      </c>
      <c r="AN180" s="8"/>
      <c r="AO180" s="8"/>
      <c r="AP180" s="10" t="str">
        <f aca="false">IF(AN180="","Not assessed",IF(AND(R180="No",AN180="Gap - recommend tailoring"),"INVALID: HSSB is not tailorable",IF(OR(Z180="",Z180=0),"NO NAMED EXECUTOR",IF(AND(N(AF180)&gt;=3,AJ180=""),"Operating claimed with no sample",IF(AND(N(AF180)&gt;=3,Z180=1),"Operating rests on one individual",IF(AND(N(AF180)&gt;=3,AB180&lt;&gt;"Yes"),"Operating claimed below designed credential",IF(AND(R180="No",N(AF180)&lt;3),"HSSB GATE: below Operating",IF(AND(N(AF180)&gt;=3,AJ180&lt;&gt;"",AL180=""),"Sample size with no conforming count","OK"))))))))</f>
        <v>Not assessed</v>
      </c>
      <c r="AQ180" s="8"/>
      <c r="AR180" s="8"/>
      <c r="AS180" s="8"/>
    </row>
    <row r="181" customFormat="false" ht="22.35" hidden="false" customHeight="false" outlineLevel="0" collapsed="false">
      <c r="A181" s="6" t="s">
        <v>461</v>
      </c>
      <c r="B181" s="6" t="s">
        <v>288</v>
      </c>
      <c r="C181" s="6" t="s">
        <v>458</v>
      </c>
      <c r="D181" s="6" t="s">
        <v>459</v>
      </c>
      <c r="E181" s="6" t="s">
        <v>88</v>
      </c>
      <c r="F181" s="7"/>
      <c r="G181" s="6" t="s">
        <v>82</v>
      </c>
      <c r="H181" s="6"/>
      <c r="I181" s="6"/>
      <c r="J181" s="6"/>
      <c r="K181" s="6"/>
      <c r="L181" s="6" t="s">
        <v>83</v>
      </c>
      <c r="M181" s="6" t="s">
        <v>84</v>
      </c>
      <c r="N181" s="6"/>
      <c r="O181" s="6"/>
      <c r="P181" s="6"/>
      <c r="Q181" s="6"/>
      <c r="R181" s="6" t="s">
        <v>85</v>
      </c>
      <c r="S181" s="6"/>
      <c r="T181" s="6" t="s">
        <v>294</v>
      </c>
      <c r="U181" s="8"/>
      <c r="V181" s="8"/>
      <c r="W181" s="8"/>
      <c r="X181" s="8"/>
      <c r="Y181" s="9"/>
      <c r="Z181" s="9"/>
      <c r="AA181" s="9"/>
      <c r="AB181" s="9"/>
      <c r="AC181" s="10" t="str">
        <f aca="false">IF(Z181="","",IF(Z181=0,"Unassigned",IF(Z181=1,"Single point",IF(AB181="Yes","Staffed and credentialed","Staffed, credential gap"))))</f>
        <v/>
      </c>
      <c r="AD181" s="10" t="str">
        <f aca="false">IFERROR(INDEX(Lists!$H$3:$H$6,MATCH(AC181,Lists!$G$3:$G$6,0)),"")</f>
        <v/>
      </c>
      <c r="AE181" s="8"/>
      <c r="AF181" s="10" t="str">
        <f aca="false">IFERROR(INDEX(Lists!$B$3:$B$7,MATCH(AE181,Lists!$A$3:$A$7,0)),"")</f>
        <v/>
      </c>
      <c r="AG181" s="8"/>
      <c r="AH181" s="8"/>
      <c r="AI181" s="8"/>
      <c r="AJ181" s="8"/>
      <c r="AK181" s="8"/>
      <c r="AL181" s="8"/>
      <c r="AM181" s="11" t="str">
        <f aca="false">IF(OR(AJ181="",AJ181=0),"",AL181/AJ181)</f>
        <v/>
      </c>
      <c r="AN181" s="8"/>
      <c r="AO181" s="8"/>
      <c r="AP181" s="10" t="str">
        <f aca="false">IF(AN181="","Not assessed",IF(AND(R181="No",AN181="Gap - recommend tailoring"),"INVALID: HSSB is not tailorable",IF(OR(Z181="",Z181=0),"NO NAMED EXECUTOR",IF(AND(N(AF181)&gt;=3,AJ181=""),"Operating claimed with no sample",IF(AND(N(AF181)&gt;=3,Z181=1),"Operating rests on one individual",IF(AND(N(AF181)&gt;=3,AB181&lt;&gt;"Yes"),"Operating claimed below designed credential",IF(AND(R181="No",N(AF181)&lt;3),"HSSB GATE: below Operating",IF(AND(N(AF181)&gt;=3,AJ181&lt;&gt;"",AL181=""),"Sample size with no conforming count","OK"))))))))</f>
        <v>Not assessed</v>
      </c>
      <c r="AQ181" s="8"/>
      <c r="AR181" s="8"/>
      <c r="AS181" s="8"/>
    </row>
    <row r="182" customFormat="false" ht="22.35" hidden="false" customHeight="false" outlineLevel="0" collapsed="false">
      <c r="A182" s="6" t="s">
        <v>462</v>
      </c>
      <c r="B182" s="6" t="s">
        <v>288</v>
      </c>
      <c r="C182" s="6" t="s">
        <v>458</v>
      </c>
      <c r="D182" s="6" t="s">
        <v>459</v>
      </c>
      <c r="E182" s="6" t="s">
        <v>100</v>
      </c>
      <c r="F182" s="7"/>
      <c r="G182" s="6" t="s">
        <v>82</v>
      </c>
      <c r="H182" s="6"/>
      <c r="I182" s="6"/>
      <c r="J182" s="6"/>
      <c r="K182" s="6"/>
      <c r="L182" s="6" t="s">
        <v>83</v>
      </c>
      <c r="M182" s="6" t="s">
        <v>84</v>
      </c>
      <c r="N182" s="6"/>
      <c r="O182" s="6"/>
      <c r="P182" s="6"/>
      <c r="Q182" s="6"/>
      <c r="R182" s="6" t="s">
        <v>85</v>
      </c>
      <c r="S182" s="6"/>
      <c r="T182" s="6" t="s">
        <v>294</v>
      </c>
      <c r="U182" s="8"/>
      <c r="V182" s="8"/>
      <c r="W182" s="8"/>
      <c r="X182" s="8"/>
      <c r="Y182" s="9"/>
      <c r="Z182" s="9"/>
      <c r="AA182" s="9"/>
      <c r="AB182" s="9"/>
      <c r="AC182" s="10" t="str">
        <f aca="false">IF(Z182="","",IF(Z182=0,"Unassigned",IF(Z182=1,"Single point",IF(AB182="Yes","Staffed and credentialed","Staffed, credential gap"))))</f>
        <v/>
      </c>
      <c r="AD182" s="10" t="str">
        <f aca="false">IFERROR(INDEX(Lists!$H$3:$H$6,MATCH(AC182,Lists!$G$3:$G$6,0)),"")</f>
        <v/>
      </c>
      <c r="AE182" s="8"/>
      <c r="AF182" s="10" t="str">
        <f aca="false">IFERROR(INDEX(Lists!$B$3:$B$7,MATCH(AE182,Lists!$A$3:$A$7,0)),"")</f>
        <v/>
      </c>
      <c r="AG182" s="8"/>
      <c r="AH182" s="8"/>
      <c r="AI182" s="8"/>
      <c r="AJ182" s="8"/>
      <c r="AK182" s="8"/>
      <c r="AL182" s="8"/>
      <c r="AM182" s="11" t="str">
        <f aca="false">IF(OR(AJ182="",AJ182=0),"",AL182/AJ182)</f>
        <v/>
      </c>
      <c r="AN182" s="8"/>
      <c r="AO182" s="8"/>
      <c r="AP182" s="10" t="str">
        <f aca="false">IF(AN182="","Not assessed",IF(AND(R182="No",AN182="Gap - recommend tailoring"),"INVALID: HSSB is not tailorable",IF(OR(Z182="",Z182=0),"NO NAMED EXECUTOR",IF(AND(N(AF182)&gt;=3,AJ182=""),"Operating claimed with no sample",IF(AND(N(AF182)&gt;=3,Z182=1),"Operating rests on one individual",IF(AND(N(AF182)&gt;=3,AB182&lt;&gt;"Yes"),"Operating claimed below designed credential",IF(AND(R182="No",N(AF182)&lt;3),"HSSB GATE: below Operating",IF(AND(N(AF182)&gt;=3,AJ182&lt;&gt;"",AL182=""),"Sample size with no conforming count","OK"))))))))</f>
        <v>Not assessed</v>
      </c>
      <c r="AQ182" s="8"/>
      <c r="AR182" s="8"/>
      <c r="AS182" s="8"/>
    </row>
    <row r="183" customFormat="false" ht="22.35" hidden="false" customHeight="false" outlineLevel="0" collapsed="false">
      <c r="A183" s="6" t="s">
        <v>463</v>
      </c>
      <c r="B183" s="6" t="s">
        <v>288</v>
      </c>
      <c r="C183" s="6" t="s">
        <v>464</v>
      </c>
      <c r="D183" s="6" t="s">
        <v>465</v>
      </c>
      <c r="E183" s="6" t="s">
        <v>81</v>
      </c>
      <c r="F183" s="7"/>
      <c r="G183" s="6" t="s">
        <v>82</v>
      </c>
      <c r="H183" s="6"/>
      <c r="I183" s="6"/>
      <c r="J183" s="6"/>
      <c r="K183" s="6"/>
      <c r="L183" s="6" t="s">
        <v>83</v>
      </c>
      <c r="M183" s="6" t="s">
        <v>84</v>
      </c>
      <c r="N183" s="6"/>
      <c r="O183" s="6"/>
      <c r="P183" s="6"/>
      <c r="Q183" s="6"/>
      <c r="R183" s="6" t="s">
        <v>85</v>
      </c>
      <c r="S183" s="6"/>
      <c r="T183" s="6" t="s">
        <v>294</v>
      </c>
      <c r="U183" s="8"/>
      <c r="V183" s="8"/>
      <c r="W183" s="8"/>
      <c r="X183" s="8"/>
      <c r="Y183" s="9"/>
      <c r="Z183" s="9"/>
      <c r="AA183" s="9"/>
      <c r="AB183" s="9"/>
      <c r="AC183" s="10" t="str">
        <f aca="false">IF(Z183="","",IF(Z183=0,"Unassigned",IF(Z183=1,"Single point",IF(AB183="Yes","Staffed and credentialed","Staffed, credential gap"))))</f>
        <v/>
      </c>
      <c r="AD183" s="10" t="str">
        <f aca="false">IFERROR(INDEX(Lists!$H$3:$H$6,MATCH(AC183,Lists!$G$3:$G$6,0)),"")</f>
        <v/>
      </c>
      <c r="AE183" s="8"/>
      <c r="AF183" s="10" t="str">
        <f aca="false">IFERROR(INDEX(Lists!$B$3:$B$7,MATCH(AE183,Lists!$A$3:$A$7,0)),"")</f>
        <v/>
      </c>
      <c r="AG183" s="8"/>
      <c r="AH183" s="8"/>
      <c r="AI183" s="8"/>
      <c r="AJ183" s="8"/>
      <c r="AK183" s="8"/>
      <c r="AL183" s="8"/>
      <c r="AM183" s="11" t="str">
        <f aca="false">IF(OR(AJ183="",AJ183=0),"",AL183/AJ183)</f>
        <v/>
      </c>
      <c r="AN183" s="8"/>
      <c r="AO183" s="8"/>
      <c r="AP183" s="10" t="str">
        <f aca="false">IF(AN183="","Not assessed",IF(AND(R183="No",AN183="Gap - recommend tailoring"),"INVALID: HSSB is not tailorable",IF(OR(Z183="",Z183=0),"NO NAMED EXECUTOR",IF(AND(N(AF183)&gt;=3,AJ183=""),"Operating claimed with no sample",IF(AND(N(AF183)&gt;=3,Z183=1),"Operating rests on one individual",IF(AND(N(AF183)&gt;=3,AB183&lt;&gt;"Yes"),"Operating claimed below designed credential",IF(AND(R183="No",N(AF183)&lt;3),"HSSB GATE: below Operating",IF(AND(N(AF183)&gt;=3,AJ183&lt;&gt;"",AL183=""),"Sample size with no conforming count","OK"))))))))</f>
        <v>Not assessed</v>
      </c>
      <c r="AQ183" s="8"/>
      <c r="AR183" s="8"/>
      <c r="AS183" s="8"/>
    </row>
    <row r="184" customFormat="false" ht="22.35" hidden="false" customHeight="false" outlineLevel="0" collapsed="false">
      <c r="A184" s="12" t="s">
        <v>466</v>
      </c>
      <c r="B184" s="12" t="s">
        <v>288</v>
      </c>
      <c r="C184" s="12" t="s">
        <v>467</v>
      </c>
      <c r="D184" s="12" t="s">
        <v>468</v>
      </c>
      <c r="E184" s="12" t="s">
        <v>81</v>
      </c>
      <c r="F184" s="12"/>
      <c r="G184" s="13" t="s">
        <v>85</v>
      </c>
      <c r="H184" s="13" t="s">
        <v>469</v>
      </c>
      <c r="I184" s="12" t="s">
        <v>240</v>
      </c>
      <c r="J184" s="12" t="s">
        <v>470</v>
      </c>
      <c r="K184" s="12" t="s">
        <v>471</v>
      </c>
      <c r="L184" s="12" t="s">
        <v>93</v>
      </c>
      <c r="M184" s="12" t="s">
        <v>94</v>
      </c>
      <c r="N184" s="12" t="s">
        <v>95</v>
      </c>
      <c r="O184" s="12" t="s">
        <v>96</v>
      </c>
      <c r="P184" s="12" t="s">
        <v>97</v>
      </c>
      <c r="Q184" s="12" t="s">
        <v>472</v>
      </c>
      <c r="R184" s="12" t="s">
        <v>82</v>
      </c>
      <c r="S184" s="12" t="s">
        <v>473</v>
      </c>
      <c r="T184" s="12" t="s">
        <v>294</v>
      </c>
      <c r="U184" s="8"/>
      <c r="V184" s="8"/>
      <c r="W184" s="8"/>
      <c r="X184" s="8"/>
      <c r="Y184" s="9"/>
      <c r="Z184" s="9"/>
      <c r="AA184" s="9"/>
      <c r="AB184" s="9"/>
      <c r="AC184" s="10" t="str">
        <f aca="false">IF(Z184="","",IF(Z184=0,"Unassigned",IF(Z184=1,"Single point",IF(AB184="Yes","Staffed and credentialed","Staffed, credential gap"))))</f>
        <v/>
      </c>
      <c r="AD184" s="10" t="str">
        <f aca="false">IFERROR(INDEX(Lists!$H$3:$H$6,MATCH(AC184,Lists!$G$3:$G$6,0)),"")</f>
        <v/>
      </c>
      <c r="AE184" s="8"/>
      <c r="AF184" s="10" t="str">
        <f aca="false">IFERROR(INDEX(Lists!$B$3:$B$7,MATCH(AE184,Lists!$A$3:$A$7,0)),"")</f>
        <v/>
      </c>
      <c r="AG184" s="8"/>
      <c r="AH184" s="8"/>
      <c r="AI184" s="8"/>
      <c r="AJ184" s="8"/>
      <c r="AK184" s="8"/>
      <c r="AL184" s="8"/>
      <c r="AM184" s="11" t="str">
        <f aca="false">IF(OR(AJ184="",AJ184=0),"",AL184/AJ184)</f>
        <v/>
      </c>
      <c r="AN184" s="8"/>
      <c r="AO184" s="8"/>
      <c r="AP184" s="10" t="str">
        <f aca="false">IF(AN184="","Not assessed",IF(AND(R184="No",AN184="Gap - recommend tailoring"),"INVALID: HSSB is not tailorable",IF(OR(Z184="",Z184=0),"NO NAMED EXECUTOR",IF(AND(N(AF184)&gt;=3,AJ184=""),"Operating claimed with no sample",IF(AND(N(AF184)&gt;=3,Z184=1),"Operating rests on one individual",IF(AND(N(AF184)&gt;=3,AB184&lt;&gt;"Yes"),"Operating claimed below designed credential",IF(AND(R184="No",N(AF184)&lt;3),"HSSB GATE: below Operating",IF(AND(N(AF184)&gt;=3,AJ184&lt;&gt;"",AL184=""),"Sample size with no conforming count","OK"))))))))</f>
        <v>Not assessed</v>
      </c>
      <c r="AQ184" s="8"/>
      <c r="AR184" s="8"/>
      <c r="AS184" s="8"/>
    </row>
    <row r="185" customFormat="false" ht="22.35" hidden="false" customHeight="false" outlineLevel="0" collapsed="false">
      <c r="A185" s="12" t="s">
        <v>474</v>
      </c>
      <c r="B185" s="12" t="s">
        <v>288</v>
      </c>
      <c r="C185" s="12" t="s">
        <v>467</v>
      </c>
      <c r="D185" s="12" t="s">
        <v>468</v>
      </c>
      <c r="E185" s="12" t="s">
        <v>88</v>
      </c>
      <c r="F185" s="12"/>
      <c r="G185" s="13" t="s">
        <v>85</v>
      </c>
      <c r="H185" s="13" t="s">
        <v>475</v>
      </c>
      <c r="I185" s="12" t="s">
        <v>240</v>
      </c>
      <c r="J185" s="12" t="s">
        <v>470</v>
      </c>
      <c r="K185" s="12" t="s">
        <v>471</v>
      </c>
      <c r="L185" s="12" t="s">
        <v>93</v>
      </c>
      <c r="M185" s="12" t="s">
        <v>476</v>
      </c>
      <c r="N185" s="12" t="s">
        <v>95</v>
      </c>
      <c r="O185" s="12" t="s">
        <v>96</v>
      </c>
      <c r="P185" s="12" t="s">
        <v>97</v>
      </c>
      <c r="Q185" s="12" t="s">
        <v>195</v>
      </c>
      <c r="R185" s="12" t="s">
        <v>82</v>
      </c>
      <c r="S185" s="12" t="s">
        <v>473</v>
      </c>
      <c r="T185" s="12" t="s">
        <v>294</v>
      </c>
      <c r="U185" s="8"/>
      <c r="V185" s="8"/>
      <c r="W185" s="8"/>
      <c r="X185" s="8"/>
      <c r="Y185" s="9"/>
      <c r="Z185" s="9"/>
      <c r="AA185" s="9"/>
      <c r="AB185" s="9"/>
      <c r="AC185" s="10" t="str">
        <f aca="false">IF(Z185="","",IF(Z185=0,"Unassigned",IF(Z185=1,"Single point",IF(AB185="Yes","Staffed and credentialed","Staffed, credential gap"))))</f>
        <v/>
      </c>
      <c r="AD185" s="10" t="str">
        <f aca="false">IFERROR(INDEX(Lists!$H$3:$H$6,MATCH(AC185,Lists!$G$3:$G$6,0)),"")</f>
        <v/>
      </c>
      <c r="AE185" s="8"/>
      <c r="AF185" s="10" t="str">
        <f aca="false">IFERROR(INDEX(Lists!$B$3:$B$7,MATCH(AE185,Lists!$A$3:$A$7,0)),"")</f>
        <v/>
      </c>
      <c r="AG185" s="8"/>
      <c r="AH185" s="8"/>
      <c r="AI185" s="8"/>
      <c r="AJ185" s="8"/>
      <c r="AK185" s="8"/>
      <c r="AL185" s="8"/>
      <c r="AM185" s="11" t="str">
        <f aca="false">IF(OR(AJ185="",AJ185=0),"",AL185/AJ185)</f>
        <v/>
      </c>
      <c r="AN185" s="8"/>
      <c r="AO185" s="8"/>
      <c r="AP185" s="10" t="str">
        <f aca="false">IF(AN185="","Not assessed",IF(AND(R185="No",AN185="Gap - recommend tailoring"),"INVALID: HSSB is not tailorable",IF(OR(Z185="",Z185=0),"NO NAMED EXECUTOR",IF(AND(N(AF185)&gt;=3,AJ185=""),"Operating claimed with no sample",IF(AND(N(AF185)&gt;=3,Z185=1),"Operating rests on one individual",IF(AND(N(AF185)&gt;=3,AB185&lt;&gt;"Yes"),"Operating claimed below designed credential",IF(AND(R185="No",N(AF185)&lt;3),"HSSB GATE: below Operating",IF(AND(N(AF185)&gt;=3,AJ185&lt;&gt;"",AL185=""),"Sample size with no conforming count","OK"))))))))</f>
        <v>Not assessed</v>
      </c>
      <c r="AQ185" s="8"/>
      <c r="AR185" s="8"/>
      <c r="AS185" s="8"/>
    </row>
    <row r="186" customFormat="false" ht="22.35" hidden="false" customHeight="false" outlineLevel="0" collapsed="false">
      <c r="A186" s="6" t="s">
        <v>477</v>
      </c>
      <c r="B186" s="6" t="s">
        <v>288</v>
      </c>
      <c r="C186" s="6" t="s">
        <v>467</v>
      </c>
      <c r="D186" s="6" t="s">
        <v>468</v>
      </c>
      <c r="E186" s="6" t="s">
        <v>178</v>
      </c>
      <c r="F186" s="7"/>
      <c r="G186" s="6" t="s">
        <v>82</v>
      </c>
      <c r="H186" s="6"/>
      <c r="I186" s="6"/>
      <c r="J186" s="6"/>
      <c r="K186" s="6"/>
      <c r="L186" s="6" t="s">
        <v>83</v>
      </c>
      <c r="M186" s="6" t="s">
        <v>84</v>
      </c>
      <c r="N186" s="6"/>
      <c r="O186" s="6"/>
      <c r="P186" s="6"/>
      <c r="Q186" s="6"/>
      <c r="R186" s="6" t="s">
        <v>85</v>
      </c>
      <c r="S186" s="6" t="s">
        <v>473</v>
      </c>
      <c r="T186" s="6" t="s">
        <v>294</v>
      </c>
      <c r="U186" s="8"/>
      <c r="V186" s="8"/>
      <c r="W186" s="8"/>
      <c r="X186" s="8"/>
      <c r="Y186" s="9"/>
      <c r="Z186" s="9"/>
      <c r="AA186" s="9"/>
      <c r="AB186" s="9"/>
      <c r="AC186" s="10" t="str">
        <f aca="false">IF(Z186="","",IF(Z186=0,"Unassigned",IF(Z186=1,"Single point",IF(AB186="Yes","Staffed and credentialed","Staffed, credential gap"))))</f>
        <v/>
      </c>
      <c r="AD186" s="10" t="str">
        <f aca="false">IFERROR(INDEX(Lists!$H$3:$H$6,MATCH(AC186,Lists!$G$3:$G$6,0)),"")</f>
        <v/>
      </c>
      <c r="AE186" s="8"/>
      <c r="AF186" s="10" t="str">
        <f aca="false">IFERROR(INDEX(Lists!$B$3:$B$7,MATCH(AE186,Lists!$A$3:$A$7,0)),"")</f>
        <v/>
      </c>
      <c r="AG186" s="8"/>
      <c r="AH186" s="8"/>
      <c r="AI186" s="8"/>
      <c r="AJ186" s="8"/>
      <c r="AK186" s="8"/>
      <c r="AL186" s="8"/>
      <c r="AM186" s="11" t="str">
        <f aca="false">IF(OR(AJ186="",AJ186=0),"",AL186/AJ186)</f>
        <v/>
      </c>
      <c r="AN186" s="8"/>
      <c r="AO186" s="8"/>
      <c r="AP186" s="10" t="str">
        <f aca="false">IF(AN186="","Not assessed",IF(AND(R186="No",AN186="Gap - recommend tailoring"),"INVALID: HSSB is not tailorable",IF(OR(Z186="",Z186=0),"NO NAMED EXECUTOR",IF(AND(N(AF186)&gt;=3,AJ186=""),"Operating claimed with no sample",IF(AND(N(AF186)&gt;=3,Z186=1),"Operating rests on one individual",IF(AND(N(AF186)&gt;=3,AB186&lt;&gt;"Yes"),"Operating claimed below designed credential",IF(AND(R186="No",N(AF186)&lt;3),"HSSB GATE: below Operating",IF(AND(N(AF186)&gt;=3,AJ186&lt;&gt;"",AL186=""),"Sample size with no conforming count","OK"))))))))</f>
        <v>Not assessed</v>
      </c>
      <c r="AQ186" s="8"/>
      <c r="AR186" s="8"/>
      <c r="AS186" s="8"/>
    </row>
    <row r="187" customFormat="false" ht="22.35" hidden="false" customHeight="false" outlineLevel="0" collapsed="false">
      <c r="A187" s="6" t="s">
        <v>478</v>
      </c>
      <c r="B187" s="6" t="s">
        <v>288</v>
      </c>
      <c r="C187" s="6" t="s">
        <v>467</v>
      </c>
      <c r="D187" s="6" t="s">
        <v>468</v>
      </c>
      <c r="E187" s="6" t="s">
        <v>180</v>
      </c>
      <c r="F187" s="7"/>
      <c r="G187" s="6" t="s">
        <v>82</v>
      </c>
      <c r="H187" s="6"/>
      <c r="I187" s="6"/>
      <c r="J187" s="6"/>
      <c r="K187" s="6"/>
      <c r="L187" s="6" t="s">
        <v>83</v>
      </c>
      <c r="M187" s="6" t="s">
        <v>84</v>
      </c>
      <c r="N187" s="6"/>
      <c r="O187" s="6"/>
      <c r="P187" s="6"/>
      <c r="Q187" s="6"/>
      <c r="R187" s="6" t="s">
        <v>85</v>
      </c>
      <c r="S187" s="6" t="s">
        <v>473</v>
      </c>
      <c r="T187" s="6" t="s">
        <v>294</v>
      </c>
      <c r="U187" s="8"/>
      <c r="V187" s="8"/>
      <c r="W187" s="8"/>
      <c r="X187" s="8"/>
      <c r="Y187" s="9"/>
      <c r="Z187" s="9"/>
      <c r="AA187" s="9"/>
      <c r="AB187" s="9"/>
      <c r="AC187" s="10" t="str">
        <f aca="false">IF(Z187="","",IF(Z187=0,"Unassigned",IF(Z187=1,"Single point",IF(AB187="Yes","Staffed and credentialed","Staffed, credential gap"))))</f>
        <v/>
      </c>
      <c r="AD187" s="10" t="str">
        <f aca="false">IFERROR(INDEX(Lists!$H$3:$H$6,MATCH(AC187,Lists!$G$3:$G$6,0)),"")</f>
        <v/>
      </c>
      <c r="AE187" s="8"/>
      <c r="AF187" s="10" t="str">
        <f aca="false">IFERROR(INDEX(Lists!$B$3:$B$7,MATCH(AE187,Lists!$A$3:$A$7,0)),"")</f>
        <v/>
      </c>
      <c r="AG187" s="8"/>
      <c r="AH187" s="8"/>
      <c r="AI187" s="8"/>
      <c r="AJ187" s="8"/>
      <c r="AK187" s="8"/>
      <c r="AL187" s="8"/>
      <c r="AM187" s="11" t="str">
        <f aca="false">IF(OR(AJ187="",AJ187=0),"",AL187/AJ187)</f>
        <v/>
      </c>
      <c r="AN187" s="8"/>
      <c r="AO187" s="8"/>
      <c r="AP187" s="10" t="str">
        <f aca="false">IF(AN187="","Not assessed",IF(AND(R187="No",AN187="Gap - recommend tailoring"),"INVALID: HSSB is not tailorable",IF(OR(Z187="",Z187=0),"NO NAMED EXECUTOR",IF(AND(N(AF187)&gt;=3,AJ187=""),"Operating claimed with no sample",IF(AND(N(AF187)&gt;=3,Z187=1),"Operating rests on one individual",IF(AND(N(AF187)&gt;=3,AB187&lt;&gt;"Yes"),"Operating claimed below designed credential",IF(AND(R187="No",N(AF187)&lt;3),"HSSB GATE: below Operating",IF(AND(N(AF187)&gt;=3,AJ187&lt;&gt;"",AL187=""),"Sample size with no conforming count","OK"))))))))</f>
        <v>Not assessed</v>
      </c>
      <c r="AQ187" s="8"/>
      <c r="AR187" s="8"/>
      <c r="AS187" s="8"/>
    </row>
    <row r="188" customFormat="false" ht="22.35" hidden="false" customHeight="false" outlineLevel="0" collapsed="false">
      <c r="A188" s="6" t="s">
        <v>479</v>
      </c>
      <c r="B188" s="6" t="s">
        <v>288</v>
      </c>
      <c r="C188" s="6" t="s">
        <v>467</v>
      </c>
      <c r="D188" s="6" t="s">
        <v>468</v>
      </c>
      <c r="E188" s="6" t="s">
        <v>480</v>
      </c>
      <c r="F188" s="7"/>
      <c r="G188" s="6" t="s">
        <v>82</v>
      </c>
      <c r="H188" s="6"/>
      <c r="I188" s="6"/>
      <c r="J188" s="6"/>
      <c r="K188" s="6"/>
      <c r="L188" s="6" t="s">
        <v>83</v>
      </c>
      <c r="M188" s="6" t="s">
        <v>84</v>
      </c>
      <c r="N188" s="6"/>
      <c r="O188" s="6"/>
      <c r="P188" s="6"/>
      <c r="Q188" s="6"/>
      <c r="R188" s="6" t="s">
        <v>85</v>
      </c>
      <c r="S188" s="6" t="s">
        <v>473</v>
      </c>
      <c r="T188" s="6" t="s">
        <v>294</v>
      </c>
      <c r="U188" s="8"/>
      <c r="V188" s="8"/>
      <c r="W188" s="8"/>
      <c r="X188" s="8"/>
      <c r="Y188" s="9"/>
      <c r="Z188" s="9"/>
      <c r="AA188" s="9"/>
      <c r="AB188" s="9"/>
      <c r="AC188" s="10" t="str">
        <f aca="false">IF(Z188="","",IF(Z188=0,"Unassigned",IF(Z188=1,"Single point",IF(AB188="Yes","Staffed and credentialed","Staffed, credential gap"))))</f>
        <v/>
      </c>
      <c r="AD188" s="10" t="str">
        <f aca="false">IFERROR(INDEX(Lists!$H$3:$H$6,MATCH(AC188,Lists!$G$3:$G$6,0)),"")</f>
        <v/>
      </c>
      <c r="AE188" s="8"/>
      <c r="AF188" s="10" t="str">
        <f aca="false">IFERROR(INDEX(Lists!$B$3:$B$7,MATCH(AE188,Lists!$A$3:$A$7,0)),"")</f>
        <v/>
      </c>
      <c r="AG188" s="8"/>
      <c r="AH188" s="8"/>
      <c r="AI188" s="8"/>
      <c r="AJ188" s="8"/>
      <c r="AK188" s="8"/>
      <c r="AL188" s="8"/>
      <c r="AM188" s="11" t="str">
        <f aca="false">IF(OR(AJ188="",AJ188=0),"",AL188/AJ188)</f>
        <v/>
      </c>
      <c r="AN188" s="8"/>
      <c r="AO188" s="8"/>
      <c r="AP188" s="10" t="str">
        <f aca="false">IF(AN188="","Not assessed",IF(AND(R188="No",AN188="Gap - recommend tailoring"),"INVALID: HSSB is not tailorable",IF(OR(Z188="",Z188=0),"NO NAMED EXECUTOR",IF(AND(N(AF188)&gt;=3,AJ188=""),"Operating claimed with no sample",IF(AND(N(AF188)&gt;=3,Z188=1),"Operating rests on one individual",IF(AND(N(AF188)&gt;=3,AB188&lt;&gt;"Yes"),"Operating claimed below designed credential",IF(AND(R188="No",N(AF188)&lt;3),"HSSB GATE: below Operating",IF(AND(N(AF188)&gt;=3,AJ188&lt;&gt;"",AL188=""),"Sample size with no conforming count","OK"))))))))</f>
        <v>Not assessed</v>
      </c>
      <c r="AQ188" s="8"/>
      <c r="AR188" s="8"/>
      <c r="AS188" s="8"/>
    </row>
    <row r="189" customFormat="false" ht="22.35" hidden="false" customHeight="false" outlineLevel="0" collapsed="false">
      <c r="A189" s="6" t="s">
        <v>481</v>
      </c>
      <c r="B189" s="6" t="s">
        <v>288</v>
      </c>
      <c r="C189" s="6" t="s">
        <v>467</v>
      </c>
      <c r="D189" s="6" t="s">
        <v>468</v>
      </c>
      <c r="E189" s="6" t="s">
        <v>482</v>
      </c>
      <c r="F189" s="7"/>
      <c r="G189" s="6" t="s">
        <v>82</v>
      </c>
      <c r="H189" s="6"/>
      <c r="I189" s="6"/>
      <c r="J189" s="6"/>
      <c r="K189" s="6"/>
      <c r="L189" s="6" t="s">
        <v>83</v>
      </c>
      <c r="M189" s="6" t="s">
        <v>84</v>
      </c>
      <c r="N189" s="6"/>
      <c r="O189" s="6"/>
      <c r="P189" s="6"/>
      <c r="Q189" s="6"/>
      <c r="R189" s="6" t="s">
        <v>85</v>
      </c>
      <c r="S189" s="6" t="s">
        <v>473</v>
      </c>
      <c r="T189" s="6" t="s">
        <v>294</v>
      </c>
      <c r="U189" s="8"/>
      <c r="V189" s="8"/>
      <c r="W189" s="8"/>
      <c r="X189" s="8"/>
      <c r="Y189" s="9"/>
      <c r="Z189" s="9"/>
      <c r="AA189" s="9"/>
      <c r="AB189" s="9"/>
      <c r="AC189" s="10" t="str">
        <f aca="false">IF(Z189="","",IF(Z189=0,"Unassigned",IF(Z189=1,"Single point",IF(AB189="Yes","Staffed and credentialed","Staffed, credential gap"))))</f>
        <v/>
      </c>
      <c r="AD189" s="10" t="str">
        <f aca="false">IFERROR(INDEX(Lists!$H$3:$H$6,MATCH(AC189,Lists!$G$3:$G$6,0)),"")</f>
        <v/>
      </c>
      <c r="AE189" s="8"/>
      <c r="AF189" s="10" t="str">
        <f aca="false">IFERROR(INDEX(Lists!$B$3:$B$7,MATCH(AE189,Lists!$A$3:$A$7,0)),"")</f>
        <v/>
      </c>
      <c r="AG189" s="8"/>
      <c r="AH189" s="8"/>
      <c r="AI189" s="8"/>
      <c r="AJ189" s="8"/>
      <c r="AK189" s="8"/>
      <c r="AL189" s="8"/>
      <c r="AM189" s="11" t="str">
        <f aca="false">IF(OR(AJ189="",AJ189=0),"",AL189/AJ189)</f>
        <v/>
      </c>
      <c r="AN189" s="8"/>
      <c r="AO189" s="8"/>
      <c r="AP189" s="10" t="str">
        <f aca="false">IF(AN189="","Not assessed",IF(AND(R189="No",AN189="Gap - recommend tailoring"),"INVALID: HSSB is not tailorable",IF(OR(Z189="",Z189=0),"NO NAMED EXECUTOR",IF(AND(N(AF189)&gt;=3,AJ189=""),"Operating claimed with no sample",IF(AND(N(AF189)&gt;=3,Z189=1),"Operating rests on one individual",IF(AND(N(AF189)&gt;=3,AB189&lt;&gt;"Yes"),"Operating claimed below designed credential",IF(AND(R189="No",N(AF189)&lt;3),"HSSB GATE: below Operating",IF(AND(N(AF189)&gt;=3,AJ189&lt;&gt;"",AL189=""),"Sample size with no conforming count","OK"))))))))</f>
        <v>Not assessed</v>
      </c>
      <c r="AQ189" s="8"/>
      <c r="AR189" s="8"/>
      <c r="AS189" s="8"/>
    </row>
    <row r="190" customFormat="false" ht="22.35" hidden="false" customHeight="false" outlineLevel="0" collapsed="false">
      <c r="A190" s="6" t="s">
        <v>483</v>
      </c>
      <c r="B190" s="6" t="s">
        <v>288</v>
      </c>
      <c r="C190" s="6" t="s">
        <v>467</v>
      </c>
      <c r="D190" s="6" t="s">
        <v>468</v>
      </c>
      <c r="E190" s="6" t="s">
        <v>484</v>
      </c>
      <c r="F190" s="7"/>
      <c r="G190" s="6" t="s">
        <v>82</v>
      </c>
      <c r="H190" s="6"/>
      <c r="I190" s="6"/>
      <c r="J190" s="6"/>
      <c r="K190" s="6"/>
      <c r="L190" s="6" t="s">
        <v>83</v>
      </c>
      <c r="M190" s="6" t="s">
        <v>84</v>
      </c>
      <c r="N190" s="6"/>
      <c r="O190" s="6"/>
      <c r="P190" s="6"/>
      <c r="Q190" s="6"/>
      <c r="R190" s="6" t="s">
        <v>85</v>
      </c>
      <c r="S190" s="6" t="s">
        <v>473</v>
      </c>
      <c r="T190" s="6" t="s">
        <v>294</v>
      </c>
      <c r="U190" s="8"/>
      <c r="V190" s="8"/>
      <c r="W190" s="8"/>
      <c r="X190" s="8"/>
      <c r="Y190" s="9"/>
      <c r="Z190" s="9"/>
      <c r="AA190" s="9"/>
      <c r="AB190" s="9"/>
      <c r="AC190" s="10" t="str">
        <f aca="false">IF(Z190="","",IF(Z190=0,"Unassigned",IF(Z190=1,"Single point",IF(AB190="Yes","Staffed and credentialed","Staffed, credential gap"))))</f>
        <v/>
      </c>
      <c r="AD190" s="10" t="str">
        <f aca="false">IFERROR(INDEX(Lists!$H$3:$H$6,MATCH(AC190,Lists!$G$3:$G$6,0)),"")</f>
        <v/>
      </c>
      <c r="AE190" s="8"/>
      <c r="AF190" s="10" t="str">
        <f aca="false">IFERROR(INDEX(Lists!$B$3:$B$7,MATCH(AE190,Lists!$A$3:$A$7,0)),"")</f>
        <v/>
      </c>
      <c r="AG190" s="8"/>
      <c r="AH190" s="8"/>
      <c r="AI190" s="8"/>
      <c r="AJ190" s="8"/>
      <c r="AK190" s="8"/>
      <c r="AL190" s="8"/>
      <c r="AM190" s="11" t="str">
        <f aca="false">IF(OR(AJ190="",AJ190=0),"",AL190/AJ190)</f>
        <v/>
      </c>
      <c r="AN190" s="8"/>
      <c r="AO190" s="8"/>
      <c r="AP190" s="10" t="str">
        <f aca="false">IF(AN190="","Not assessed",IF(AND(R190="No",AN190="Gap - recommend tailoring"),"INVALID: HSSB is not tailorable",IF(OR(Z190="",Z190=0),"NO NAMED EXECUTOR",IF(AND(N(AF190)&gt;=3,AJ190=""),"Operating claimed with no sample",IF(AND(N(AF190)&gt;=3,Z190=1),"Operating rests on one individual",IF(AND(N(AF190)&gt;=3,AB190&lt;&gt;"Yes"),"Operating claimed below designed credential",IF(AND(R190="No",N(AF190)&lt;3),"HSSB GATE: below Operating",IF(AND(N(AF190)&gt;=3,AJ190&lt;&gt;"",AL190=""),"Sample size with no conforming count","OK"))))))))</f>
        <v>Not assessed</v>
      </c>
      <c r="AQ190" s="8"/>
      <c r="AR190" s="8"/>
      <c r="AS190" s="8"/>
    </row>
    <row r="191" customFormat="false" ht="22.35" hidden="false" customHeight="false" outlineLevel="0" collapsed="false">
      <c r="A191" s="6" t="s">
        <v>485</v>
      </c>
      <c r="B191" s="6" t="s">
        <v>288</v>
      </c>
      <c r="C191" s="6" t="s">
        <v>467</v>
      </c>
      <c r="D191" s="6" t="s">
        <v>468</v>
      </c>
      <c r="E191" s="6" t="s">
        <v>486</v>
      </c>
      <c r="F191" s="7"/>
      <c r="G191" s="6" t="s">
        <v>82</v>
      </c>
      <c r="H191" s="6"/>
      <c r="I191" s="6"/>
      <c r="J191" s="6"/>
      <c r="K191" s="6"/>
      <c r="L191" s="6" t="s">
        <v>83</v>
      </c>
      <c r="M191" s="6" t="s">
        <v>84</v>
      </c>
      <c r="N191" s="6"/>
      <c r="O191" s="6"/>
      <c r="P191" s="6"/>
      <c r="Q191" s="6"/>
      <c r="R191" s="6" t="s">
        <v>85</v>
      </c>
      <c r="S191" s="6" t="s">
        <v>473</v>
      </c>
      <c r="T191" s="6" t="s">
        <v>294</v>
      </c>
      <c r="U191" s="8"/>
      <c r="V191" s="8"/>
      <c r="W191" s="8"/>
      <c r="X191" s="8"/>
      <c r="Y191" s="9"/>
      <c r="Z191" s="9"/>
      <c r="AA191" s="9"/>
      <c r="AB191" s="9"/>
      <c r="AC191" s="10" t="str">
        <f aca="false">IF(Z191="","",IF(Z191=0,"Unassigned",IF(Z191=1,"Single point",IF(AB191="Yes","Staffed and credentialed","Staffed, credential gap"))))</f>
        <v/>
      </c>
      <c r="AD191" s="10" t="str">
        <f aca="false">IFERROR(INDEX(Lists!$H$3:$H$6,MATCH(AC191,Lists!$G$3:$G$6,0)),"")</f>
        <v/>
      </c>
      <c r="AE191" s="8"/>
      <c r="AF191" s="10" t="str">
        <f aca="false">IFERROR(INDEX(Lists!$B$3:$B$7,MATCH(AE191,Lists!$A$3:$A$7,0)),"")</f>
        <v/>
      </c>
      <c r="AG191" s="8"/>
      <c r="AH191" s="8"/>
      <c r="AI191" s="8"/>
      <c r="AJ191" s="8"/>
      <c r="AK191" s="8"/>
      <c r="AL191" s="8"/>
      <c r="AM191" s="11" t="str">
        <f aca="false">IF(OR(AJ191="",AJ191=0),"",AL191/AJ191)</f>
        <v/>
      </c>
      <c r="AN191" s="8"/>
      <c r="AO191" s="8"/>
      <c r="AP191" s="10" t="str">
        <f aca="false">IF(AN191="","Not assessed",IF(AND(R191="No",AN191="Gap - recommend tailoring"),"INVALID: HSSB is not tailorable",IF(OR(Z191="",Z191=0),"NO NAMED EXECUTOR",IF(AND(N(AF191)&gt;=3,AJ191=""),"Operating claimed with no sample",IF(AND(N(AF191)&gt;=3,Z191=1),"Operating rests on one individual",IF(AND(N(AF191)&gt;=3,AB191&lt;&gt;"Yes"),"Operating claimed below designed credential",IF(AND(R191="No",N(AF191)&lt;3),"HSSB GATE: below Operating",IF(AND(N(AF191)&gt;=3,AJ191&lt;&gt;"",AL191=""),"Sample size with no conforming count","OK"))))))))</f>
        <v>Not assessed</v>
      </c>
      <c r="AQ191" s="8"/>
      <c r="AR191" s="8"/>
      <c r="AS191" s="8"/>
    </row>
    <row r="192" customFormat="false" ht="22.35" hidden="false" customHeight="false" outlineLevel="0" collapsed="false">
      <c r="A192" s="6" t="s">
        <v>487</v>
      </c>
      <c r="B192" s="6" t="s">
        <v>288</v>
      </c>
      <c r="C192" s="6" t="s">
        <v>467</v>
      </c>
      <c r="D192" s="6" t="s">
        <v>468</v>
      </c>
      <c r="E192" s="6" t="s">
        <v>209</v>
      </c>
      <c r="F192" s="7"/>
      <c r="G192" s="6" t="s">
        <v>82</v>
      </c>
      <c r="H192" s="6"/>
      <c r="I192" s="6"/>
      <c r="J192" s="6"/>
      <c r="K192" s="6"/>
      <c r="L192" s="6" t="s">
        <v>83</v>
      </c>
      <c r="M192" s="6" t="s">
        <v>84</v>
      </c>
      <c r="N192" s="6"/>
      <c r="O192" s="6"/>
      <c r="P192" s="6"/>
      <c r="Q192" s="6"/>
      <c r="R192" s="6" t="s">
        <v>85</v>
      </c>
      <c r="S192" s="6" t="s">
        <v>473</v>
      </c>
      <c r="T192" s="6" t="s">
        <v>294</v>
      </c>
      <c r="U192" s="8"/>
      <c r="V192" s="8"/>
      <c r="W192" s="8"/>
      <c r="X192" s="8"/>
      <c r="Y192" s="9"/>
      <c r="Z192" s="9"/>
      <c r="AA192" s="9"/>
      <c r="AB192" s="9"/>
      <c r="AC192" s="10" t="str">
        <f aca="false">IF(Z192="","",IF(Z192=0,"Unassigned",IF(Z192=1,"Single point",IF(AB192="Yes","Staffed and credentialed","Staffed, credential gap"))))</f>
        <v/>
      </c>
      <c r="AD192" s="10" t="str">
        <f aca="false">IFERROR(INDEX(Lists!$H$3:$H$6,MATCH(AC192,Lists!$G$3:$G$6,0)),"")</f>
        <v/>
      </c>
      <c r="AE192" s="8"/>
      <c r="AF192" s="10" t="str">
        <f aca="false">IFERROR(INDEX(Lists!$B$3:$B$7,MATCH(AE192,Lists!$A$3:$A$7,0)),"")</f>
        <v/>
      </c>
      <c r="AG192" s="8"/>
      <c r="AH192" s="8"/>
      <c r="AI192" s="8"/>
      <c r="AJ192" s="8"/>
      <c r="AK192" s="8"/>
      <c r="AL192" s="8"/>
      <c r="AM192" s="11" t="str">
        <f aca="false">IF(OR(AJ192="",AJ192=0),"",AL192/AJ192)</f>
        <v/>
      </c>
      <c r="AN192" s="8"/>
      <c r="AO192" s="8"/>
      <c r="AP192" s="10" t="str">
        <f aca="false">IF(AN192="","Not assessed",IF(AND(R192="No",AN192="Gap - recommend tailoring"),"INVALID: HSSB is not tailorable",IF(OR(Z192="",Z192=0),"NO NAMED EXECUTOR",IF(AND(N(AF192)&gt;=3,AJ192=""),"Operating claimed with no sample",IF(AND(N(AF192)&gt;=3,Z192=1),"Operating rests on one individual",IF(AND(N(AF192)&gt;=3,AB192&lt;&gt;"Yes"),"Operating claimed below designed credential",IF(AND(R192="No",N(AF192)&lt;3),"HSSB GATE: below Operating",IF(AND(N(AF192)&gt;=3,AJ192&lt;&gt;"",AL192=""),"Sample size with no conforming count","OK"))))))))</f>
        <v>Not assessed</v>
      </c>
      <c r="AQ192" s="8"/>
      <c r="AR192" s="8"/>
      <c r="AS192" s="8"/>
    </row>
    <row r="193" customFormat="false" ht="22.35" hidden="false" customHeight="false" outlineLevel="0" collapsed="false">
      <c r="A193" s="6" t="s">
        <v>488</v>
      </c>
      <c r="B193" s="6" t="s">
        <v>288</v>
      </c>
      <c r="C193" s="6" t="s">
        <v>489</v>
      </c>
      <c r="D193" s="6" t="s">
        <v>490</v>
      </c>
      <c r="E193" s="6" t="s">
        <v>81</v>
      </c>
      <c r="F193" s="7"/>
      <c r="G193" s="6" t="s">
        <v>82</v>
      </c>
      <c r="H193" s="6"/>
      <c r="I193" s="6"/>
      <c r="J193" s="6"/>
      <c r="K193" s="6"/>
      <c r="L193" s="6" t="s">
        <v>83</v>
      </c>
      <c r="M193" s="6" t="s">
        <v>84</v>
      </c>
      <c r="N193" s="6"/>
      <c r="O193" s="6"/>
      <c r="P193" s="6"/>
      <c r="Q193" s="6"/>
      <c r="R193" s="6" t="s">
        <v>85</v>
      </c>
      <c r="S193" s="6"/>
      <c r="T193" s="6" t="s">
        <v>294</v>
      </c>
      <c r="U193" s="8"/>
      <c r="V193" s="8"/>
      <c r="W193" s="8"/>
      <c r="X193" s="8"/>
      <c r="Y193" s="9"/>
      <c r="Z193" s="9"/>
      <c r="AA193" s="9"/>
      <c r="AB193" s="9"/>
      <c r="AC193" s="10" t="str">
        <f aca="false">IF(Z193="","",IF(Z193=0,"Unassigned",IF(Z193=1,"Single point",IF(AB193="Yes","Staffed and credentialed","Staffed, credential gap"))))</f>
        <v/>
      </c>
      <c r="AD193" s="10" t="str">
        <f aca="false">IFERROR(INDEX(Lists!$H$3:$H$6,MATCH(AC193,Lists!$G$3:$G$6,0)),"")</f>
        <v/>
      </c>
      <c r="AE193" s="8"/>
      <c r="AF193" s="10" t="str">
        <f aca="false">IFERROR(INDEX(Lists!$B$3:$B$7,MATCH(AE193,Lists!$A$3:$A$7,0)),"")</f>
        <v/>
      </c>
      <c r="AG193" s="8"/>
      <c r="AH193" s="8"/>
      <c r="AI193" s="8"/>
      <c r="AJ193" s="8"/>
      <c r="AK193" s="8"/>
      <c r="AL193" s="8"/>
      <c r="AM193" s="11" t="str">
        <f aca="false">IF(OR(AJ193="",AJ193=0),"",AL193/AJ193)</f>
        <v/>
      </c>
      <c r="AN193" s="8"/>
      <c r="AO193" s="8"/>
      <c r="AP193" s="10" t="str">
        <f aca="false">IF(AN193="","Not assessed",IF(AND(R193="No",AN193="Gap - recommend tailoring"),"INVALID: HSSB is not tailorable",IF(OR(Z193="",Z193=0),"NO NAMED EXECUTOR",IF(AND(N(AF193)&gt;=3,AJ193=""),"Operating claimed with no sample",IF(AND(N(AF193)&gt;=3,Z193=1),"Operating rests on one individual",IF(AND(N(AF193)&gt;=3,AB193&lt;&gt;"Yes"),"Operating claimed below designed credential",IF(AND(R193="No",N(AF193)&lt;3),"HSSB GATE: below Operating",IF(AND(N(AF193)&gt;=3,AJ193&lt;&gt;"",AL193=""),"Sample size with no conforming count","OK"))))))))</f>
        <v>Not assessed</v>
      </c>
      <c r="AQ193" s="8"/>
      <c r="AR193" s="8"/>
      <c r="AS193" s="8"/>
    </row>
    <row r="194" customFormat="false" ht="22.35" hidden="false" customHeight="false" outlineLevel="0" collapsed="false">
      <c r="A194" s="6" t="s">
        <v>491</v>
      </c>
      <c r="B194" s="6" t="s">
        <v>288</v>
      </c>
      <c r="C194" s="6" t="s">
        <v>489</v>
      </c>
      <c r="D194" s="6" t="s">
        <v>490</v>
      </c>
      <c r="E194" s="6" t="s">
        <v>88</v>
      </c>
      <c r="F194" s="7"/>
      <c r="G194" s="6" t="s">
        <v>82</v>
      </c>
      <c r="H194" s="6"/>
      <c r="I194" s="6"/>
      <c r="J194" s="6"/>
      <c r="K194" s="6"/>
      <c r="L194" s="6" t="s">
        <v>83</v>
      </c>
      <c r="M194" s="6" t="s">
        <v>84</v>
      </c>
      <c r="N194" s="6"/>
      <c r="O194" s="6"/>
      <c r="P194" s="6"/>
      <c r="Q194" s="6"/>
      <c r="R194" s="6" t="s">
        <v>85</v>
      </c>
      <c r="S194" s="6"/>
      <c r="T194" s="6" t="s">
        <v>294</v>
      </c>
      <c r="U194" s="8"/>
      <c r="V194" s="8"/>
      <c r="W194" s="8"/>
      <c r="X194" s="8"/>
      <c r="Y194" s="9"/>
      <c r="Z194" s="9"/>
      <c r="AA194" s="9"/>
      <c r="AB194" s="9"/>
      <c r="AC194" s="10" t="str">
        <f aca="false">IF(Z194="","",IF(Z194=0,"Unassigned",IF(Z194=1,"Single point",IF(AB194="Yes","Staffed and credentialed","Staffed, credential gap"))))</f>
        <v/>
      </c>
      <c r="AD194" s="10" t="str">
        <f aca="false">IFERROR(INDEX(Lists!$H$3:$H$6,MATCH(AC194,Lists!$G$3:$G$6,0)),"")</f>
        <v/>
      </c>
      <c r="AE194" s="8"/>
      <c r="AF194" s="10" t="str">
        <f aca="false">IFERROR(INDEX(Lists!$B$3:$B$7,MATCH(AE194,Lists!$A$3:$A$7,0)),"")</f>
        <v/>
      </c>
      <c r="AG194" s="8"/>
      <c r="AH194" s="8"/>
      <c r="AI194" s="8"/>
      <c r="AJ194" s="8"/>
      <c r="AK194" s="8"/>
      <c r="AL194" s="8"/>
      <c r="AM194" s="11" t="str">
        <f aca="false">IF(OR(AJ194="",AJ194=0),"",AL194/AJ194)</f>
        <v/>
      </c>
      <c r="AN194" s="8"/>
      <c r="AO194" s="8"/>
      <c r="AP194" s="10" t="str">
        <f aca="false">IF(AN194="","Not assessed",IF(AND(R194="No",AN194="Gap - recommend tailoring"),"INVALID: HSSB is not tailorable",IF(OR(Z194="",Z194=0),"NO NAMED EXECUTOR",IF(AND(N(AF194)&gt;=3,AJ194=""),"Operating claimed with no sample",IF(AND(N(AF194)&gt;=3,Z194=1),"Operating rests on one individual",IF(AND(N(AF194)&gt;=3,AB194&lt;&gt;"Yes"),"Operating claimed below designed credential",IF(AND(R194="No",N(AF194)&lt;3),"HSSB GATE: below Operating",IF(AND(N(AF194)&gt;=3,AJ194&lt;&gt;"",AL194=""),"Sample size with no conforming count","OK"))))))))</f>
        <v>Not assessed</v>
      </c>
      <c r="AQ194" s="8"/>
      <c r="AR194" s="8"/>
      <c r="AS194" s="8"/>
    </row>
    <row r="195" customFormat="false" ht="22.35" hidden="false" customHeight="false" outlineLevel="0" collapsed="false">
      <c r="A195" s="6" t="s">
        <v>492</v>
      </c>
      <c r="B195" s="6" t="s">
        <v>288</v>
      </c>
      <c r="C195" s="6" t="s">
        <v>493</v>
      </c>
      <c r="D195" s="6" t="s">
        <v>494</v>
      </c>
      <c r="E195" s="6" t="s">
        <v>112</v>
      </c>
      <c r="F195" s="7"/>
      <c r="G195" s="6" t="s">
        <v>82</v>
      </c>
      <c r="H195" s="6"/>
      <c r="I195" s="6"/>
      <c r="J195" s="6"/>
      <c r="K195" s="6"/>
      <c r="L195" s="6" t="s">
        <v>83</v>
      </c>
      <c r="M195" s="6" t="s">
        <v>84</v>
      </c>
      <c r="N195" s="6"/>
      <c r="O195" s="6"/>
      <c r="P195" s="6"/>
      <c r="Q195" s="6"/>
      <c r="R195" s="6" t="s">
        <v>85</v>
      </c>
      <c r="S195" s="6"/>
      <c r="T195" s="6" t="s">
        <v>294</v>
      </c>
      <c r="U195" s="8"/>
      <c r="V195" s="8"/>
      <c r="W195" s="8"/>
      <c r="X195" s="8"/>
      <c r="Y195" s="9"/>
      <c r="Z195" s="9"/>
      <c r="AA195" s="9"/>
      <c r="AB195" s="9"/>
      <c r="AC195" s="10" t="str">
        <f aca="false">IF(Z195="","",IF(Z195=0,"Unassigned",IF(Z195=1,"Single point",IF(AB195="Yes","Staffed and credentialed","Staffed, credential gap"))))</f>
        <v/>
      </c>
      <c r="AD195" s="10" t="str">
        <f aca="false">IFERROR(INDEX(Lists!$H$3:$H$6,MATCH(AC195,Lists!$G$3:$G$6,0)),"")</f>
        <v/>
      </c>
      <c r="AE195" s="8"/>
      <c r="AF195" s="10" t="str">
        <f aca="false">IFERROR(INDEX(Lists!$B$3:$B$7,MATCH(AE195,Lists!$A$3:$A$7,0)),"")</f>
        <v/>
      </c>
      <c r="AG195" s="8"/>
      <c r="AH195" s="8"/>
      <c r="AI195" s="8"/>
      <c r="AJ195" s="8"/>
      <c r="AK195" s="8"/>
      <c r="AL195" s="8"/>
      <c r="AM195" s="11" t="str">
        <f aca="false">IF(OR(AJ195="",AJ195=0),"",AL195/AJ195)</f>
        <v/>
      </c>
      <c r="AN195" s="8"/>
      <c r="AO195" s="8"/>
      <c r="AP195" s="10" t="str">
        <f aca="false">IF(AN195="","Not assessed",IF(AND(R195="No",AN195="Gap - recommend tailoring"),"INVALID: HSSB is not tailorable",IF(OR(Z195="",Z195=0),"NO NAMED EXECUTOR",IF(AND(N(AF195)&gt;=3,AJ195=""),"Operating claimed with no sample",IF(AND(N(AF195)&gt;=3,Z195=1),"Operating rests on one individual",IF(AND(N(AF195)&gt;=3,AB195&lt;&gt;"Yes"),"Operating claimed below designed credential",IF(AND(R195="No",N(AF195)&lt;3),"HSSB GATE: below Operating",IF(AND(N(AF195)&gt;=3,AJ195&lt;&gt;"",AL195=""),"Sample size with no conforming count","OK"))))))))</f>
        <v>Not assessed</v>
      </c>
      <c r="AQ195" s="8"/>
      <c r="AR195" s="8"/>
      <c r="AS195" s="8"/>
    </row>
    <row r="196" customFormat="false" ht="22.35" hidden="false" customHeight="false" outlineLevel="0" collapsed="false">
      <c r="A196" s="6" t="s">
        <v>495</v>
      </c>
      <c r="B196" s="6" t="s">
        <v>288</v>
      </c>
      <c r="C196" s="6" t="s">
        <v>493</v>
      </c>
      <c r="D196" s="6" t="s">
        <v>494</v>
      </c>
      <c r="E196" s="6" t="s">
        <v>115</v>
      </c>
      <c r="F196" s="7"/>
      <c r="G196" s="6" t="s">
        <v>82</v>
      </c>
      <c r="H196" s="6"/>
      <c r="I196" s="6"/>
      <c r="J196" s="6"/>
      <c r="K196" s="6"/>
      <c r="L196" s="6" t="s">
        <v>83</v>
      </c>
      <c r="M196" s="6" t="s">
        <v>84</v>
      </c>
      <c r="N196" s="6"/>
      <c r="O196" s="6"/>
      <c r="P196" s="6"/>
      <c r="Q196" s="6"/>
      <c r="R196" s="6" t="s">
        <v>85</v>
      </c>
      <c r="S196" s="6"/>
      <c r="T196" s="6" t="s">
        <v>294</v>
      </c>
      <c r="U196" s="8"/>
      <c r="V196" s="8"/>
      <c r="W196" s="8"/>
      <c r="X196" s="8"/>
      <c r="Y196" s="9"/>
      <c r="Z196" s="9"/>
      <c r="AA196" s="9"/>
      <c r="AB196" s="9"/>
      <c r="AC196" s="10" t="str">
        <f aca="false">IF(Z196="","",IF(Z196=0,"Unassigned",IF(Z196=1,"Single point",IF(AB196="Yes","Staffed and credentialed","Staffed, credential gap"))))</f>
        <v/>
      </c>
      <c r="AD196" s="10" t="str">
        <f aca="false">IFERROR(INDEX(Lists!$H$3:$H$6,MATCH(AC196,Lists!$G$3:$G$6,0)),"")</f>
        <v/>
      </c>
      <c r="AE196" s="8"/>
      <c r="AF196" s="10" t="str">
        <f aca="false">IFERROR(INDEX(Lists!$B$3:$B$7,MATCH(AE196,Lists!$A$3:$A$7,0)),"")</f>
        <v/>
      </c>
      <c r="AG196" s="8"/>
      <c r="AH196" s="8"/>
      <c r="AI196" s="8"/>
      <c r="AJ196" s="8"/>
      <c r="AK196" s="8"/>
      <c r="AL196" s="8"/>
      <c r="AM196" s="11" t="str">
        <f aca="false">IF(OR(AJ196="",AJ196=0),"",AL196/AJ196)</f>
        <v/>
      </c>
      <c r="AN196" s="8"/>
      <c r="AO196" s="8"/>
      <c r="AP196" s="10" t="str">
        <f aca="false">IF(AN196="","Not assessed",IF(AND(R196="No",AN196="Gap - recommend tailoring"),"INVALID: HSSB is not tailorable",IF(OR(Z196="",Z196=0),"NO NAMED EXECUTOR",IF(AND(N(AF196)&gt;=3,AJ196=""),"Operating claimed with no sample",IF(AND(N(AF196)&gt;=3,Z196=1),"Operating rests on one individual",IF(AND(N(AF196)&gt;=3,AB196&lt;&gt;"Yes"),"Operating claimed below designed credential",IF(AND(R196="No",N(AF196)&lt;3),"HSSB GATE: below Operating",IF(AND(N(AF196)&gt;=3,AJ196&lt;&gt;"",AL196=""),"Sample size with no conforming count","OK"))))))))</f>
        <v>Not assessed</v>
      </c>
      <c r="AQ196" s="8"/>
      <c r="AR196" s="8"/>
      <c r="AS196" s="8"/>
    </row>
    <row r="197" customFormat="false" ht="22.35" hidden="false" customHeight="false" outlineLevel="0" collapsed="false">
      <c r="A197" s="6" t="s">
        <v>496</v>
      </c>
      <c r="B197" s="6" t="s">
        <v>288</v>
      </c>
      <c r="C197" s="6" t="s">
        <v>493</v>
      </c>
      <c r="D197" s="6" t="s">
        <v>494</v>
      </c>
      <c r="E197" s="6" t="s">
        <v>117</v>
      </c>
      <c r="F197" s="7"/>
      <c r="G197" s="6" t="s">
        <v>82</v>
      </c>
      <c r="H197" s="6"/>
      <c r="I197" s="6"/>
      <c r="J197" s="6"/>
      <c r="K197" s="6"/>
      <c r="L197" s="6" t="s">
        <v>83</v>
      </c>
      <c r="M197" s="6" t="s">
        <v>84</v>
      </c>
      <c r="N197" s="6"/>
      <c r="O197" s="6"/>
      <c r="P197" s="6"/>
      <c r="Q197" s="6"/>
      <c r="R197" s="6" t="s">
        <v>85</v>
      </c>
      <c r="S197" s="6"/>
      <c r="T197" s="6" t="s">
        <v>294</v>
      </c>
      <c r="U197" s="8"/>
      <c r="V197" s="8"/>
      <c r="W197" s="8"/>
      <c r="X197" s="8"/>
      <c r="Y197" s="9"/>
      <c r="Z197" s="9"/>
      <c r="AA197" s="9"/>
      <c r="AB197" s="9"/>
      <c r="AC197" s="10" t="str">
        <f aca="false">IF(Z197="","",IF(Z197=0,"Unassigned",IF(Z197=1,"Single point",IF(AB197="Yes","Staffed and credentialed","Staffed, credential gap"))))</f>
        <v/>
      </c>
      <c r="AD197" s="10" t="str">
        <f aca="false">IFERROR(INDEX(Lists!$H$3:$H$6,MATCH(AC197,Lists!$G$3:$G$6,0)),"")</f>
        <v/>
      </c>
      <c r="AE197" s="8"/>
      <c r="AF197" s="10" t="str">
        <f aca="false">IFERROR(INDEX(Lists!$B$3:$B$7,MATCH(AE197,Lists!$A$3:$A$7,0)),"")</f>
        <v/>
      </c>
      <c r="AG197" s="8"/>
      <c r="AH197" s="8"/>
      <c r="AI197" s="8"/>
      <c r="AJ197" s="8"/>
      <c r="AK197" s="8"/>
      <c r="AL197" s="8"/>
      <c r="AM197" s="11" t="str">
        <f aca="false">IF(OR(AJ197="",AJ197=0),"",AL197/AJ197)</f>
        <v/>
      </c>
      <c r="AN197" s="8"/>
      <c r="AO197" s="8"/>
      <c r="AP197" s="10" t="str">
        <f aca="false">IF(AN197="","Not assessed",IF(AND(R197="No",AN197="Gap - recommend tailoring"),"INVALID: HSSB is not tailorable",IF(OR(Z197="",Z197=0),"NO NAMED EXECUTOR",IF(AND(N(AF197)&gt;=3,AJ197=""),"Operating claimed with no sample",IF(AND(N(AF197)&gt;=3,Z197=1),"Operating rests on one individual",IF(AND(N(AF197)&gt;=3,AB197&lt;&gt;"Yes"),"Operating claimed below designed credential",IF(AND(R197="No",N(AF197)&lt;3),"HSSB GATE: below Operating",IF(AND(N(AF197)&gt;=3,AJ197&lt;&gt;"",AL197=""),"Sample size with no conforming count","OK"))))))))</f>
        <v>Not assessed</v>
      </c>
      <c r="AQ197" s="8"/>
      <c r="AR197" s="8"/>
      <c r="AS197" s="8"/>
    </row>
    <row r="198" customFormat="false" ht="22.35" hidden="false" customHeight="false" outlineLevel="0" collapsed="false">
      <c r="A198" s="6" t="s">
        <v>497</v>
      </c>
      <c r="B198" s="6" t="s">
        <v>288</v>
      </c>
      <c r="C198" s="6" t="s">
        <v>493</v>
      </c>
      <c r="D198" s="6" t="s">
        <v>494</v>
      </c>
      <c r="E198" s="6" t="s">
        <v>88</v>
      </c>
      <c r="F198" s="7"/>
      <c r="G198" s="6" t="s">
        <v>82</v>
      </c>
      <c r="H198" s="6"/>
      <c r="I198" s="6"/>
      <c r="J198" s="6"/>
      <c r="K198" s="6"/>
      <c r="L198" s="6" t="s">
        <v>83</v>
      </c>
      <c r="M198" s="6" t="s">
        <v>84</v>
      </c>
      <c r="N198" s="6"/>
      <c r="O198" s="6"/>
      <c r="P198" s="6"/>
      <c r="Q198" s="6"/>
      <c r="R198" s="6" t="s">
        <v>85</v>
      </c>
      <c r="S198" s="6"/>
      <c r="T198" s="6" t="s">
        <v>294</v>
      </c>
      <c r="U198" s="8"/>
      <c r="V198" s="8"/>
      <c r="W198" s="8"/>
      <c r="X198" s="8"/>
      <c r="Y198" s="9"/>
      <c r="Z198" s="9"/>
      <c r="AA198" s="9"/>
      <c r="AB198" s="9"/>
      <c r="AC198" s="10" t="str">
        <f aca="false">IF(Z198="","",IF(Z198=0,"Unassigned",IF(Z198=1,"Single point",IF(AB198="Yes","Staffed and credentialed","Staffed, credential gap"))))</f>
        <v/>
      </c>
      <c r="AD198" s="10" t="str">
        <f aca="false">IFERROR(INDEX(Lists!$H$3:$H$6,MATCH(AC198,Lists!$G$3:$G$6,0)),"")</f>
        <v/>
      </c>
      <c r="AE198" s="8"/>
      <c r="AF198" s="10" t="str">
        <f aca="false">IFERROR(INDEX(Lists!$B$3:$B$7,MATCH(AE198,Lists!$A$3:$A$7,0)),"")</f>
        <v/>
      </c>
      <c r="AG198" s="8"/>
      <c r="AH198" s="8"/>
      <c r="AI198" s="8"/>
      <c r="AJ198" s="8"/>
      <c r="AK198" s="8"/>
      <c r="AL198" s="8"/>
      <c r="AM198" s="11" t="str">
        <f aca="false">IF(OR(AJ198="",AJ198=0),"",AL198/AJ198)</f>
        <v/>
      </c>
      <c r="AN198" s="8"/>
      <c r="AO198" s="8"/>
      <c r="AP198" s="10" t="str">
        <f aca="false">IF(AN198="","Not assessed",IF(AND(R198="No",AN198="Gap - recommend tailoring"),"INVALID: HSSB is not tailorable",IF(OR(Z198="",Z198=0),"NO NAMED EXECUTOR",IF(AND(N(AF198)&gt;=3,AJ198=""),"Operating claimed with no sample",IF(AND(N(AF198)&gt;=3,Z198=1),"Operating rests on one individual",IF(AND(N(AF198)&gt;=3,AB198&lt;&gt;"Yes"),"Operating claimed below designed credential",IF(AND(R198="No",N(AF198)&lt;3),"HSSB GATE: below Operating",IF(AND(N(AF198)&gt;=3,AJ198&lt;&gt;"",AL198=""),"Sample size with no conforming count","OK"))))))))</f>
        <v>Not assessed</v>
      </c>
      <c r="AQ198" s="8"/>
      <c r="AR198" s="8"/>
      <c r="AS198" s="8"/>
    </row>
    <row r="199" customFormat="false" ht="22.35" hidden="false" customHeight="false" outlineLevel="0" collapsed="false">
      <c r="A199" s="6" t="s">
        <v>498</v>
      </c>
      <c r="B199" s="6" t="s">
        <v>288</v>
      </c>
      <c r="C199" s="6" t="s">
        <v>493</v>
      </c>
      <c r="D199" s="6" t="s">
        <v>494</v>
      </c>
      <c r="E199" s="6" t="s">
        <v>100</v>
      </c>
      <c r="F199" s="7"/>
      <c r="G199" s="6" t="s">
        <v>82</v>
      </c>
      <c r="H199" s="6"/>
      <c r="I199" s="6"/>
      <c r="J199" s="6"/>
      <c r="K199" s="6"/>
      <c r="L199" s="6" t="s">
        <v>83</v>
      </c>
      <c r="M199" s="6" t="s">
        <v>84</v>
      </c>
      <c r="N199" s="6"/>
      <c r="O199" s="6"/>
      <c r="P199" s="6"/>
      <c r="Q199" s="6"/>
      <c r="R199" s="6" t="s">
        <v>85</v>
      </c>
      <c r="S199" s="6"/>
      <c r="T199" s="6" t="s">
        <v>294</v>
      </c>
      <c r="U199" s="8"/>
      <c r="V199" s="8"/>
      <c r="W199" s="8"/>
      <c r="X199" s="8"/>
      <c r="Y199" s="9"/>
      <c r="Z199" s="9"/>
      <c r="AA199" s="9"/>
      <c r="AB199" s="9"/>
      <c r="AC199" s="10" t="str">
        <f aca="false">IF(Z199="","",IF(Z199=0,"Unassigned",IF(Z199=1,"Single point",IF(AB199="Yes","Staffed and credentialed","Staffed, credential gap"))))</f>
        <v/>
      </c>
      <c r="AD199" s="10" t="str">
        <f aca="false">IFERROR(INDEX(Lists!$H$3:$H$6,MATCH(AC199,Lists!$G$3:$G$6,0)),"")</f>
        <v/>
      </c>
      <c r="AE199" s="8"/>
      <c r="AF199" s="10" t="str">
        <f aca="false">IFERROR(INDEX(Lists!$B$3:$B$7,MATCH(AE199,Lists!$A$3:$A$7,0)),"")</f>
        <v/>
      </c>
      <c r="AG199" s="8"/>
      <c r="AH199" s="8"/>
      <c r="AI199" s="8"/>
      <c r="AJ199" s="8"/>
      <c r="AK199" s="8"/>
      <c r="AL199" s="8"/>
      <c r="AM199" s="11" t="str">
        <f aca="false">IF(OR(AJ199="",AJ199=0),"",AL199/AJ199)</f>
        <v/>
      </c>
      <c r="AN199" s="8"/>
      <c r="AO199" s="8"/>
      <c r="AP199" s="10" t="str">
        <f aca="false">IF(AN199="","Not assessed",IF(AND(R199="No",AN199="Gap - recommend tailoring"),"INVALID: HSSB is not tailorable",IF(OR(Z199="",Z199=0),"NO NAMED EXECUTOR",IF(AND(N(AF199)&gt;=3,AJ199=""),"Operating claimed with no sample",IF(AND(N(AF199)&gt;=3,Z199=1),"Operating rests on one individual",IF(AND(N(AF199)&gt;=3,AB199&lt;&gt;"Yes"),"Operating claimed below designed credential",IF(AND(R199="No",N(AF199)&lt;3),"HSSB GATE: below Operating",IF(AND(N(AF199)&gt;=3,AJ199&lt;&gt;"",AL199=""),"Sample size with no conforming count","OK"))))))))</f>
        <v>Not assessed</v>
      </c>
      <c r="AQ199" s="8"/>
      <c r="AR199" s="8"/>
      <c r="AS199" s="8"/>
    </row>
    <row r="200" customFormat="false" ht="22.35" hidden="false" customHeight="false" outlineLevel="0" collapsed="false">
      <c r="A200" s="6" t="s">
        <v>499</v>
      </c>
      <c r="B200" s="6" t="s">
        <v>288</v>
      </c>
      <c r="C200" s="6" t="s">
        <v>500</v>
      </c>
      <c r="D200" s="6" t="s">
        <v>501</v>
      </c>
      <c r="E200" s="6" t="s">
        <v>81</v>
      </c>
      <c r="F200" s="7"/>
      <c r="G200" s="6" t="s">
        <v>82</v>
      </c>
      <c r="H200" s="6"/>
      <c r="I200" s="6"/>
      <c r="J200" s="6"/>
      <c r="K200" s="6"/>
      <c r="L200" s="6" t="s">
        <v>83</v>
      </c>
      <c r="M200" s="6" t="s">
        <v>84</v>
      </c>
      <c r="N200" s="6"/>
      <c r="O200" s="6"/>
      <c r="P200" s="6"/>
      <c r="Q200" s="6"/>
      <c r="R200" s="6" t="s">
        <v>85</v>
      </c>
      <c r="S200" s="6"/>
      <c r="T200" s="6" t="s">
        <v>294</v>
      </c>
      <c r="U200" s="8"/>
      <c r="V200" s="8"/>
      <c r="W200" s="8"/>
      <c r="X200" s="8"/>
      <c r="Y200" s="9"/>
      <c r="Z200" s="9"/>
      <c r="AA200" s="9"/>
      <c r="AB200" s="9"/>
      <c r="AC200" s="10" t="str">
        <f aca="false">IF(Z200="","",IF(Z200=0,"Unassigned",IF(Z200=1,"Single point",IF(AB200="Yes","Staffed and credentialed","Staffed, credential gap"))))</f>
        <v/>
      </c>
      <c r="AD200" s="10" t="str">
        <f aca="false">IFERROR(INDEX(Lists!$H$3:$H$6,MATCH(AC200,Lists!$G$3:$G$6,0)),"")</f>
        <v/>
      </c>
      <c r="AE200" s="8"/>
      <c r="AF200" s="10" t="str">
        <f aca="false">IFERROR(INDEX(Lists!$B$3:$B$7,MATCH(AE200,Lists!$A$3:$A$7,0)),"")</f>
        <v/>
      </c>
      <c r="AG200" s="8"/>
      <c r="AH200" s="8"/>
      <c r="AI200" s="8"/>
      <c r="AJ200" s="8"/>
      <c r="AK200" s="8"/>
      <c r="AL200" s="8"/>
      <c r="AM200" s="11" t="str">
        <f aca="false">IF(OR(AJ200="",AJ200=0),"",AL200/AJ200)</f>
        <v/>
      </c>
      <c r="AN200" s="8"/>
      <c r="AO200" s="8"/>
      <c r="AP200" s="10" t="str">
        <f aca="false">IF(AN200="","Not assessed",IF(AND(R200="No",AN200="Gap - recommend tailoring"),"INVALID: HSSB is not tailorable",IF(OR(Z200="",Z200=0),"NO NAMED EXECUTOR",IF(AND(N(AF200)&gt;=3,AJ200=""),"Operating claimed with no sample",IF(AND(N(AF200)&gt;=3,Z200=1),"Operating rests on one individual",IF(AND(N(AF200)&gt;=3,AB200&lt;&gt;"Yes"),"Operating claimed below designed credential",IF(AND(R200="No",N(AF200)&lt;3),"HSSB GATE: below Operating",IF(AND(N(AF200)&gt;=3,AJ200&lt;&gt;"",AL200=""),"Sample size with no conforming count","OK"))))))))</f>
        <v>Not assessed</v>
      </c>
      <c r="AQ200" s="8"/>
      <c r="AR200" s="8"/>
      <c r="AS200" s="8"/>
    </row>
    <row r="201" customFormat="false" ht="22.35" hidden="false" customHeight="false" outlineLevel="0" collapsed="false">
      <c r="A201" s="6" t="s">
        <v>502</v>
      </c>
      <c r="B201" s="6" t="s">
        <v>288</v>
      </c>
      <c r="C201" s="6" t="s">
        <v>500</v>
      </c>
      <c r="D201" s="6" t="s">
        <v>501</v>
      </c>
      <c r="E201" s="6" t="s">
        <v>88</v>
      </c>
      <c r="F201" s="7"/>
      <c r="G201" s="6" t="s">
        <v>82</v>
      </c>
      <c r="H201" s="6"/>
      <c r="I201" s="6"/>
      <c r="J201" s="6"/>
      <c r="K201" s="6"/>
      <c r="L201" s="6" t="s">
        <v>83</v>
      </c>
      <c r="M201" s="6" t="s">
        <v>84</v>
      </c>
      <c r="N201" s="6"/>
      <c r="O201" s="6"/>
      <c r="P201" s="6"/>
      <c r="Q201" s="6"/>
      <c r="R201" s="6" t="s">
        <v>85</v>
      </c>
      <c r="S201" s="6"/>
      <c r="T201" s="6" t="s">
        <v>294</v>
      </c>
      <c r="U201" s="8"/>
      <c r="V201" s="8"/>
      <c r="W201" s="8"/>
      <c r="X201" s="8"/>
      <c r="Y201" s="9"/>
      <c r="Z201" s="9"/>
      <c r="AA201" s="9"/>
      <c r="AB201" s="9"/>
      <c r="AC201" s="10" t="str">
        <f aca="false">IF(Z201="","",IF(Z201=0,"Unassigned",IF(Z201=1,"Single point",IF(AB201="Yes","Staffed and credentialed","Staffed, credential gap"))))</f>
        <v/>
      </c>
      <c r="AD201" s="10" t="str">
        <f aca="false">IFERROR(INDEX(Lists!$H$3:$H$6,MATCH(AC201,Lists!$G$3:$G$6,0)),"")</f>
        <v/>
      </c>
      <c r="AE201" s="8"/>
      <c r="AF201" s="10" t="str">
        <f aca="false">IFERROR(INDEX(Lists!$B$3:$B$7,MATCH(AE201,Lists!$A$3:$A$7,0)),"")</f>
        <v/>
      </c>
      <c r="AG201" s="8"/>
      <c r="AH201" s="8"/>
      <c r="AI201" s="8"/>
      <c r="AJ201" s="8"/>
      <c r="AK201" s="8"/>
      <c r="AL201" s="8"/>
      <c r="AM201" s="11" t="str">
        <f aca="false">IF(OR(AJ201="",AJ201=0),"",AL201/AJ201)</f>
        <v/>
      </c>
      <c r="AN201" s="8"/>
      <c r="AO201" s="8"/>
      <c r="AP201" s="10" t="str">
        <f aca="false">IF(AN201="","Not assessed",IF(AND(R201="No",AN201="Gap - recommend tailoring"),"INVALID: HSSB is not tailorable",IF(OR(Z201="",Z201=0),"NO NAMED EXECUTOR",IF(AND(N(AF201)&gt;=3,AJ201=""),"Operating claimed with no sample",IF(AND(N(AF201)&gt;=3,Z201=1),"Operating rests on one individual",IF(AND(N(AF201)&gt;=3,AB201&lt;&gt;"Yes"),"Operating claimed below designed credential",IF(AND(R201="No",N(AF201)&lt;3),"HSSB GATE: below Operating",IF(AND(N(AF201)&gt;=3,AJ201&lt;&gt;"",AL201=""),"Sample size with no conforming count","OK"))))))))</f>
        <v>Not assessed</v>
      </c>
      <c r="AQ201" s="8"/>
      <c r="AR201" s="8"/>
      <c r="AS201" s="8"/>
    </row>
    <row r="202" customFormat="false" ht="22.35" hidden="false" customHeight="false" outlineLevel="0" collapsed="false">
      <c r="A202" s="6" t="s">
        <v>503</v>
      </c>
      <c r="B202" s="6" t="s">
        <v>288</v>
      </c>
      <c r="C202" s="6" t="s">
        <v>504</v>
      </c>
      <c r="D202" s="6" t="s">
        <v>505</v>
      </c>
      <c r="E202" s="6" t="s">
        <v>81</v>
      </c>
      <c r="F202" s="7"/>
      <c r="G202" s="6" t="s">
        <v>82</v>
      </c>
      <c r="H202" s="6"/>
      <c r="I202" s="6"/>
      <c r="J202" s="6"/>
      <c r="K202" s="6"/>
      <c r="L202" s="6" t="s">
        <v>83</v>
      </c>
      <c r="M202" s="6" t="s">
        <v>84</v>
      </c>
      <c r="N202" s="6"/>
      <c r="O202" s="6"/>
      <c r="P202" s="6"/>
      <c r="Q202" s="6"/>
      <c r="R202" s="6" t="s">
        <v>85</v>
      </c>
      <c r="S202" s="6"/>
      <c r="T202" s="6" t="s">
        <v>294</v>
      </c>
      <c r="U202" s="8"/>
      <c r="V202" s="8"/>
      <c r="W202" s="8"/>
      <c r="X202" s="8"/>
      <c r="Y202" s="9"/>
      <c r="Z202" s="9"/>
      <c r="AA202" s="9"/>
      <c r="AB202" s="9"/>
      <c r="AC202" s="10" t="str">
        <f aca="false">IF(Z202="","",IF(Z202=0,"Unassigned",IF(Z202=1,"Single point",IF(AB202="Yes","Staffed and credentialed","Staffed, credential gap"))))</f>
        <v/>
      </c>
      <c r="AD202" s="10" t="str">
        <f aca="false">IFERROR(INDEX(Lists!$H$3:$H$6,MATCH(AC202,Lists!$G$3:$G$6,0)),"")</f>
        <v/>
      </c>
      <c r="AE202" s="8"/>
      <c r="AF202" s="10" t="str">
        <f aca="false">IFERROR(INDEX(Lists!$B$3:$B$7,MATCH(AE202,Lists!$A$3:$A$7,0)),"")</f>
        <v/>
      </c>
      <c r="AG202" s="8"/>
      <c r="AH202" s="8"/>
      <c r="AI202" s="8"/>
      <c r="AJ202" s="8"/>
      <c r="AK202" s="8"/>
      <c r="AL202" s="8"/>
      <c r="AM202" s="11" t="str">
        <f aca="false">IF(OR(AJ202="",AJ202=0),"",AL202/AJ202)</f>
        <v/>
      </c>
      <c r="AN202" s="8"/>
      <c r="AO202" s="8"/>
      <c r="AP202" s="10" t="str">
        <f aca="false">IF(AN202="","Not assessed",IF(AND(R202="No",AN202="Gap - recommend tailoring"),"INVALID: HSSB is not tailorable",IF(OR(Z202="",Z202=0),"NO NAMED EXECUTOR",IF(AND(N(AF202)&gt;=3,AJ202=""),"Operating claimed with no sample",IF(AND(N(AF202)&gt;=3,Z202=1),"Operating rests on one individual",IF(AND(N(AF202)&gt;=3,AB202&lt;&gt;"Yes"),"Operating claimed below designed credential",IF(AND(R202="No",N(AF202)&lt;3),"HSSB GATE: below Operating",IF(AND(N(AF202)&gt;=3,AJ202&lt;&gt;"",AL202=""),"Sample size with no conforming count","OK"))))))))</f>
        <v>Not assessed</v>
      </c>
      <c r="AQ202" s="8"/>
      <c r="AR202" s="8"/>
      <c r="AS202" s="8"/>
    </row>
    <row r="203" customFormat="false" ht="22.35" hidden="false" customHeight="false" outlineLevel="0" collapsed="false">
      <c r="A203" s="6" t="s">
        <v>506</v>
      </c>
      <c r="B203" s="6" t="s">
        <v>288</v>
      </c>
      <c r="C203" s="6" t="s">
        <v>507</v>
      </c>
      <c r="D203" s="6" t="s">
        <v>508</v>
      </c>
      <c r="E203" s="6" t="s">
        <v>81</v>
      </c>
      <c r="F203" s="7"/>
      <c r="G203" s="6" t="s">
        <v>82</v>
      </c>
      <c r="H203" s="6"/>
      <c r="I203" s="6"/>
      <c r="J203" s="6"/>
      <c r="K203" s="6"/>
      <c r="L203" s="6" t="s">
        <v>83</v>
      </c>
      <c r="M203" s="6" t="s">
        <v>84</v>
      </c>
      <c r="N203" s="6"/>
      <c r="O203" s="6"/>
      <c r="P203" s="6"/>
      <c r="Q203" s="6"/>
      <c r="R203" s="6" t="s">
        <v>85</v>
      </c>
      <c r="S203" s="6" t="s">
        <v>509</v>
      </c>
      <c r="T203" s="6" t="s">
        <v>294</v>
      </c>
      <c r="U203" s="8"/>
      <c r="V203" s="8"/>
      <c r="W203" s="8"/>
      <c r="X203" s="8"/>
      <c r="Y203" s="9"/>
      <c r="Z203" s="9"/>
      <c r="AA203" s="9"/>
      <c r="AB203" s="9"/>
      <c r="AC203" s="10" t="str">
        <f aca="false">IF(Z203="","",IF(Z203=0,"Unassigned",IF(Z203=1,"Single point",IF(AB203="Yes","Staffed and credentialed","Staffed, credential gap"))))</f>
        <v/>
      </c>
      <c r="AD203" s="10" t="str">
        <f aca="false">IFERROR(INDEX(Lists!$H$3:$H$6,MATCH(AC203,Lists!$G$3:$G$6,0)),"")</f>
        <v/>
      </c>
      <c r="AE203" s="8"/>
      <c r="AF203" s="10" t="str">
        <f aca="false">IFERROR(INDEX(Lists!$B$3:$B$7,MATCH(AE203,Lists!$A$3:$A$7,0)),"")</f>
        <v/>
      </c>
      <c r="AG203" s="8"/>
      <c r="AH203" s="8"/>
      <c r="AI203" s="8"/>
      <c r="AJ203" s="8"/>
      <c r="AK203" s="8"/>
      <c r="AL203" s="8"/>
      <c r="AM203" s="11" t="str">
        <f aca="false">IF(OR(AJ203="",AJ203=0),"",AL203/AJ203)</f>
        <v/>
      </c>
      <c r="AN203" s="8"/>
      <c r="AO203" s="8"/>
      <c r="AP203" s="10" t="str">
        <f aca="false">IF(AN203="","Not assessed",IF(AND(R203="No",AN203="Gap - recommend tailoring"),"INVALID: HSSB is not tailorable",IF(OR(Z203="",Z203=0),"NO NAMED EXECUTOR",IF(AND(N(AF203)&gt;=3,AJ203=""),"Operating claimed with no sample",IF(AND(N(AF203)&gt;=3,Z203=1),"Operating rests on one individual",IF(AND(N(AF203)&gt;=3,AB203&lt;&gt;"Yes"),"Operating claimed below designed credential",IF(AND(R203="No",N(AF203)&lt;3),"HSSB GATE: below Operating",IF(AND(N(AF203)&gt;=3,AJ203&lt;&gt;"",AL203=""),"Sample size with no conforming count","OK"))))))))</f>
        <v>Not assessed</v>
      </c>
      <c r="AQ203" s="8"/>
      <c r="AR203" s="8"/>
      <c r="AS203" s="8"/>
    </row>
    <row r="204" customFormat="false" ht="22.35" hidden="false" customHeight="false" outlineLevel="0" collapsed="false">
      <c r="A204" s="6" t="s">
        <v>510</v>
      </c>
      <c r="B204" s="6" t="s">
        <v>288</v>
      </c>
      <c r="C204" s="6" t="s">
        <v>507</v>
      </c>
      <c r="D204" s="6" t="s">
        <v>508</v>
      </c>
      <c r="E204" s="6" t="s">
        <v>88</v>
      </c>
      <c r="F204" s="7"/>
      <c r="G204" s="6" t="s">
        <v>82</v>
      </c>
      <c r="H204" s="6"/>
      <c r="I204" s="6"/>
      <c r="J204" s="6"/>
      <c r="K204" s="6"/>
      <c r="L204" s="6" t="s">
        <v>83</v>
      </c>
      <c r="M204" s="6" t="s">
        <v>84</v>
      </c>
      <c r="N204" s="6"/>
      <c r="O204" s="6"/>
      <c r="P204" s="6"/>
      <c r="Q204" s="6"/>
      <c r="R204" s="6" t="s">
        <v>85</v>
      </c>
      <c r="S204" s="6" t="s">
        <v>509</v>
      </c>
      <c r="T204" s="6" t="s">
        <v>294</v>
      </c>
      <c r="U204" s="8"/>
      <c r="V204" s="8"/>
      <c r="W204" s="8"/>
      <c r="X204" s="8"/>
      <c r="Y204" s="9"/>
      <c r="Z204" s="9"/>
      <c r="AA204" s="9"/>
      <c r="AB204" s="9"/>
      <c r="AC204" s="10" t="str">
        <f aca="false">IF(Z204="","",IF(Z204=0,"Unassigned",IF(Z204=1,"Single point",IF(AB204="Yes","Staffed and credentialed","Staffed, credential gap"))))</f>
        <v/>
      </c>
      <c r="AD204" s="10" t="str">
        <f aca="false">IFERROR(INDEX(Lists!$H$3:$H$6,MATCH(AC204,Lists!$G$3:$G$6,0)),"")</f>
        <v/>
      </c>
      <c r="AE204" s="8"/>
      <c r="AF204" s="10" t="str">
        <f aca="false">IFERROR(INDEX(Lists!$B$3:$B$7,MATCH(AE204,Lists!$A$3:$A$7,0)),"")</f>
        <v/>
      </c>
      <c r="AG204" s="8"/>
      <c r="AH204" s="8"/>
      <c r="AI204" s="8"/>
      <c r="AJ204" s="8"/>
      <c r="AK204" s="8"/>
      <c r="AL204" s="8"/>
      <c r="AM204" s="11" t="str">
        <f aca="false">IF(OR(AJ204="",AJ204=0),"",AL204/AJ204)</f>
        <v/>
      </c>
      <c r="AN204" s="8"/>
      <c r="AO204" s="8"/>
      <c r="AP204" s="10" t="str">
        <f aca="false">IF(AN204="","Not assessed",IF(AND(R204="No",AN204="Gap - recommend tailoring"),"INVALID: HSSB is not tailorable",IF(OR(Z204="",Z204=0),"NO NAMED EXECUTOR",IF(AND(N(AF204)&gt;=3,AJ204=""),"Operating claimed with no sample",IF(AND(N(AF204)&gt;=3,Z204=1),"Operating rests on one individual",IF(AND(N(AF204)&gt;=3,AB204&lt;&gt;"Yes"),"Operating claimed below designed credential",IF(AND(R204="No",N(AF204)&lt;3),"HSSB GATE: below Operating",IF(AND(N(AF204)&gt;=3,AJ204&lt;&gt;"",AL204=""),"Sample size with no conforming count","OK"))))))))</f>
        <v>Not assessed</v>
      </c>
      <c r="AQ204" s="8"/>
      <c r="AR204" s="8"/>
      <c r="AS204" s="8"/>
    </row>
    <row r="205" customFormat="false" ht="22.35" hidden="false" customHeight="false" outlineLevel="0" collapsed="false">
      <c r="A205" s="12" t="s">
        <v>511</v>
      </c>
      <c r="B205" s="12" t="s">
        <v>288</v>
      </c>
      <c r="C205" s="12" t="s">
        <v>512</v>
      </c>
      <c r="D205" s="12" t="s">
        <v>513</v>
      </c>
      <c r="E205" s="12" t="s">
        <v>81</v>
      </c>
      <c r="F205" s="12"/>
      <c r="G205" s="13" t="s">
        <v>85</v>
      </c>
      <c r="H205" s="13" t="s">
        <v>514</v>
      </c>
      <c r="I205" s="12" t="s">
        <v>240</v>
      </c>
      <c r="J205" s="12" t="s">
        <v>322</v>
      </c>
      <c r="K205" s="12" t="s">
        <v>242</v>
      </c>
      <c r="L205" s="12" t="s">
        <v>243</v>
      </c>
      <c r="M205" s="12" t="s">
        <v>94</v>
      </c>
      <c r="N205" s="12" t="s">
        <v>244</v>
      </c>
      <c r="O205" s="12" t="s">
        <v>195</v>
      </c>
      <c r="P205" s="12" t="s">
        <v>245</v>
      </c>
      <c r="Q205" s="12" t="s">
        <v>96</v>
      </c>
      <c r="R205" s="12" t="s">
        <v>82</v>
      </c>
      <c r="S205" s="12" t="s">
        <v>515</v>
      </c>
      <c r="T205" s="12" t="s">
        <v>294</v>
      </c>
      <c r="U205" s="8"/>
      <c r="V205" s="8"/>
      <c r="W205" s="8"/>
      <c r="X205" s="8"/>
      <c r="Y205" s="9"/>
      <c r="Z205" s="9"/>
      <c r="AA205" s="9"/>
      <c r="AB205" s="9"/>
      <c r="AC205" s="10" t="str">
        <f aca="false">IF(Z205="","",IF(Z205=0,"Unassigned",IF(Z205=1,"Single point",IF(AB205="Yes","Staffed and credentialed","Staffed, credential gap"))))</f>
        <v/>
      </c>
      <c r="AD205" s="10" t="str">
        <f aca="false">IFERROR(INDEX(Lists!$H$3:$H$6,MATCH(AC205,Lists!$G$3:$G$6,0)),"")</f>
        <v/>
      </c>
      <c r="AE205" s="8"/>
      <c r="AF205" s="10" t="str">
        <f aca="false">IFERROR(INDEX(Lists!$B$3:$B$7,MATCH(AE205,Lists!$A$3:$A$7,0)),"")</f>
        <v/>
      </c>
      <c r="AG205" s="8"/>
      <c r="AH205" s="8"/>
      <c r="AI205" s="8"/>
      <c r="AJ205" s="8"/>
      <c r="AK205" s="8"/>
      <c r="AL205" s="8"/>
      <c r="AM205" s="11" t="str">
        <f aca="false">IF(OR(AJ205="",AJ205=0),"",AL205/AJ205)</f>
        <v/>
      </c>
      <c r="AN205" s="8"/>
      <c r="AO205" s="8"/>
      <c r="AP205" s="10" t="str">
        <f aca="false">IF(AN205="","Not assessed",IF(AND(R205="No",AN205="Gap - recommend tailoring"),"INVALID: HSSB is not tailorable",IF(OR(Z205="",Z205=0),"NO NAMED EXECUTOR",IF(AND(N(AF205)&gt;=3,AJ205=""),"Operating claimed with no sample",IF(AND(N(AF205)&gt;=3,Z205=1),"Operating rests on one individual",IF(AND(N(AF205)&gt;=3,AB205&lt;&gt;"Yes"),"Operating claimed below designed credential",IF(AND(R205="No",N(AF205)&lt;3),"HSSB GATE: below Operating",IF(AND(N(AF205)&gt;=3,AJ205&lt;&gt;"",AL205=""),"Sample size with no conforming count","OK"))))))))</f>
        <v>Not assessed</v>
      </c>
      <c r="AQ205" s="8"/>
      <c r="AR205" s="8"/>
      <c r="AS205" s="8"/>
    </row>
    <row r="206" customFormat="false" ht="22.35" hidden="false" customHeight="false" outlineLevel="0" collapsed="false">
      <c r="A206" s="12" t="s">
        <v>516</v>
      </c>
      <c r="B206" s="12" t="s">
        <v>288</v>
      </c>
      <c r="C206" s="12" t="s">
        <v>512</v>
      </c>
      <c r="D206" s="12" t="s">
        <v>513</v>
      </c>
      <c r="E206" s="12" t="s">
        <v>88</v>
      </c>
      <c r="F206" s="12"/>
      <c r="G206" s="13" t="s">
        <v>85</v>
      </c>
      <c r="H206" s="13" t="s">
        <v>517</v>
      </c>
      <c r="I206" s="12" t="s">
        <v>240</v>
      </c>
      <c r="J206" s="12" t="s">
        <v>322</v>
      </c>
      <c r="K206" s="12" t="s">
        <v>242</v>
      </c>
      <c r="L206" s="12" t="s">
        <v>243</v>
      </c>
      <c r="M206" s="12" t="s">
        <v>94</v>
      </c>
      <c r="N206" s="12" t="s">
        <v>244</v>
      </c>
      <c r="O206" s="12" t="s">
        <v>195</v>
      </c>
      <c r="P206" s="12" t="s">
        <v>245</v>
      </c>
      <c r="Q206" s="12" t="s">
        <v>96</v>
      </c>
      <c r="R206" s="12" t="s">
        <v>82</v>
      </c>
      <c r="S206" s="12" t="s">
        <v>515</v>
      </c>
      <c r="T206" s="12" t="s">
        <v>294</v>
      </c>
      <c r="U206" s="8"/>
      <c r="V206" s="8"/>
      <c r="W206" s="8"/>
      <c r="X206" s="8"/>
      <c r="Y206" s="9"/>
      <c r="Z206" s="9"/>
      <c r="AA206" s="9"/>
      <c r="AB206" s="9"/>
      <c r="AC206" s="10" t="str">
        <f aca="false">IF(Z206="","",IF(Z206=0,"Unassigned",IF(Z206=1,"Single point",IF(AB206="Yes","Staffed and credentialed","Staffed, credential gap"))))</f>
        <v/>
      </c>
      <c r="AD206" s="10" t="str">
        <f aca="false">IFERROR(INDEX(Lists!$H$3:$H$6,MATCH(AC206,Lists!$G$3:$G$6,0)),"")</f>
        <v/>
      </c>
      <c r="AE206" s="8"/>
      <c r="AF206" s="10" t="str">
        <f aca="false">IFERROR(INDEX(Lists!$B$3:$B$7,MATCH(AE206,Lists!$A$3:$A$7,0)),"")</f>
        <v/>
      </c>
      <c r="AG206" s="8"/>
      <c r="AH206" s="8"/>
      <c r="AI206" s="8"/>
      <c r="AJ206" s="8"/>
      <c r="AK206" s="8"/>
      <c r="AL206" s="8"/>
      <c r="AM206" s="11" t="str">
        <f aca="false">IF(OR(AJ206="",AJ206=0),"",AL206/AJ206)</f>
        <v/>
      </c>
      <c r="AN206" s="8"/>
      <c r="AO206" s="8"/>
      <c r="AP206" s="10" t="str">
        <f aca="false">IF(AN206="","Not assessed",IF(AND(R206="No",AN206="Gap - recommend tailoring"),"INVALID: HSSB is not tailorable",IF(OR(Z206="",Z206=0),"NO NAMED EXECUTOR",IF(AND(N(AF206)&gt;=3,AJ206=""),"Operating claimed with no sample",IF(AND(N(AF206)&gt;=3,Z206=1),"Operating rests on one individual",IF(AND(N(AF206)&gt;=3,AB206&lt;&gt;"Yes"),"Operating claimed below designed credential",IF(AND(R206="No",N(AF206)&lt;3),"HSSB GATE: below Operating",IF(AND(N(AF206)&gt;=3,AJ206&lt;&gt;"",AL206=""),"Sample size with no conforming count","OK"))))))))</f>
        <v>Not assessed</v>
      </c>
      <c r="AQ206" s="8"/>
      <c r="AR206" s="8"/>
      <c r="AS206" s="8"/>
    </row>
    <row r="207" customFormat="false" ht="22.35" hidden="false" customHeight="false" outlineLevel="0" collapsed="false">
      <c r="A207" s="12" t="s">
        <v>518</v>
      </c>
      <c r="B207" s="12" t="s">
        <v>519</v>
      </c>
      <c r="C207" s="12" t="s">
        <v>520</v>
      </c>
      <c r="D207" s="12" t="s">
        <v>521</v>
      </c>
      <c r="E207" s="12" t="s">
        <v>81</v>
      </c>
      <c r="F207" s="12"/>
      <c r="G207" s="13" t="s">
        <v>85</v>
      </c>
      <c r="H207" s="13" t="s">
        <v>522</v>
      </c>
      <c r="I207" s="12" t="s">
        <v>523</v>
      </c>
      <c r="J207" s="12" t="s">
        <v>524</v>
      </c>
      <c r="K207" s="12" t="s">
        <v>525</v>
      </c>
      <c r="L207" s="12" t="s">
        <v>93</v>
      </c>
      <c r="M207" s="12" t="s">
        <v>94</v>
      </c>
      <c r="N207" s="12" t="s">
        <v>244</v>
      </c>
      <c r="O207" s="12" t="s">
        <v>195</v>
      </c>
      <c r="P207" s="12" t="s">
        <v>245</v>
      </c>
      <c r="Q207" s="12" t="s">
        <v>331</v>
      </c>
      <c r="R207" s="12" t="s">
        <v>82</v>
      </c>
      <c r="S207" s="12"/>
      <c r="T207" s="12" t="s">
        <v>526</v>
      </c>
      <c r="U207" s="8"/>
      <c r="V207" s="8"/>
      <c r="W207" s="8"/>
      <c r="X207" s="8"/>
      <c r="Y207" s="9"/>
      <c r="Z207" s="9"/>
      <c r="AA207" s="9"/>
      <c r="AB207" s="9"/>
      <c r="AC207" s="10" t="str">
        <f aca="false">IF(Z207="","",IF(Z207=0,"Unassigned",IF(Z207=1,"Single point",IF(AB207="Yes","Staffed and credentialed","Staffed, credential gap"))))</f>
        <v/>
      </c>
      <c r="AD207" s="10" t="str">
        <f aca="false">IFERROR(INDEX(Lists!$H$3:$H$6,MATCH(AC207,Lists!$G$3:$G$6,0)),"")</f>
        <v/>
      </c>
      <c r="AE207" s="8"/>
      <c r="AF207" s="10" t="str">
        <f aca="false">IFERROR(INDEX(Lists!$B$3:$B$7,MATCH(AE207,Lists!$A$3:$A$7,0)),"")</f>
        <v/>
      </c>
      <c r="AG207" s="8"/>
      <c r="AH207" s="8"/>
      <c r="AI207" s="8"/>
      <c r="AJ207" s="8"/>
      <c r="AK207" s="8"/>
      <c r="AL207" s="8"/>
      <c r="AM207" s="11" t="str">
        <f aca="false">IF(OR(AJ207="",AJ207=0),"",AL207/AJ207)</f>
        <v/>
      </c>
      <c r="AN207" s="8"/>
      <c r="AO207" s="8"/>
      <c r="AP207" s="10" t="str">
        <f aca="false">IF(AN207="","Not assessed",IF(AND(R207="No",AN207="Gap - recommend tailoring"),"INVALID: HSSB is not tailorable",IF(OR(Z207="",Z207=0),"NO NAMED EXECUTOR",IF(AND(N(AF207)&gt;=3,AJ207=""),"Operating claimed with no sample",IF(AND(N(AF207)&gt;=3,Z207=1),"Operating rests on one individual",IF(AND(N(AF207)&gt;=3,AB207&lt;&gt;"Yes"),"Operating claimed below designed credential",IF(AND(R207="No",N(AF207)&lt;3),"HSSB GATE: below Operating",IF(AND(N(AF207)&gt;=3,AJ207&lt;&gt;"",AL207=""),"Sample size with no conforming count","OK"))))))))</f>
        <v>Not assessed</v>
      </c>
      <c r="AQ207" s="8"/>
      <c r="AR207" s="8"/>
      <c r="AS207" s="8"/>
    </row>
    <row r="208" customFormat="false" ht="22.35" hidden="false" customHeight="false" outlineLevel="0" collapsed="false">
      <c r="A208" s="6" t="s">
        <v>527</v>
      </c>
      <c r="B208" s="6" t="s">
        <v>519</v>
      </c>
      <c r="C208" s="6" t="s">
        <v>520</v>
      </c>
      <c r="D208" s="6" t="s">
        <v>521</v>
      </c>
      <c r="E208" s="6" t="s">
        <v>88</v>
      </c>
      <c r="F208" s="7"/>
      <c r="G208" s="6" t="s">
        <v>82</v>
      </c>
      <c r="H208" s="6"/>
      <c r="I208" s="6"/>
      <c r="J208" s="6"/>
      <c r="K208" s="6"/>
      <c r="L208" s="6" t="s">
        <v>83</v>
      </c>
      <c r="M208" s="6" t="s">
        <v>84</v>
      </c>
      <c r="N208" s="6"/>
      <c r="O208" s="6"/>
      <c r="P208" s="6"/>
      <c r="Q208" s="6"/>
      <c r="R208" s="6" t="s">
        <v>85</v>
      </c>
      <c r="S208" s="6"/>
      <c r="T208" s="6" t="s">
        <v>526</v>
      </c>
      <c r="U208" s="8"/>
      <c r="V208" s="8"/>
      <c r="W208" s="8"/>
      <c r="X208" s="8"/>
      <c r="Y208" s="9"/>
      <c r="Z208" s="9"/>
      <c r="AA208" s="9"/>
      <c r="AB208" s="9"/>
      <c r="AC208" s="10" t="str">
        <f aca="false">IF(Z208="","",IF(Z208=0,"Unassigned",IF(Z208=1,"Single point",IF(AB208="Yes","Staffed and credentialed","Staffed, credential gap"))))</f>
        <v/>
      </c>
      <c r="AD208" s="10" t="str">
        <f aca="false">IFERROR(INDEX(Lists!$H$3:$H$6,MATCH(AC208,Lists!$G$3:$G$6,0)),"")</f>
        <v/>
      </c>
      <c r="AE208" s="8"/>
      <c r="AF208" s="10" t="str">
        <f aca="false">IFERROR(INDEX(Lists!$B$3:$B$7,MATCH(AE208,Lists!$A$3:$A$7,0)),"")</f>
        <v/>
      </c>
      <c r="AG208" s="8"/>
      <c r="AH208" s="8"/>
      <c r="AI208" s="8"/>
      <c r="AJ208" s="8"/>
      <c r="AK208" s="8"/>
      <c r="AL208" s="8"/>
      <c r="AM208" s="11" t="str">
        <f aca="false">IF(OR(AJ208="",AJ208=0),"",AL208/AJ208)</f>
        <v/>
      </c>
      <c r="AN208" s="8"/>
      <c r="AO208" s="8"/>
      <c r="AP208" s="10" t="str">
        <f aca="false">IF(AN208="","Not assessed",IF(AND(R208="No",AN208="Gap - recommend tailoring"),"INVALID: HSSB is not tailorable",IF(OR(Z208="",Z208=0),"NO NAMED EXECUTOR",IF(AND(N(AF208)&gt;=3,AJ208=""),"Operating claimed with no sample",IF(AND(N(AF208)&gt;=3,Z208=1),"Operating rests on one individual",IF(AND(N(AF208)&gt;=3,AB208&lt;&gt;"Yes"),"Operating claimed below designed credential",IF(AND(R208="No",N(AF208)&lt;3),"HSSB GATE: below Operating",IF(AND(N(AF208)&gt;=3,AJ208&lt;&gt;"",AL208=""),"Sample size with no conforming count","OK"))))))))</f>
        <v>Not assessed</v>
      </c>
      <c r="AQ208" s="8"/>
      <c r="AR208" s="8"/>
      <c r="AS208" s="8"/>
    </row>
    <row r="209" customFormat="false" ht="22.35" hidden="false" customHeight="false" outlineLevel="0" collapsed="false">
      <c r="A209" s="6" t="s">
        <v>528</v>
      </c>
      <c r="B209" s="6" t="s">
        <v>519</v>
      </c>
      <c r="C209" s="6" t="s">
        <v>529</v>
      </c>
      <c r="D209" s="6" t="s">
        <v>530</v>
      </c>
      <c r="E209" s="6" t="s">
        <v>81</v>
      </c>
      <c r="F209" s="7"/>
      <c r="G209" s="6" t="s">
        <v>82</v>
      </c>
      <c r="H209" s="6"/>
      <c r="I209" s="6"/>
      <c r="J209" s="6"/>
      <c r="K209" s="6"/>
      <c r="L209" s="6" t="s">
        <v>83</v>
      </c>
      <c r="M209" s="6" t="s">
        <v>84</v>
      </c>
      <c r="N209" s="6"/>
      <c r="O209" s="6"/>
      <c r="P209" s="6"/>
      <c r="Q209" s="6"/>
      <c r="R209" s="6" t="s">
        <v>85</v>
      </c>
      <c r="S209" s="6" t="s">
        <v>531</v>
      </c>
      <c r="T209" s="6" t="s">
        <v>526</v>
      </c>
      <c r="U209" s="8"/>
      <c r="V209" s="8"/>
      <c r="W209" s="8"/>
      <c r="X209" s="8"/>
      <c r="Y209" s="9"/>
      <c r="Z209" s="9"/>
      <c r="AA209" s="9"/>
      <c r="AB209" s="9"/>
      <c r="AC209" s="10" t="str">
        <f aca="false">IF(Z209="","",IF(Z209=0,"Unassigned",IF(Z209=1,"Single point",IF(AB209="Yes","Staffed and credentialed","Staffed, credential gap"))))</f>
        <v/>
      </c>
      <c r="AD209" s="10" t="str">
        <f aca="false">IFERROR(INDEX(Lists!$H$3:$H$6,MATCH(AC209,Lists!$G$3:$G$6,0)),"")</f>
        <v/>
      </c>
      <c r="AE209" s="8"/>
      <c r="AF209" s="10" t="str">
        <f aca="false">IFERROR(INDEX(Lists!$B$3:$B$7,MATCH(AE209,Lists!$A$3:$A$7,0)),"")</f>
        <v/>
      </c>
      <c r="AG209" s="8"/>
      <c r="AH209" s="8"/>
      <c r="AI209" s="8"/>
      <c r="AJ209" s="8"/>
      <c r="AK209" s="8"/>
      <c r="AL209" s="8"/>
      <c r="AM209" s="11" t="str">
        <f aca="false">IF(OR(AJ209="",AJ209=0),"",AL209/AJ209)</f>
        <v/>
      </c>
      <c r="AN209" s="8"/>
      <c r="AO209" s="8"/>
      <c r="AP209" s="10" t="str">
        <f aca="false">IF(AN209="","Not assessed",IF(AND(R209="No",AN209="Gap - recommend tailoring"),"INVALID: HSSB is not tailorable",IF(OR(Z209="",Z209=0),"NO NAMED EXECUTOR",IF(AND(N(AF209)&gt;=3,AJ209=""),"Operating claimed with no sample",IF(AND(N(AF209)&gt;=3,Z209=1),"Operating rests on one individual",IF(AND(N(AF209)&gt;=3,AB209&lt;&gt;"Yes"),"Operating claimed below designed credential",IF(AND(R209="No",N(AF209)&lt;3),"HSSB GATE: below Operating",IF(AND(N(AF209)&gt;=3,AJ209&lt;&gt;"",AL209=""),"Sample size with no conforming count","OK"))))))))</f>
        <v>Not assessed</v>
      </c>
      <c r="AQ209" s="8"/>
      <c r="AR209" s="8"/>
      <c r="AS209" s="8"/>
    </row>
    <row r="210" customFormat="false" ht="22.35" hidden="false" customHeight="false" outlineLevel="0" collapsed="false">
      <c r="A210" s="12" t="s">
        <v>532</v>
      </c>
      <c r="B210" s="12" t="s">
        <v>519</v>
      </c>
      <c r="C210" s="12" t="s">
        <v>529</v>
      </c>
      <c r="D210" s="12" t="s">
        <v>530</v>
      </c>
      <c r="E210" s="12" t="s">
        <v>88</v>
      </c>
      <c r="F210" s="12"/>
      <c r="G210" s="13" t="s">
        <v>85</v>
      </c>
      <c r="H210" s="13" t="s">
        <v>533</v>
      </c>
      <c r="I210" s="12" t="s">
        <v>523</v>
      </c>
      <c r="J210" s="12" t="s">
        <v>524</v>
      </c>
      <c r="K210" s="12" t="s">
        <v>525</v>
      </c>
      <c r="L210" s="12" t="s">
        <v>93</v>
      </c>
      <c r="M210" s="12" t="s">
        <v>94</v>
      </c>
      <c r="N210" s="12" t="s">
        <v>244</v>
      </c>
      <c r="O210" s="12" t="s">
        <v>195</v>
      </c>
      <c r="P210" s="12" t="s">
        <v>245</v>
      </c>
      <c r="Q210" s="12" t="s">
        <v>331</v>
      </c>
      <c r="R210" s="12" t="s">
        <v>82</v>
      </c>
      <c r="S210" s="12" t="s">
        <v>531</v>
      </c>
      <c r="T210" s="12" t="s">
        <v>526</v>
      </c>
      <c r="U210" s="8"/>
      <c r="V210" s="8"/>
      <c r="W210" s="8"/>
      <c r="X210" s="8"/>
      <c r="Y210" s="9"/>
      <c r="Z210" s="9"/>
      <c r="AA210" s="9"/>
      <c r="AB210" s="9"/>
      <c r="AC210" s="10" t="str">
        <f aca="false">IF(Z210="","",IF(Z210=0,"Unassigned",IF(Z210=1,"Single point",IF(AB210="Yes","Staffed and credentialed","Staffed, credential gap"))))</f>
        <v/>
      </c>
      <c r="AD210" s="10" t="str">
        <f aca="false">IFERROR(INDEX(Lists!$H$3:$H$6,MATCH(AC210,Lists!$G$3:$G$6,0)),"")</f>
        <v/>
      </c>
      <c r="AE210" s="8"/>
      <c r="AF210" s="10" t="str">
        <f aca="false">IFERROR(INDEX(Lists!$B$3:$B$7,MATCH(AE210,Lists!$A$3:$A$7,0)),"")</f>
        <v/>
      </c>
      <c r="AG210" s="8"/>
      <c r="AH210" s="8"/>
      <c r="AI210" s="8"/>
      <c r="AJ210" s="8"/>
      <c r="AK210" s="8"/>
      <c r="AL210" s="8"/>
      <c r="AM210" s="11" t="str">
        <f aca="false">IF(OR(AJ210="",AJ210=0),"",AL210/AJ210)</f>
        <v/>
      </c>
      <c r="AN210" s="8"/>
      <c r="AO210" s="8"/>
      <c r="AP210" s="10" t="str">
        <f aca="false">IF(AN210="","Not assessed",IF(AND(R210="No",AN210="Gap - recommend tailoring"),"INVALID: HSSB is not tailorable",IF(OR(Z210="",Z210=0),"NO NAMED EXECUTOR",IF(AND(N(AF210)&gt;=3,AJ210=""),"Operating claimed with no sample",IF(AND(N(AF210)&gt;=3,Z210=1),"Operating rests on one individual",IF(AND(N(AF210)&gt;=3,AB210&lt;&gt;"Yes"),"Operating claimed below designed credential",IF(AND(R210="No",N(AF210)&lt;3),"HSSB GATE: below Operating",IF(AND(N(AF210)&gt;=3,AJ210&lt;&gt;"",AL210=""),"Sample size with no conforming count","OK"))))))))</f>
        <v>Not assessed</v>
      </c>
      <c r="AQ210" s="8"/>
      <c r="AR210" s="8"/>
      <c r="AS210" s="8"/>
    </row>
    <row r="211" customFormat="false" ht="22.35" hidden="false" customHeight="false" outlineLevel="0" collapsed="false">
      <c r="A211" s="12" t="s">
        <v>534</v>
      </c>
      <c r="B211" s="12" t="s">
        <v>519</v>
      </c>
      <c r="C211" s="12" t="s">
        <v>529</v>
      </c>
      <c r="D211" s="12" t="s">
        <v>530</v>
      </c>
      <c r="E211" s="12" t="s">
        <v>178</v>
      </c>
      <c r="F211" s="12"/>
      <c r="G211" s="13" t="s">
        <v>85</v>
      </c>
      <c r="H211" s="13" t="s">
        <v>535</v>
      </c>
      <c r="I211" s="12" t="s">
        <v>523</v>
      </c>
      <c r="J211" s="12" t="s">
        <v>536</v>
      </c>
      <c r="K211" s="12" t="s">
        <v>537</v>
      </c>
      <c r="L211" s="12" t="s">
        <v>93</v>
      </c>
      <c r="M211" s="12" t="s">
        <v>94</v>
      </c>
      <c r="N211" s="12" t="s">
        <v>244</v>
      </c>
      <c r="O211" s="12" t="s">
        <v>195</v>
      </c>
      <c r="P211" s="12" t="s">
        <v>245</v>
      </c>
      <c r="Q211" s="12" t="s">
        <v>331</v>
      </c>
      <c r="R211" s="12" t="s">
        <v>82</v>
      </c>
      <c r="S211" s="12" t="s">
        <v>531</v>
      </c>
      <c r="T211" s="12" t="s">
        <v>526</v>
      </c>
      <c r="U211" s="8"/>
      <c r="V211" s="8"/>
      <c r="W211" s="8"/>
      <c r="X211" s="8"/>
      <c r="Y211" s="9"/>
      <c r="Z211" s="9"/>
      <c r="AA211" s="9"/>
      <c r="AB211" s="9"/>
      <c r="AC211" s="10" t="str">
        <f aca="false">IF(Z211="","",IF(Z211=0,"Unassigned",IF(Z211=1,"Single point",IF(AB211="Yes","Staffed and credentialed","Staffed, credential gap"))))</f>
        <v/>
      </c>
      <c r="AD211" s="10" t="str">
        <f aca="false">IFERROR(INDEX(Lists!$H$3:$H$6,MATCH(AC211,Lists!$G$3:$G$6,0)),"")</f>
        <v/>
      </c>
      <c r="AE211" s="8"/>
      <c r="AF211" s="10" t="str">
        <f aca="false">IFERROR(INDEX(Lists!$B$3:$B$7,MATCH(AE211,Lists!$A$3:$A$7,0)),"")</f>
        <v/>
      </c>
      <c r="AG211" s="8"/>
      <c r="AH211" s="8"/>
      <c r="AI211" s="8"/>
      <c r="AJ211" s="8"/>
      <c r="AK211" s="8"/>
      <c r="AL211" s="8"/>
      <c r="AM211" s="11" t="str">
        <f aca="false">IF(OR(AJ211="",AJ211=0),"",AL211/AJ211)</f>
        <v/>
      </c>
      <c r="AN211" s="8"/>
      <c r="AO211" s="8"/>
      <c r="AP211" s="10" t="str">
        <f aca="false">IF(AN211="","Not assessed",IF(AND(R211="No",AN211="Gap - recommend tailoring"),"INVALID: HSSB is not tailorable",IF(OR(Z211="",Z211=0),"NO NAMED EXECUTOR",IF(AND(N(AF211)&gt;=3,AJ211=""),"Operating claimed with no sample",IF(AND(N(AF211)&gt;=3,Z211=1),"Operating rests on one individual",IF(AND(N(AF211)&gt;=3,AB211&lt;&gt;"Yes"),"Operating claimed below designed credential",IF(AND(R211="No",N(AF211)&lt;3),"HSSB GATE: below Operating",IF(AND(N(AF211)&gt;=3,AJ211&lt;&gt;"",AL211=""),"Sample size with no conforming count","OK"))))))))</f>
        <v>Not assessed</v>
      </c>
      <c r="AQ211" s="8"/>
      <c r="AR211" s="8"/>
      <c r="AS211" s="8"/>
    </row>
    <row r="212" customFormat="false" ht="22.35" hidden="false" customHeight="false" outlineLevel="0" collapsed="false">
      <c r="A212" s="12" t="s">
        <v>538</v>
      </c>
      <c r="B212" s="12" t="s">
        <v>519</v>
      </c>
      <c r="C212" s="12" t="s">
        <v>529</v>
      </c>
      <c r="D212" s="12" t="s">
        <v>530</v>
      </c>
      <c r="E212" s="12" t="s">
        <v>180</v>
      </c>
      <c r="F212" s="12"/>
      <c r="G212" s="13" t="s">
        <v>85</v>
      </c>
      <c r="H212" s="13" t="s">
        <v>539</v>
      </c>
      <c r="I212" s="12" t="s">
        <v>523</v>
      </c>
      <c r="J212" s="12" t="s">
        <v>540</v>
      </c>
      <c r="K212" s="12" t="s">
        <v>541</v>
      </c>
      <c r="L212" s="12" t="s">
        <v>93</v>
      </c>
      <c r="M212" s="12" t="s">
        <v>94</v>
      </c>
      <c r="N212" s="12" t="s">
        <v>244</v>
      </c>
      <c r="O212" s="12" t="s">
        <v>195</v>
      </c>
      <c r="P212" s="12" t="s">
        <v>245</v>
      </c>
      <c r="Q212" s="12" t="s">
        <v>331</v>
      </c>
      <c r="R212" s="12" t="s">
        <v>82</v>
      </c>
      <c r="S212" s="12" t="s">
        <v>531</v>
      </c>
      <c r="T212" s="12" t="s">
        <v>526</v>
      </c>
      <c r="U212" s="8"/>
      <c r="V212" s="8"/>
      <c r="W212" s="8"/>
      <c r="X212" s="8"/>
      <c r="Y212" s="9"/>
      <c r="Z212" s="9"/>
      <c r="AA212" s="9"/>
      <c r="AB212" s="9"/>
      <c r="AC212" s="10" t="str">
        <f aca="false">IF(Z212="","",IF(Z212=0,"Unassigned",IF(Z212=1,"Single point",IF(AB212="Yes","Staffed and credentialed","Staffed, credential gap"))))</f>
        <v/>
      </c>
      <c r="AD212" s="10" t="str">
        <f aca="false">IFERROR(INDEX(Lists!$H$3:$H$6,MATCH(AC212,Lists!$G$3:$G$6,0)),"")</f>
        <v/>
      </c>
      <c r="AE212" s="8"/>
      <c r="AF212" s="10" t="str">
        <f aca="false">IFERROR(INDEX(Lists!$B$3:$B$7,MATCH(AE212,Lists!$A$3:$A$7,0)),"")</f>
        <v/>
      </c>
      <c r="AG212" s="8"/>
      <c r="AH212" s="8"/>
      <c r="AI212" s="8"/>
      <c r="AJ212" s="8"/>
      <c r="AK212" s="8"/>
      <c r="AL212" s="8"/>
      <c r="AM212" s="11" t="str">
        <f aca="false">IF(OR(AJ212="",AJ212=0),"",AL212/AJ212)</f>
        <v/>
      </c>
      <c r="AN212" s="8"/>
      <c r="AO212" s="8"/>
      <c r="AP212" s="10" t="str">
        <f aca="false">IF(AN212="","Not assessed",IF(AND(R212="No",AN212="Gap - recommend tailoring"),"INVALID: HSSB is not tailorable",IF(OR(Z212="",Z212=0),"NO NAMED EXECUTOR",IF(AND(N(AF212)&gt;=3,AJ212=""),"Operating claimed with no sample",IF(AND(N(AF212)&gt;=3,Z212=1),"Operating rests on one individual",IF(AND(N(AF212)&gt;=3,AB212&lt;&gt;"Yes"),"Operating claimed below designed credential",IF(AND(R212="No",N(AF212)&lt;3),"HSSB GATE: below Operating",IF(AND(N(AF212)&gt;=3,AJ212&lt;&gt;"",AL212=""),"Sample size with no conforming count","OK"))))))))</f>
        <v>Not assessed</v>
      </c>
      <c r="AQ212" s="8"/>
      <c r="AR212" s="8"/>
      <c r="AS212" s="8"/>
    </row>
    <row r="213" customFormat="false" ht="22.35" hidden="false" customHeight="false" outlineLevel="0" collapsed="false">
      <c r="A213" s="12" t="s">
        <v>542</v>
      </c>
      <c r="B213" s="12" t="s">
        <v>519</v>
      </c>
      <c r="C213" s="12" t="s">
        <v>529</v>
      </c>
      <c r="D213" s="12" t="s">
        <v>530</v>
      </c>
      <c r="E213" s="12" t="s">
        <v>182</v>
      </c>
      <c r="F213" s="12"/>
      <c r="G213" s="13" t="s">
        <v>85</v>
      </c>
      <c r="H213" s="13" t="s">
        <v>543</v>
      </c>
      <c r="I213" s="12" t="s">
        <v>523</v>
      </c>
      <c r="J213" s="12" t="s">
        <v>524</v>
      </c>
      <c r="K213" s="12" t="s">
        <v>525</v>
      </c>
      <c r="L213" s="12" t="s">
        <v>93</v>
      </c>
      <c r="M213" s="12" t="s">
        <v>105</v>
      </c>
      <c r="N213" s="12" t="s">
        <v>244</v>
      </c>
      <c r="O213" s="12" t="s">
        <v>195</v>
      </c>
      <c r="P213" s="12" t="s">
        <v>245</v>
      </c>
      <c r="Q213" s="12" t="s">
        <v>96</v>
      </c>
      <c r="R213" s="12" t="s">
        <v>82</v>
      </c>
      <c r="S213" s="12" t="s">
        <v>531</v>
      </c>
      <c r="T213" s="12" t="s">
        <v>526</v>
      </c>
      <c r="U213" s="8"/>
      <c r="V213" s="8"/>
      <c r="W213" s="8"/>
      <c r="X213" s="8"/>
      <c r="Y213" s="9"/>
      <c r="Z213" s="9"/>
      <c r="AA213" s="9"/>
      <c r="AB213" s="9"/>
      <c r="AC213" s="10" t="str">
        <f aca="false">IF(Z213="","",IF(Z213=0,"Unassigned",IF(Z213=1,"Single point",IF(AB213="Yes","Staffed and credentialed","Staffed, credential gap"))))</f>
        <v/>
      </c>
      <c r="AD213" s="10" t="str">
        <f aca="false">IFERROR(INDEX(Lists!$H$3:$H$6,MATCH(AC213,Lists!$G$3:$G$6,0)),"")</f>
        <v/>
      </c>
      <c r="AE213" s="8"/>
      <c r="AF213" s="10" t="str">
        <f aca="false">IFERROR(INDEX(Lists!$B$3:$B$7,MATCH(AE213,Lists!$A$3:$A$7,0)),"")</f>
        <v/>
      </c>
      <c r="AG213" s="8"/>
      <c r="AH213" s="8"/>
      <c r="AI213" s="8"/>
      <c r="AJ213" s="8"/>
      <c r="AK213" s="8"/>
      <c r="AL213" s="8"/>
      <c r="AM213" s="11" t="str">
        <f aca="false">IF(OR(AJ213="",AJ213=0),"",AL213/AJ213)</f>
        <v/>
      </c>
      <c r="AN213" s="8"/>
      <c r="AO213" s="8"/>
      <c r="AP213" s="10" t="str">
        <f aca="false">IF(AN213="","Not assessed",IF(AND(R213="No",AN213="Gap - recommend tailoring"),"INVALID: HSSB is not tailorable",IF(OR(Z213="",Z213=0),"NO NAMED EXECUTOR",IF(AND(N(AF213)&gt;=3,AJ213=""),"Operating claimed with no sample",IF(AND(N(AF213)&gt;=3,Z213=1),"Operating rests on one individual",IF(AND(N(AF213)&gt;=3,AB213&lt;&gt;"Yes"),"Operating claimed below designed credential",IF(AND(R213="No",N(AF213)&lt;3),"HSSB GATE: below Operating",IF(AND(N(AF213)&gt;=3,AJ213&lt;&gt;"",AL213=""),"Sample size with no conforming count","OK"))))))))</f>
        <v>Not assessed</v>
      </c>
      <c r="AQ213" s="8"/>
      <c r="AR213" s="8"/>
      <c r="AS213" s="8"/>
    </row>
    <row r="214" customFormat="false" ht="22.35" hidden="false" customHeight="false" outlineLevel="0" collapsed="false">
      <c r="A214" s="6" t="s">
        <v>544</v>
      </c>
      <c r="B214" s="6" t="s">
        <v>519</v>
      </c>
      <c r="C214" s="6" t="s">
        <v>529</v>
      </c>
      <c r="D214" s="6" t="s">
        <v>530</v>
      </c>
      <c r="E214" s="6" t="s">
        <v>184</v>
      </c>
      <c r="F214" s="7"/>
      <c r="G214" s="6" t="s">
        <v>82</v>
      </c>
      <c r="H214" s="6"/>
      <c r="I214" s="6"/>
      <c r="J214" s="6"/>
      <c r="K214" s="6"/>
      <c r="L214" s="6" t="s">
        <v>83</v>
      </c>
      <c r="M214" s="6" t="s">
        <v>84</v>
      </c>
      <c r="N214" s="6"/>
      <c r="O214" s="6"/>
      <c r="P214" s="6"/>
      <c r="Q214" s="6"/>
      <c r="R214" s="6" t="s">
        <v>85</v>
      </c>
      <c r="S214" s="6" t="s">
        <v>531</v>
      </c>
      <c r="T214" s="6" t="s">
        <v>526</v>
      </c>
      <c r="U214" s="8"/>
      <c r="V214" s="8"/>
      <c r="W214" s="8"/>
      <c r="X214" s="8"/>
      <c r="Y214" s="9"/>
      <c r="Z214" s="9"/>
      <c r="AA214" s="9"/>
      <c r="AB214" s="9"/>
      <c r="AC214" s="10" t="str">
        <f aca="false">IF(Z214="","",IF(Z214=0,"Unassigned",IF(Z214=1,"Single point",IF(AB214="Yes","Staffed and credentialed","Staffed, credential gap"))))</f>
        <v/>
      </c>
      <c r="AD214" s="10" t="str">
        <f aca="false">IFERROR(INDEX(Lists!$H$3:$H$6,MATCH(AC214,Lists!$G$3:$G$6,0)),"")</f>
        <v/>
      </c>
      <c r="AE214" s="8"/>
      <c r="AF214" s="10" t="str">
        <f aca="false">IFERROR(INDEX(Lists!$B$3:$B$7,MATCH(AE214,Lists!$A$3:$A$7,0)),"")</f>
        <v/>
      </c>
      <c r="AG214" s="8"/>
      <c r="AH214" s="8"/>
      <c r="AI214" s="8"/>
      <c r="AJ214" s="8"/>
      <c r="AK214" s="8"/>
      <c r="AL214" s="8"/>
      <c r="AM214" s="11" t="str">
        <f aca="false">IF(OR(AJ214="",AJ214=0),"",AL214/AJ214)</f>
        <v/>
      </c>
      <c r="AN214" s="8"/>
      <c r="AO214" s="8"/>
      <c r="AP214" s="10" t="str">
        <f aca="false">IF(AN214="","Not assessed",IF(AND(R214="No",AN214="Gap - recommend tailoring"),"INVALID: HSSB is not tailorable",IF(OR(Z214="",Z214=0),"NO NAMED EXECUTOR",IF(AND(N(AF214)&gt;=3,AJ214=""),"Operating claimed with no sample",IF(AND(N(AF214)&gt;=3,Z214=1),"Operating rests on one individual",IF(AND(N(AF214)&gt;=3,AB214&lt;&gt;"Yes"),"Operating claimed below designed credential",IF(AND(R214="No",N(AF214)&lt;3),"HSSB GATE: below Operating",IF(AND(N(AF214)&gt;=3,AJ214&lt;&gt;"",AL214=""),"Sample size with no conforming count","OK"))))))))</f>
        <v>Not assessed</v>
      </c>
      <c r="AQ214" s="8"/>
      <c r="AR214" s="8"/>
      <c r="AS214" s="8"/>
    </row>
    <row r="215" customFormat="false" ht="22.35" hidden="false" customHeight="false" outlineLevel="0" collapsed="false">
      <c r="A215" s="6" t="s">
        <v>545</v>
      </c>
      <c r="B215" s="6" t="s">
        <v>519</v>
      </c>
      <c r="C215" s="6" t="s">
        <v>529</v>
      </c>
      <c r="D215" s="6" t="s">
        <v>530</v>
      </c>
      <c r="E215" s="6" t="s">
        <v>546</v>
      </c>
      <c r="F215" s="7"/>
      <c r="G215" s="6" t="s">
        <v>82</v>
      </c>
      <c r="H215" s="6"/>
      <c r="I215" s="6"/>
      <c r="J215" s="6"/>
      <c r="K215" s="6"/>
      <c r="L215" s="6" t="s">
        <v>83</v>
      </c>
      <c r="M215" s="6" t="s">
        <v>84</v>
      </c>
      <c r="N215" s="6"/>
      <c r="O215" s="6"/>
      <c r="P215" s="6"/>
      <c r="Q215" s="6"/>
      <c r="R215" s="6" t="s">
        <v>85</v>
      </c>
      <c r="S215" s="6" t="s">
        <v>531</v>
      </c>
      <c r="T215" s="6" t="s">
        <v>526</v>
      </c>
      <c r="U215" s="8"/>
      <c r="V215" s="8"/>
      <c r="W215" s="8"/>
      <c r="X215" s="8"/>
      <c r="Y215" s="9"/>
      <c r="Z215" s="9"/>
      <c r="AA215" s="9"/>
      <c r="AB215" s="9"/>
      <c r="AC215" s="10" t="str">
        <f aca="false">IF(Z215="","",IF(Z215=0,"Unassigned",IF(Z215=1,"Single point",IF(AB215="Yes","Staffed and credentialed","Staffed, credential gap"))))</f>
        <v/>
      </c>
      <c r="AD215" s="10" t="str">
        <f aca="false">IFERROR(INDEX(Lists!$H$3:$H$6,MATCH(AC215,Lists!$G$3:$G$6,0)),"")</f>
        <v/>
      </c>
      <c r="AE215" s="8"/>
      <c r="AF215" s="10" t="str">
        <f aca="false">IFERROR(INDEX(Lists!$B$3:$B$7,MATCH(AE215,Lists!$A$3:$A$7,0)),"")</f>
        <v/>
      </c>
      <c r="AG215" s="8"/>
      <c r="AH215" s="8"/>
      <c r="AI215" s="8"/>
      <c r="AJ215" s="8"/>
      <c r="AK215" s="8"/>
      <c r="AL215" s="8"/>
      <c r="AM215" s="11" t="str">
        <f aca="false">IF(OR(AJ215="",AJ215=0),"",AL215/AJ215)</f>
        <v/>
      </c>
      <c r="AN215" s="8"/>
      <c r="AO215" s="8"/>
      <c r="AP215" s="10" t="str">
        <f aca="false">IF(AN215="","Not assessed",IF(AND(R215="No",AN215="Gap - recommend tailoring"),"INVALID: HSSB is not tailorable",IF(OR(Z215="",Z215=0),"NO NAMED EXECUTOR",IF(AND(N(AF215)&gt;=3,AJ215=""),"Operating claimed with no sample",IF(AND(N(AF215)&gt;=3,Z215=1),"Operating rests on one individual",IF(AND(N(AF215)&gt;=3,AB215&lt;&gt;"Yes"),"Operating claimed below designed credential",IF(AND(R215="No",N(AF215)&lt;3),"HSSB GATE: below Operating",IF(AND(N(AF215)&gt;=3,AJ215&lt;&gt;"",AL215=""),"Sample size with no conforming count","OK"))))))))</f>
        <v>Not assessed</v>
      </c>
      <c r="AQ215" s="8"/>
      <c r="AR215" s="8"/>
      <c r="AS215" s="8"/>
    </row>
    <row r="216" customFormat="false" ht="22.35" hidden="false" customHeight="false" outlineLevel="0" collapsed="false">
      <c r="A216" s="6" t="s">
        <v>547</v>
      </c>
      <c r="B216" s="6" t="s">
        <v>519</v>
      </c>
      <c r="C216" s="6" t="s">
        <v>529</v>
      </c>
      <c r="D216" s="6" t="s">
        <v>530</v>
      </c>
      <c r="E216" s="6" t="s">
        <v>548</v>
      </c>
      <c r="F216" s="7"/>
      <c r="G216" s="6" t="s">
        <v>82</v>
      </c>
      <c r="H216" s="6"/>
      <c r="I216" s="6"/>
      <c r="J216" s="6"/>
      <c r="K216" s="6"/>
      <c r="L216" s="6" t="s">
        <v>83</v>
      </c>
      <c r="M216" s="6" t="s">
        <v>84</v>
      </c>
      <c r="N216" s="6"/>
      <c r="O216" s="6"/>
      <c r="P216" s="6"/>
      <c r="Q216" s="6"/>
      <c r="R216" s="6" t="s">
        <v>85</v>
      </c>
      <c r="S216" s="6" t="s">
        <v>531</v>
      </c>
      <c r="T216" s="6" t="s">
        <v>526</v>
      </c>
      <c r="U216" s="8"/>
      <c r="V216" s="8"/>
      <c r="W216" s="8"/>
      <c r="X216" s="8"/>
      <c r="Y216" s="9"/>
      <c r="Z216" s="9"/>
      <c r="AA216" s="9"/>
      <c r="AB216" s="9"/>
      <c r="AC216" s="10" t="str">
        <f aca="false">IF(Z216="","",IF(Z216=0,"Unassigned",IF(Z216=1,"Single point",IF(AB216="Yes","Staffed and credentialed","Staffed, credential gap"))))</f>
        <v/>
      </c>
      <c r="AD216" s="10" t="str">
        <f aca="false">IFERROR(INDEX(Lists!$H$3:$H$6,MATCH(AC216,Lists!$G$3:$G$6,0)),"")</f>
        <v/>
      </c>
      <c r="AE216" s="8"/>
      <c r="AF216" s="10" t="str">
        <f aca="false">IFERROR(INDEX(Lists!$B$3:$B$7,MATCH(AE216,Lists!$A$3:$A$7,0)),"")</f>
        <v/>
      </c>
      <c r="AG216" s="8"/>
      <c r="AH216" s="8"/>
      <c r="AI216" s="8"/>
      <c r="AJ216" s="8"/>
      <c r="AK216" s="8"/>
      <c r="AL216" s="8"/>
      <c r="AM216" s="11" t="str">
        <f aca="false">IF(OR(AJ216="",AJ216=0),"",AL216/AJ216)</f>
        <v/>
      </c>
      <c r="AN216" s="8"/>
      <c r="AO216" s="8"/>
      <c r="AP216" s="10" t="str">
        <f aca="false">IF(AN216="","Not assessed",IF(AND(R216="No",AN216="Gap - recommend tailoring"),"INVALID: HSSB is not tailorable",IF(OR(Z216="",Z216=0),"NO NAMED EXECUTOR",IF(AND(N(AF216)&gt;=3,AJ216=""),"Operating claimed with no sample",IF(AND(N(AF216)&gt;=3,Z216=1),"Operating rests on one individual",IF(AND(N(AF216)&gt;=3,AB216&lt;&gt;"Yes"),"Operating claimed below designed credential",IF(AND(R216="No",N(AF216)&lt;3),"HSSB GATE: below Operating",IF(AND(N(AF216)&gt;=3,AJ216&lt;&gt;"",AL216=""),"Sample size with no conforming count","OK"))))))))</f>
        <v>Not assessed</v>
      </c>
      <c r="AQ216" s="8"/>
      <c r="AR216" s="8"/>
      <c r="AS216" s="8"/>
    </row>
    <row r="217" customFormat="false" ht="22.35" hidden="false" customHeight="false" outlineLevel="0" collapsed="false">
      <c r="A217" s="6" t="s">
        <v>549</v>
      </c>
      <c r="B217" s="6" t="s">
        <v>519</v>
      </c>
      <c r="C217" s="6" t="s">
        <v>529</v>
      </c>
      <c r="D217" s="6" t="s">
        <v>530</v>
      </c>
      <c r="E217" s="6" t="s">
        <v>550</v>
      </c>
      <c r="F217" s="7"/>
      <c r="G217" s="6" t="s">
        <v>82</v>
      </c>
      <c r="H217" s="6"/>
      <c r="I217" s="6"/>
      <c r="J217" s="6"/>
      <c r="K217" s="6"/>
      <c r="L217" s="6" t="s">
        <v>83</v>
      </c>
      <c r="M217" s="6" t="s">
        <v>84</v>
      </c>
      <c r="N217" s="6"/>
      <c r="O217" s="6"/>
      <c r="P217" s="6"/>
      <c r="Q217" s="6"/>
      <c r="R217" s="6" t="s">
        <v>85</v>
      </c>
      <c r="S217" s="6" t="s">
        <v>531</v>
      </c>
      <c r="T217" s="6" t="s">
        <v>526</v>
      </c>
      <c r="U217" s="8"/>
      <c r="V217" s="8"/>
      <c r="W217" s="8"/>
      <c r="X217" s="8"/>
      <c r="Y217" s="9"/>
      <c r="Z217" s="9"/>
      <c r="AA217" s="9"/>
      <c r="AB217" s="9"/>
      <c r="AC217" s="10" t="str">
        <f aca="false">IF(Z217="","",IF(Z217=0,"Unassigned",IF(Z217=1,"Single point",IF(AB217="Yes","Staffed and credentialed","Staffed, credential gap"))))</f>
        <v/>
      </c>
      <c r="AD217" s="10" t="str">
        <f aca="false">IFERROR(INDEX(Lists!$H$3:$H$6,MATCH(AC217,Lists!$G$3:$G$6,0)),"")</f>
        <v/>
      </c>
      <c r="AE217" s="8"/>
      <c r="AF217" s="10" t="str">
        <f aca="false">IFERROR(INDEX(Lists!$B$3:$B$7,MATCH(AE217,Lists!$A$3:$A$7,0)),"")</f>
        <v/>
      </c>
      <c r="AG217" s="8"/>
      <c r="AH217" s="8"/>
      <c r="AI217" s="8"/>
      <c r="AJ217" s="8"/>
      <c r="AK217" s="8"/>
      <c r="AL217" s="8"/>
      <c r="AM217" s="11" t="str">
        <f aca="false">IF(OR(AJ217="",AJ217=0),"",AL217/AJ217)</f>
        <v/>
      </c>
      <c r="AN217" s="8"/>
      <c r="AO217" s="8"/>
      <c r="AP217" s="10" t="str">
        <f aca="false">IF(AN217="","Not assessed",IF(AND(R217="No",AN217="Gap - recommend tailoring"),"INVALID: HSSB is not tailorable",IF(OR(Z217="",Z217=0),"NO NAMED EXECUTOR",IF(AND(N(AF217)&gt;=3,AJ217=""),"Operating claimed with no sample",IF(AND(N(AF217)&gt;=3,Z217=1),"Operating rests on one individual",IF(AND(N(AF217)&gt;=3,AB217&lt;&gt;"Yes"),"Operating claimed below designed credential",IF(AND(R217="No",N(AF217)&lt;3),"HSSB GATE: below Operating",IF(AND(N(AF217)&gt;=3,AJ217&lt;&gt;"",AL217=""),"Sample size with no conforming count","OK"))))))))</f>
        <v>Not assessed</v>
      </c>
      <c r="AQ217" s="8"/>
      <c r="AR217" s="8"/>
      <c r="AS217" s="8"/>
    </row>
    <row r="218" customFormat="false" ht="22.35" hidden="false" customHeight="false" outlineLevel="0" collapsed="false">
      <c r="A218" s="6" t="s">
        <v>551</v>
      </c>
      <c r="B218" s="6" t="s">
        <v>519</v>
      </c>
      <c r="C218" s="6" t="s">
        <v>529</v>
      </c>
      <c r="D218" s="6" t="s">
        <v>530</v>
      </c>
      <c r="E218" s="6" t="s">
        <v>552</v>
      </c>
      <c r="F218" s="7"/>
      <c r="G218" s="6" t="s">
        <v>82</v>
      </c>
      <c r="H218" s="6"/>
      <c r="I218" s="6"/>
      <c r="J218" s="6"/>
      <c r="K218" s="6"/>
      <c r="L218" s="6" t="s">
        <v>83</v>
      </c>
      <c r="M218" s="6" t="s">
        <v>84</v>
      </c>
      <c r="N218" s="6"/>
      <c r="O218" s="6"/>
      <c r="P218" s="6"/>
      <c r="Q218" s="6"/>
      <c r="R218" s="6" t="s">
        <v>85</v>
      </c>
      <c r="S218" s="6" t="s">
        <v>531</v>
      </c>
      <c r="T218" s="6" t="s">
        <v>526</v>
      </c>
      <c r="U218" s="8"/>
      <c r="V218" s="8"/>
      <c r="W218" s="8"/>
      <c r="X218" s="8"/>
      <c r="Y218" s="9"/>
      <c r="Z218" s="9"/>
      <c r="AA218" s="9"/>
      <c r="AB218" s="9"/>
      <c r="AC218" s="10" t="str">
        <f aca="false">IF(Z218="","",IF(Z218=0,"Unassigned",IF(Z218=1,"Single point",IF(AB218="Yes","Staffed and credentialed","Staffed, credential gap"))))</f>
        <v/>
      </c>
      <c r="AD218" s="10" t="str">
        <f aca="false">IFERROR(INDEX(Lists!$H$3:$H$6,MATCH(AC218,Lists!$G$3:$G$6,0)),"")</f>
        <v/>
      </c>
      <c r="AE218" s="8"/>
      <c r="AF218" s="10" t="str">
        <f aca="false">IFERROR(INDEX(Lists!$B$3:$B$7,MATCH(AE218,Lists!$A$3:$A$7,0)),"")</f>
        <v/>
      </c>
      <c r="AG218" s="8"/>
      <c r="AH218" s="8"/>
      <c r="AI218" s="8"/>
      <c r="AJ218" s="8"/>
      <c r="AK218" s="8"/>
      <c r="AL218" s="8"/>
      <c r="AM218" s="11" t="str">
        <f aca="false">IF(OR(AJ218="",AJ218=0),"",AL218/AJ218)</f>
        <v/>
      </c>
      <c r="AN218" s="8"/>
      <c r="AO218" s="8"/>
      <c r="AP218" s="10" t="str">
        <f aca="false">IF(AN218="","Not assessed",IF(AND(R218="No",AN218="Gap - recommend tailoring"),"INVALID: HSSB is not tailorable",IF(OR(Z218="",Z218=0),"NO NAMED EXECUTOR",IF(AND(N(AF218)&gt;=3,AJ218=""),"Operating claimed with no sample",IF(AND(N(AF218)&gt;=3,Z218=1),"Operating rests on one individual",IF(AND(N(AF218)&gt;=3,AB218&lt;&gt;"Yes"),"Operating claimed below designed credential",IF(AND(R218="No",N(AF218)&lt;3),"HSSB GATE: below Operating",IF(AND(N(AF218)&gt;=3,AJ218&lt;&gt;"",AL218=""),"Sample size with no conforming count","OK"))))))))</f>
        <v>Not assessed</v>
      </c>
      <c r="AQ218" s="8"/>
      <c r="AR218" s="8"/>
      <c r="AS218" s="8"/>
    </row>
    <row r="219" customFormat="false" ht="22.35" hidden="false" customHeight="false" outlineLevel="0" collapsed="false">
      <c r="A219" s="6" t="s">
        <v>553</v>
      </c>
      <c r="B219" s="6" t="s">
        <v>519</v>
      </c>
      <c r="C219" s="6" t="s">
        <v>529</v>
      </c>
      <c r="D219" s="6" t="s">
        <v>530</v>
      </c>
      <c r="E219" s="6" t="s">
        <v>554</v>
      </c>
      <c r="F219" s="7"/>
      <c r="G219" s="6" t="s">
        <v>82</v>
      </c>
      <c r="H219" s="6"/>
      <c r="I219" s="6"/>
      <c r="J219" s="6"/>
      <c r="K219" s="6"/>
      <c r="L219" s="6" t="s">
        <v>83</v>
      </c>
      <c r="M219" s="6" t="s">
        <v>84</v>
      </c>
      <c r="N219" s="6"/>
      <c r="O219" s="6"/>
      <c r="P219" s="6"/>
      <c r="Q219" s="6"/>
      <c r="R219" s="6" t="s">
        <v>85</v>
      </c>
      <c r="S219" s="6" t="s">
        <v>531</v>
      </c>
      <c r="T219" s="6" t="s">
        <v>526</v>
      </c>
      <c r="U219" s="8"/>
      <c r="V219" s="8"/>
      <c r="W219" s="8"/>
      <c r="X219" s="8"/>
      <c r="Y219" s="9"/>
      <c r="Z219" s="9"/>
      <c r="AA219" s="9"/>
      <c r="AB219" s="9"/>
      <c r="AC219" s="10" t="str">
        <f aca="false">IF(Z219="","",IF(Z219=0,"Unassigned",IF(Z219=1,"Single point",IF(AB219="Yes","Staffed and credentialed","Staffed, credential gap"))))</f>
        <v/>
      </c>
      <c r="AD219" s="10" t="str">
        <f aca="false">IFERROR(INDEX(Lists!$H$3:$H$6,MATCH(AC219,Lists!$G$3:$G$6,0)),"")</f>
        <v/>
      </c>
      <c r="AE219" s="8"/>
      <c r="AF219" s="10" t="str">
        <f aca="false">IFERROR(INDEX(Lists!$B$3:$B$7,MATCH(AE219,Lists!$A$3:$A$7,0)),"")</f>
        <v/>
      </c>
      <c r="AG219" s="8"/>
      <c r="AH219" s="8"/>
      <c r="AI219" s="8"/>
      <c r="AJ219" s="8"/>
      <c r="AK219" s="8"/>
      <c r="AL219" s="8"/>
      <c r="AM219" s="11" t="str">
        <f aca="false">IF(OR(AJ219="",AJ219=0),"",AL219/AJ219)</f>
        <v/>
      </c>
      <c r="AN219" s="8"/>
      <c r="AO219" s="8"/>
      <c r="AP219" s="10" t="str">
        <f aca="false">IF(AN219="","Not assessed",IF(AND(R219="No",AN219="Gap - recommend tailoring"),"INVALID: HSSB is not tailorable",IF(OR(Z219="",Z219=0),"NO NAMED EXECUTOR",IF(AND(N(AF219)&gt;=3,AJ219=""),"Operating claimed with no sample",IF(AND(N(AF219)&gt;=3,Z219=1),"Operating rests on one individual",IF(AND(N(AF219)&gt;=3,AB219&lt;&gt;"Yes"),"Operating claimed below designed credential",IF(AND(R219="No",N(AF219)&lt;3),"HSSB GATE: below Operating",IF(AND(N(AF219)&gt;=3,AJ219&lt;&gt;"",AL219=""),"Sample size with no conforming count","OK"))))))))</f>
        <v>Not assessed</v>
      </c>
      <c r="AQ219" s="8"/>
      <c r="AR219" s="8"/>
      <c r="AS219" s="8"/>
    </row>
    <row r="220" customFormat="false" ht="22.35" hidden="false" customHeight="false" outlineLevel="0" collapsed="false">
      <c r="A220" s="12" t="s">
        <v>555</v>
      </c>
      <c r="B220" s="12" t="s">
        <v>519</v>
      </c>
      <c r="C220" s="12" t="s">
        <v>529</v>
      </c>
      <c r="D220" s="12" t="s">
        <v>530</v>
      </c>
      <c r="E220" s="12" t="s">
        <v>556</v>
      </c>
      <c r="F220" s="12"/>
      <c r="G220" s="13" t="s">
        <v>85</v>
      </c>
      <c r="H220" s="13" t="s">
        <v>557</v>
      </c>
      <c r="I220" s="12" t="s">
        <v>90</v>
      </c>
      <c r="J220" s="12" t="s">
        <v>558</v>
      </c>
      <c r="K220" s="12" t="s">
        <v>559</v>
      </c>
      <c r="L220" s="12" t="s">
        <v>93</v>
      </c>
      <c r="M220" s="12" t="s">
        <v>94</v>
      </c>
      <c r="N220" s="12" t="s">
        <v>244</v>
      </c>
      <c r="O220" s="12" t="s">
        <v>195</v>
      </c>
      <c r="P220" s="12" t="s">
        <v>245</v>
      </c>
      <c r="Q220" s="12" t="s">
        <v>331</v>
      </c>
      <c r="R220" s="12" t="s">
        <v>82</v>
      </c>
      <c r="S220" s="12" t="s">
        <v>531</v>
      </c>
      <c r="T220" s="12" t="s">
        <v>526</v>
      </c>
      <c r="U220" s="8"/>
      <c r="V220" s="8"/>
      <c r="W220" s="8"/>
      <c r="X220" s="8"/>
      <c r="Y220" s="9"/>
      <c r="Z220" s="9"/>
      <c r="AA220" s="9"/>
      <c r="AB220" s="9"/>
      <c r="AC220" s="10" t="str">
        <f aca="false">IF(Z220="","",IF(Z220=0,"Unassigned",IF(Z220=1,"Single point",IF(AB220="Yes","Staffed and credentialed","Staffed, credential gap"))))</f>
        <v/>
      </c>
      <c r="AD220" s="10" t="str">
        <f aca="false">IFERROR(INDEX(Lists!$H$3:$H$6,MATCH(AC220,Lists!$G$3:$G$6,0)),"")</f>
        <v/>
      </c>
      <c r="AE220" s="8"/>
      <c r="AF220" s="10" t="str">
        <f aca="false">IFERROR(INDEX(Lists!$B$3:$B$7,MATCH(AE220,Lists!$A$3:$A$7,0)),"")</f>
        <v/>
      </c>
      <c r="AG220" s="8"/>
      <c r="AH220" s="8"/>
      <c r="AI220" s="8"/>
      <c r="AJ220" s="8"/>
      <c r="AK220" s="8"/>
      <c r="AL220" s="8"/>
      <c r="AM220" s="11" t="str">
        <f aca="false">IF(OR(AJ220="",AJ220=0),"",AL220/AJ220)</f>
        <v/>
      </c>
      <c r="AN220" s="8"/>
      <c r="AO220" s="8"/>
      <c r="AP220" s="10" t="str">
        <f aca="false">IF(AN220="","Not assessed",IF(AND(R220="No",AN220="Gap - recommend tailoring"),"INVALID: HSSB is not tailorable",IF(OR(Z220="",Z220=0),"NO NAMED EXECUTOR",IF(AND(N(AF220)&gt;=3,AJ220=""),"Operating claimed with no sample",IF(AND(N(AF220)&gt;=3,Z220=1),"Operating rests on one individual",IF(AND(N(AF220)&gt;=3,AB220&lt;&gt;"Yes"),"Operating claimed below designed credential",IF(AND(R220="No",N(AF220)&lt;3),"HSSB GATE: below Operating",IF(AND(N(AF220)&gt;=3,AJ220&lt;&gt;"",AL220=""),"Sample size with no conforming count","OK"))))))))</f>
        <v>Not assessed</v>
      </c>
      <c r="AQ220" s="8"/>
      <c r="AR220" s="8"/>
      <c r="AS220" s="8"/>
    </row>
    <row r="221" customFormat="false" ht="22.35" hidden="false" customHeight="false" outlineLevel="0" collapsed="false">
      <c r="A221" s="6" t="s">
        <v>560</v>
      </c>
      <c r="B221" s="6" t="s">
        <v>519</v>
      </c>
      <c r="C221" s="6" t="s">
        <v>529</v>
      </c>
      <c r="D221" s="6" t="s">
        <v>530</v>
      </c>
      <c r="E221" s="6" t="s">
        <v>480</v>
      </c>
      <c r="F221" s="7"/>
      <c r="G221" s="6" t="s">
        <v>82</v>
      </c>
      <c r="H221" s="6"/>
      <c r="I221" s="6"/>
      <c r="J221" s="6"/>
      <c r="K221" s="6"/>
      <c r="L221" s="6" t="s">
        <v>83</v>
      </c>
      <c r="M221" s="6" t="s">
        <v>84</v>
      </c>
      <c r="N221" s="6"/>
      <c r="O221" s="6"/>
      <c r="P221" s="6"/>
      <c r="Q221" s="6"/>
      <c r="R221" s="6" t="s">
        <v>85</v>
      </c>
      <c r="S221" s="6" t="s">
        <v>531</v>
      </c>
      <c r="T221" s="6" t="s">
        <v>526</v>
      </c>
      <c r="U221" s="8"/>
      <c r="V221" s="8"/>
      <c r="W221" s="8"/>
      <c r="X221" s="8"/>
      <c r="Y221" s="9"/>
      <c r="Z221" s="9"/>
      <c r="AA221" s="9"/>
      <c r="AB221" s="9"/>
      <c r="AC221" s="10" t="str">
        <f aca="false">IF(Z221="","",IF(Z221=0,"Unassigned",IF(Z221=1,"Single point",IF(AB221="Yes","Staffed and credentialed","Staffed, credential gap"))))</f>
        <v/>
      </c>
      <c r="AD221" s="10" t="str">
        <f aca="false">IFERROR(INDEX(Lists!$H$3:$H$6,MATCH(AC221,Lists!$G$3:$G$6,0)),"")</f>
        <v/>
      </c>
      <c r="AE221" s="8"/>
      <c r="AF221" s="10" t="str">
        <f aca="false">IFERROR(INDEX(Lists!$B$3:$B$7,MATCH(AE221,Lists!$A$3:$A$7,0)),"")</f>
        <v/>
      </c>
      <c r="AG221" s="8"/>
      <c r="AH221" s="8"/>
      <c r="AI221" s="8"/>
      <c r="AJ221" s="8"/>
      <c r="AK221" s="8"/>
      <c r="AL221" s="8"/>
      <c r="AM221" s="11" t="str">
        <f aca="false">IF(OR(AJ221="",AJ221=0),"",AL221/AJ221)</f>
        <v/>
      </c>
      <c r="AN221" s="8"/>
      <c r="AO221" s="8"/>
      <c r="AP221" s="10" t="str">
        <f aca="false">IF(AN221="","Not assessed",IF(AND(R221="No",AN221="Gap - recommend tailoring"),"INVALID: HSSB is not tailorable",IF(OR(Z221="",Z221=0),"NO NAMED EXECUTOR",IF(AND(N(AF221)&gt;=3,AJ221=""),"Operating claimed with no sample",IF(AND(N(AF221)&gt;=3,Z221=1),"Operating rests on one individual",IF(AND(N(AF221)&gt;=3,AB221&lt;&gt;"Yes"),"Operating claimed below designed credential",IF(AND(R221="No",N(AF221)&lt;3),"HSSB GATE: below Operating",IF(AND(N(AF221)&gt;=3,AJ221&lt;&gt;"",AL221=""),"Sample size with no conforming count","OK"))))))))</f>
        <v>Not assessed</v>
      </c>
      <c r="AQ221" s="8"/>
      <c r="AR221" s="8"/>
      <c r="AS221" s="8"/>
    </row>
    <row r="222" customFormat="false" ht="22.35" hidden="false" customHeight="false" outlineLevel="0" collapsed="false">
      <c r="A222" s="6" t="s">
        <v>561</v>
      </c>
      <c r="B222" s="6" t="s">
        <v>519</v>
      </c>
      <c r="C222" s="6" t="s">
        <v>529</v>
      </c>
      <c r="D222" s="6" t="s">
        <v>530</v>
      </c>
      <c r="E222" s="6" t="s">
        <v>482</v>
      </c>
      <c r="F222" s="7"/>
      <c r="G222" s="6" t="s">
        <v>82</v>
      </c>
      <c r="H222" s="6"/>
      <c r="I222" s="6"/>
      <c r="J222" s="6"/>
      <c r="K222" s="6"/>
      <c r="L222" s="6" t="s">
        <v>83</v>
      </c>
      <c r="M222" s="6" t="s">
        <v>84</v>
      </c>
      <c r="N222" s="6"/>
      <c r="O222" s="6"/>
      <c r="P222" s="6"/>
      <c r="Q222" s="6"/>
      <c r="R222" s="6" t="s">
        <v>85</v>
      </c>
      <c r="S222" s="6" t="s">
        <v>531</v>
      </c>
      <c r="T222" s="6" t="s">
        <v>526</v>
      </c>
      <c r="U222" s="8"/>
      <c r="V222" s="8"/>
      <c r="W222" s="8"/>
      <c r="X222" s="8"/>
      <c r="Y222" s="9"/>
      <c r="Z222" s="9"/>
      <c r="AA222" s="9"/>
      <c r="AB222" s="9"/>
      <c r="AC222" s="10" t="str">
        <f aca="false">IF(Z222="","",IF(Z222=0,"Unassigned",IF(Z222=1,"Single point",IF(AB222="Yes","Staffed and credentialed","Staffed, credential gap"))))</f>
        <v/>
      </c>
      <c r="AD222" s="10" t="str">
        <f aca="false">IFERROR(INDEX(Lists!$H$3:$H$6,MATCH(AC222,Lists!$G$3:$G$6,0)),"")</f>
        <v/>
      </c>
      <c r="AE222" s="8"/>
      <c r="AF222" s="10" t="str">
        <f aca="false">IFERROR(INDEX(Lists!$B$3:$B$7,MATCH(AE222,Lists!$A$3:$A$7,0)),"")</f>
        <v/>
      </c>
      <c r="AG222" s="8"/>
      <c r="AH222" s="8"/>
      <c r="AI222" s="8"/>
      <c r="AJ222" s="8"/>
      <c r="AK222" s="8"/>
      <c r="AL222" s="8"/>
      <c r="AM222" s="11" t="str">
        <f aca="false">IF(OR(AJ222="",AJ222=0),"",AL222/AJ222)</f>
        <v/>
      </c>
      <c r="AN222" s="8"/>
      <c r="AO222" s="8"/>
      <c r="AP222" s="10" t="str">
        <f aca="false">IF(AN222="","Not assessed",IF(AND(R222="No",AN222="Gap - recommend tailoring"),"INVALID: HSSB is not tailorable",IF(OR(Z222="",Z222=0),"NO NAMED EXECUTOR",IF(AND(N(AF222)&gt;=3,AJ222=""),"Operating claimed with no sample",IF(AND(N(AF222)&gt;=3,Z222=1),"Operating rests on one individual",IF(AND(N(AF222)&gt;=3,AB222&lt;&gt;"Yes"),"Operating claimed below designed credential",IF(AND(R222="No",N(AF222)&lt;3),"HSSB GATE: below Operating",IF(AND(N(AF222)&gt;=3,AJ222&lt;&gt;"",AL222=""),"Sample size with no conforming count","OK"))))))))</f>
        <v>Not assessed</v>
      </c>
      <c r="AQ222" s="8"/>
      <c r="AR222" s="8"/>
      <c r="AS222" s="8"/>
    </row>
    <row r="223" customFormat="false" ht="22.35" hidden="false" customHeight="false" outlineLevel="0" collapsed="false">
      <c r="A223" s="12" t="s">
        <v>562</v>
      </c>
      <c r="B223" s="12" t="s">
        <v>519</v>
      </c>
      <c r="C223" s="12" t="s">
        <v>529</v>
      </c>
      <c r="D223" s="12" t="s">
        <v>530</v>
      </c>
      <c r="E223" s="12" t="s">
        <v>484</v>
      </c>
      <c r="F223" s="12"/>
      <c r="G223" s="13" t="s">
        <v>85</v>
      </c>
      <c r="H223" s="13" t="s">
        <v>563</v>
      </c>
      <c r="I223" s="12" t="s">
        <v>523</v>
      </c>
      <c r="J223" s="12" t="s">
        <v>524</v>
      </c>
      <c r="K223" s="12" t="s">
        <v>525</v>
      </c>
      <c r="L223" s="12" t="s">
        <v>93</v>
      </c>
      <c r="M223" s="12" t="s">
        <v>105</v>
      </c>
      <c r="N223" s="12" t="s">
        <v>244</v>
      </c>
      <c r="O223" s="12" t="s">
        <v>195</v>
      </c>
      <c r="P223" s="12" t="s">
        <v>245</v>
      </c>
      <c r="Q223" s="12" t="s">
        <v>331</v>
      </c>
      <c r="R223" s="12" t="s">
        <v>82</v>
      </c>
      <c r="S223" s="12" t="s">
        <v>531</v>
      </c>
      <c r="T223" s="12" t="s">
        <v>526</v>
      </c>
      <c r="U223" s="8"/>
      <c r="V223" s="8"/>
      <c r="W223" s="8"/>
      <c r="X223" s="8"/>
      <c r="Y223" s="9"/>
      <c r="Z223" s="9"/>
      <c r="AA223" s="9"/>
      <c r="AB223" s="9"/>
      <c r="AC223" s="10" t="str">
        <f aca="false">IF(Z223="","",IF(Z223=0,"Unassigned",IF(Z223=1,"Single point",IF(AB223="Yes","Staffed and credentialed","Staffed, credential gap"))))</f>
        <v/>
      </c>
      <c r="AD223" s="10" t="str">
        <f aca="false">IFERROR(INDEX(Lists!$H$3:$H$6,MATCH(AC223,Lists!$G$3:$G$6,0)),"")</f>
        <v/>
      </c>
      <c r="AE223" s="8"/>
      <c r="AF223" s="10" t="str">
        <f aca="false">IFERROR(INDEX(Lists!$B$3:$B$7,MATCH(AE223,Lists!$A$3:$A$7,0)),"")</f>
        <v/>
      </c>
      <c r="AG223" s="8"/>
      <c r="AH223" s="8"/>
      <c r="AI223" s="8"/>
      <c r="AJ223" s="8"/>
      <c r="AK223" s="8"/>
      <c r="AL223" s="8"/>
      <c r="AM223" s="11" t="str">
        <f aca="false">IF(OR(AJ223="",AJ223=0),"",AL223/AJ223)</f>
        <v/>
      </c>
      <c r="AN223" s="8"/>
      <c r="AO223" s="8"/>
      <c r="AP223" s="10" t="str">
        <f aca="false">IF(AN223="","Not assessed",IF(AND(R223="No",AN223="Gap - recommend tailoring"),"INVALID: HSSB is not tailorable",IF(OR(Z223="",Z223=0),"NO NAMED EXECUTOR",IF(AND(N(AF223)&gt;=3,AJ223=""),"Operating claimed with no sample",IF(AND(N(AF223)&gt;=3,Z223=1),"Operating rests on one individual",IF(AND(N(AF223)&gt;=3,AB223&lt;&gt;"Yes"),"Operating claimed below designed credential",IF(AND(R223="No",N(AF223)&lt;3),"HSSB GATE: below Operating",IF(AND(N(AF223)&gt;=3,AJ223&lt;&gt;"",AL223=""),"Sample size with no conforming count","OK"))))))))</f>
        <v>Not assessed</v>
      </c>
      <c r="AQ223" s="8"/>
      <c r="AR223" s="8"/>
      <c r="AS223" s="8"/>
    </row>
    <row r="224" customFormat="false" ht="22.35" hidden="false" customHeight="false" outlineLevel="0" collapsed="false">
      <c r="A224" s="6" t="s">
        <v>564</v>
      </c>
      <c r="B224" s="6" t="s">
        <v>519</v>
      </c>
      <c r="C224" s="6" t="s">
        <v>529</v>
      </c>
      <c r="D224" s="6" t="s">
        <v>530</v>
      </c>
      <c r="E224" s="6" t="s">
        <v>209</v>
      </c>
      <c r="F224" s="7"/>
      <c r="G224" s="6" t="s">
        <v>82</v>
      </c>
      <c r="H224" s="6"/>
      <c r="I224" s="6"/>
      <c r="J224" s="6"/>
      <c r="K224" s="6"/>
      <c r="L224" s="6" t="s">
        <v>83</v>
      </c>
      <c r="M224" s="6" t="s">
        <v>84</v>
      </c>
      <c r="N224" s="6"/>
      <c r="O224" s="6"/>
      <c r="P224" s="6"/>
      <c r="Q224" s="6"/>
      <c r="R224" s="6" t="s">
        <v>85</v>
      </c>
      <c r="S224" s="6" t="s">
        <v>531</v>
      </c>
      <c r="T224" s="6" t="s">
        <v>526</v>
      </c>
      <c r="U224" s="8"/>
      <c r="V224" s="8"/>
      <c r="W224" s="8"/>
      <c r="X224" s="8"/>
      <c r="Y224" s="9"/>
      <c r="Z224" s="9"/>
      <c r="AA224" s="9"/>
      <c r="AB224" s="9"/>
      <c r="AC224" s="10" t="str">
        <f aca="false">IF(Z224="","",IF(Z224=0,"Unassigned",IF(Z224=1,"Single point",IF(AB224="Yes","Staffed and credentialed","Staffed, credential gap"))))</f>
        <v/>
      </c>
      <c r="AD224" s="10" t="str">
        <f aca="false">IFERROR(INDEX(Lists!$H$3:$H$6,MATCH(AC224,Lists!$G$3:$G$6,0)),"")</f>
        <v/>
      </c>
      <c r="AE224" s="8"/>
      <c r="AF224" s="10" t="str">
        <f aca="false">IFERROR(INDEX(Lists!$B$3:$B$7,MATCH(AE224,Lists!$A$3:$A$7,0)),"")</f>
        <v/>
      </c>
      <c r="AG224" s="8"/>
      <c r="AH224" s="8"/>
      <c r="AI224" s="8"/>
      <c r="AJ224" s="8"/>
      <c r="AK224" s="8"/>
      <c r="AL224" s="8"/>
      <c r="AM224" s="11" t="str">
        <f aca="false">IF(OR(AJ224="",AJ224=0),"",AL224/AJ224)</f>
        <v/>
      </c>
      <c r="AN224" s="8"/>
      <c r="AO224" s="8"/>
      <c r="AP224" s="10" t="str">
        <f aca="false">IF(AN224="","Not assessed",IF(AND(R224="No",AN224="Gap - recommend tailoring"),"INVALID: HSSB is not tailorable",IF(OR(Z224="",Z224=0),"NO NAMED EXECUTOR",IF(AND(N(AF224)&gt;=3,AJ224=""),"Operating claimed with no sample",IF(AND(N(AF224)&gt;=3,Z224=1),"Operating rests on one individual",IF(AND(N(AF224)&gt;=3,AB224&lt;&gt;"Yes"),"Operating claimed below designed credential",IF(AND(R224="No",N(AF224)&lt;3),"HSSB GATE: below Operating",IF(AND(N(AF224)&gt;=3,AJ224&lt;&gt;"",AL224=""),"Sample size with no conforming count","OK"))))))))</f>
        <v>Not assessed</v>
      </c>
      <c r="AQ224" s="8"/>
      <c r="AR224" s="8"/>
      <c r="AS224" s="8"/>
    </row>
    <row r="225" customFormat="false" ht="22.35" hidden="false" customHeight="false" outlineLevel="0" collapsed="false">
      <c r="A225" s="12" t="s">
        <v>565</v>
      </c>
      <c r="B225" s="12" t="s">
        <v>519</v>
      </c>
      <c r="C225" s="12" t="s">
        <v>529</v>
      </c>
      <c r="D225" s="12" t="s">
        <v>530</v>
      </c>
      <c r="E225" s="12" t="s">
        <v>566</v>
      </c>
      <c r="F225" s="12"/>
      <c r="G225" s="13" t="s">
        <v>85</v>
      </c>
      <c r="H225" s="13" t="s">
        <v>567</v>
      </c>
      <c r="I225" s="12" t="s">
        <v>523</v>
      </c>
      <c r="J225" s="12" t="s">
        <v>568</v>
      </c>
      <c r="K225" s="12" t="s">
        <v>569</v>
      </c>
      <c r="L225" s="12" t="s">
        <v>93</v>
      </c>
      <c r="M225" s="12" t="s">
        <v>94</v>
      </c>
      <c r="N225" s="12" t="s">
        <v>244</v>
      </c>
      <c r="O225" s="12" t="s">
        <v>195</v>
      </c>
      <c r="P225" s="12" t="s">
        <v>245</v>
      </c>
      <c r="Q225" s="12" t="s">
        <v>331</v>
      </c>
      <c r="R225" s="12" t="s">
        <v>82</v>
      </c>
      <c r="S225" s="12" t="s">
        <v>531</v>
      </c>
      <c r="T225" s="12" t="s">
        <v>526</v>
      </c>
      <c r="U225" s="8"/>
      <c r="V225" s="8"/>
      <c r="W225" s="8"/>
      <c r="X225" s="8"/>
      <c r="Y225" s="9"/>
      <c r="Z225" s="9"/>
      <c r="AA225" s="9"/>
      <c r="AB225" s="9"/>
      <c r="AC225" s="10" t="str">
        <f aca="false">IF(Z225="","",IF(Z225=0,"Unassigned",IF(Z225=1,"Single point",IF(AB225="Yes","Staffed and credentialed","Staffed, credential gap"))))</f>
        <v/>
      </c>
      <c r="AD225" s="10" t="str">
        <f aca="false">IFERROR(INDEX(Lists!$H$3:$H$6,MATCH(AC225,Lists!$G$3:$G$6,0)),"")</f>
        <v/>
      </c>
      <c r="AE225" s="8"/>
      <c r="AF225" s="10" t="str">
        <f aca="false">IFERROR(INDEX(Lists!$B$3:$B$7,MATCH(AE225,Lists!$A$3:$A$7,0)),"")</f>
        <v/>
      </c>
      <c r="AG225" s="8"/>
      <c r="AH225" s="8"/>
      <c r="AI225" s="8"/>
      <c r="AJ225" s="8"/>
      <c r="AK225" s="8"/>
      <c r="AL225" s="8"/>
      <c r="AM225" s="11" t="str">
        <f aca="false">IF(OR(AJ225="",AJ225=0),"",AL225/AJ225)</f>
        <v/>
      </c>
      <c r="AN225" s="8"/>
      <c r="AO225" s="8"/>
      <c r="AP225" s="10" t="str">
        <f aca="false">IF(AN225="","Not assessed",IF(AND(R225="No",AN225="Gap - recommend tailoring"),"INVALID: HSSB is not tailorable",IF(OR(Z225="",Z225=0),"NO NAMED EXECUTOR",IF(AND(N(AF225)&gt;=3,AJ225=""),"Operating claimed with no sample",IF(AND(N(AF225)&gt;=3,Z225=1),"Operating rests on one individual",IF(AND(N(AF225)&gt;=3,AB225&lt;&gt;"Yes"),"Operating claimed below designed credential",IF(AND(R225="No",N(AF225)&lt;3),"HSSB GATE: below Operating",IF(AND(N(AF225)&gt;=3,AJ225&lt;&gt;"",AL225=""),"Sample size with no conforming count","OK"))))))))</f>
        <v>Not assessed</v>
      </c>
      <c r="AQ225" s="8"/>
      <c r="AR225" s="8"/>
      <c r="AS225" s="8"/>
    </row>
    <row r="226" customFormat="false" ht="22.35" hidden="false" customHeight="false" outlineLevel="0" collapsed="false">
      <c r="A226" s="6" t="s">
        <v>570</v>
      </c>
      <c r="B226" s="6" t="s">
        <v>519</v>
      </c>
      <c r="C226" s="6" t="s">
        <v>571</v>
      </c>
      <c r="D226" s="6" t="s">
        <v>572</v>
      </c>
      <c r="E226" s="6" t="s">
        <v>81</v>
      </c>
      <c r="F226" s="7"/>
      <c r="G226" s="6" t="s">
        <v>82</v>
      </c>
      <c r="H226" s="6"/>
      <c r="I226" s="6"/>
      <c r="J226" s="6"/>
      <c r="K226" s="6"/>
      <c r="L226" s="6" t="s">
        <v>83</v>
      </c>
      <c r="M226" s="6" t="s">
        <v>84</v>
      </c>
      <c r="N226" s="6"/>
      <c r="O226" s="6"/>
      <c r="P226" s="6"/>
      <c r="Q226" s="6"/>
      <c r="R226" s="6" t="s">
        <v>85</v>
      </c>
      <c r="S226" s="6"/>
      <c r="T226" s="6" t="s">
        <v>526</v>
      </c>
      <c r="U226" s="8"/>
      <c r="V226" s="8"/>
      <c r="W226" s="8"/>
      <c r="X226" s="8"/>
      <c r="Y226" s="9"/>
      <c r="Z226" s="9"/>
      <c r="AA226" s="9"/>
      <c r="AB226" s="9"/>
      <c r="AC226" s="10" t="str">
        <f aca="false">IF(Z226="","",IF(Z226=0,"Unassigned",IF(Z226=1,"Single point",IF(AB226="Yes","Staffed and credentialed","Staffed, credential gap"))))</f>
        <v/>
      </c>
      <c r="AD226" s="10" t="str">
        <f aca="false">IFERROR(INDEX(Lists!$H$3:$H$6,MATCH(AC226,Lists!$G$3:$G$6,0)),"")</f>
        <v/>
      </c>
      <c r="AE226" s="8"/>
      <c r="AF226" s="10" t="str">
        <f aca="false">IFERROR(INDEX(Lists!$B$3:$B$7,MATCH(AE226,Lists!$A$3:$A$7,0)),"")</f>
        <v/>
      </c>
      <c r="AG226" s="8"/>
      <c r="AH226" s="8"/>
      <c r="AI226" s="8"/>
      <c r="AJ226" s="8"/>
      <c r="AK226" s="8"/>
      <c r="AL226" s="8"/>
      <c r="AM226" s="11" t="str">
        <f aca="false">IF(OR(AJ226="",AJ226=0),"",AL226/AJ226)</f>
        <v/>
      </c>
      <c r="AN226" s="8"/>
      <c r="AO226" s="8"/>
      <c r="AP226" s="10" t="str">
        <f aca="false">IF(AN226="","Not assessed",IF(AND(R226="No",AN226="Gap - recommend tailoring"),"INVALID: HSSB is not tailorable",IF(OR(Z226="",Z226=0),"NO NAMED EXECUTOR",IF(AND(N(AF226)&gt;=3,AJ226=""),"Operating claimed with no sample",IF(AND(N(AF226)&gt;=3,Z226=1),"Operating rests on one individual",IF(AND(N(AF226)&gt;=3,AB226&lt;&gt;"Yes"),"Operating claimed below designed credential",IF(AND(R226="No",N(AF226)&lt;3),"HSSB GATE: below Operating",IF(AND(N(AF226)&gt;=3,AJ226&lt;&gt;"",AL226=""),"Sample size with no conforming count","OK"))))))))</f>
        <v>Not assessed</v>
      </c>
      <c r="AQ226" s="8"/>
      <c r="AR226" s="8"/>
      <c r="AS226" s="8"/>
    </row>
    <row r="227" customFormat="false" ht="32.8" hidden="false" customHeight="false" outlineLevel="0" collapsed="false">
      <c r="A227" s="6" t="s">
        <v>573</v>
      </c>
      <c r="B227" s="6" t="s">
        <v>574</v>
      </c>
      <c r="C227" s="6" t="s">
        <v>575</v>
      </c>
      <c r="D227" s="6" t="s">
        <v>576</v>
      </c>
      <c r="E227" s="6" t="s">
        <v>112</v>
      </c>
      <c r="F227" s="7"/>
      <c r="G227" s="6" t="s">
        <v>82</v>
      </c>
      <c r="H227" s="6"/>
      <c r="I227" s="6"/>
      <c r="J227" s="6"/>
      <c r="K227" s="6"/>
      <c r="L227" s="6" t="s">
        <v>83</v>
      </c>
      <c r="M227" s="6" t="s">
        <v>84</v>
      </c>
      <c r="N227" s="6"/>
      <c r="O227" s="6"/>
      <c r="P227" s="6"/>
      <c r="Q227" s="6"/>
      <c r="R227" s="6" t="s">
        <v>85</v>
      </c>
      <c r="S227" s="6" t="s">
        <v>577</v>
      </c>
      <c r="T227" s="6" t="s">
        <v>526</v>
      </c>
      <c r="U227" s="8"/>
      <c r="V227" s="8"/>
      <c r="W227" s="8"/>
      <c r="X227" s="8"/>
      <c r="Y227" s="9"/>
      <c r="Z227" s="9"/>
      <c r="AA227" s="9"/>
      <c r="AB227" s="9"/>
      <c r="AC227" s="10" t="str">
        <f aca="false">IF(Z227="","",IF(Z227=0,"Unassigned",IF(Z227=1,"Single point",IF(AB227="Yes","Staffed and credentialed","Staffed, credential gap"))))</f>
        <v/>
      </c>
      <c r="AD227" s="10" t="str">
        <f aca="false">IFERROR(INDEX(Lists!$H$3:$H$6,MATCH(AC227,Lists!$G$3:$G$6,0)),"")</f>
        <v/>
      </c>
      <c r="AE227" s="8"/>
      <c r="AF227" s="10" t="str">
        <f aca="false">IFERROR(INDEX(Lists!$B$3:$B$7,MATCH(AE227,Lists!$A$3:$A$7,0)),"")</f>
        <v/>
      </c>
      <c r="AG227" s="8"/>
      <c r="AH227" s="8"/>
      <c r="AI227" s="8"/>
      <c r="AJ227" s="8"/>
      <c r="AK227" s="8"/>
      <c r="AL227" s="8"/>
      <c r="AM227" s="11" t="str">
        <f aca="false">IF(OR(AJ227="",AJ227=0),"",AL227/AJ227)</f>
        <v/>
      </c>
      <c r="AN227" s="8"/>
      <c r="AO227" s="8"/>
      <c r="AP227" s="10" t="str">
        <f aca="false">IF(AN227="","Not assessed",IF(AND(R227="No",AN227="Gap - recommend tailoring"),"INVALID: HSSB is not tailorable",IF(OR(Z227="",Z227=0),"NO NAMED EXECUTOR",IF(AND(N(AF227)&gt;=3,AJ227=""),"Operating claimed with no sample",IF(AND(N(AF227)&gt;=3,Z227=1),"Operating rests on one individual",IF(AND(N(AF227)&gt;=3,AB227&lt;&gt;"Yes"),"Operating claimed below designed credential",IF(AND(R227="No",N(AF227)&lt;3),"HSSB GATE: below Operating",IF(AND(N(AF227)&gt;=3,AJ227&lt;&gt;"",AL227=""),"Sample size with no conforming count","OK"))))))))</f>
        <v>Not assessed</v>
      </c>
      <c r="AQ227" s="8"/>
      <c r="AR227" s="8"/>
      <c r="AS227" s="8"/>
    </row>
    <row r="228" customFormat="false" ht="32.8" hidden="false" customHeight="false" outlineLevel="0" collapsed="false">
      <c r="A228" s="6" t="s">
        <v>578</v>
      </c>
      <c r="B228" s="6" t="s">
        <v>574</v>
      </c>
      <c r="C228" s="6" t="s">
        <v>575</v>
      </c>
      <c r="D228" s="6" t="s">
        <v>576</v>
      </c>
      <c r="E228" s="6" t="s">
        <v>115</v>
      </c>
      <c r="F228" s="7"/>
      <c r="G228" s="6" t="s">
        <v>82</v>
      </c>
      <c r="H228" s="6"/>
      <c r="I228" s="6"/>
      <c r="J228" s="6"/>
      <c r="K228" s="6"/>
      <c r="L228" s="6" t="s">
        <v>83</v>
      </c>
      <c r="M228" s="6" t="s">
        <v>84</v>
      </c>
      <c r="N228" s="6"/>
      <c r="O228" s="6"/>
      <c r="P228" s="6"/>
      <c r="Q228" s="6"/>
      <c r="R228" s="6" t="s">
        <v>85</v>
      </c>
      <c r="S228" s="6" t="s">
        <v>577</v>
      </c>
      <c r="T228" s="6" t="s">
        <v>526</v>
      </c>
      <c r="U228" s="8"/>
      <c r="V228" s="8"/>
      <c r="W228" s="8"/>
      <c r="X228" s="8"/>
      <c r="Y228" s="9"/>
      <c r="Z228" s="9"/>
      <c r="AA228" s="9"/>
      <c r="AB228" s="9"/>
      <c r="AC228" s="10" t="str">
        <f aca="false">IF(Z228="","",IF(Z228=0,"Unassigned",IF(Z228=1,"Single point",IF(AB228="Yes","Staffed and credentialed","Staffed, credential gap"))))</f>
        <v/>
      </c>
      <c r="AD228" s="10" t="str">
        <f aca="false">IFERROR(INDEX(Lists!$H$3:$H$6,MATCH(AC228,Lists!$G$3:$G$6,0)),"")</f>
        <v/>
      </c>
      <c r="AE228" s="8"/>
      <c r="AF228" s="10" t="str">
        <f aca="false">IFERROR(INDEX(Lists!$B$3:$B$7,MATCH(AE228,Lists!$A$3:$A$7,0)),"")</f>
        <v/>
      </c>
      <c r="AG228" s="8"/>
      <c r="AH228" s="8"/>
      <c r="AI228" s="8"/>
      <c r="AJ228" s="8"/>
      <c r="AK228" s="8"/>
      <c r="AL228" s="8"/>
      <c r="AM228" s="11" t="str">
        <f aca="false">IF(OR(AJ228="",AJ228=0),"",AL228/AJ228)</f>
        <v/>
      </c>
      <c r="AN228" s="8"/>
      <c r="AO228" s="8"/>
      <c r="AP228" s="10" t="str">
        <f aca="false">IF(AN228="","Not assessed",IF(AND(R228="No",AN228="Gap - recommend tailoring"),"INVALID: HSSB is not tailorable",IF(OR(Z228="",Z228=0),"NO NAMED EXECUTOR",IF(AND(N(AF228)&gt;=3,AJ228=""),"Operating claimed with no sample",IF(AND(N(AF228)&gt;=3,Z228=1),"Operating rests on one individual",IF(AND(N(AF228)&gt;=3,AB228&lt;&gt;"Yes"),"Operating claimed below designed credential",IF(AND(R228="No",N(AF228)&lt;3),"HSSB GATE: below Operating",IF(AND(N(AF228)&gt;=3,AJ228&lt;&gt;"",AL228=""),"Sample size with no conforming count","OK"))))))))</f>
        <v>Not assessed</v>
      </c>
      <c r="AQ228" s="8"/>
      <c r="AR228" s="8"/>
      <c r="AS228" s="8"/>
    </row>
    <row r="229" customFormat="false" ht="32.8" hidden="false" customHeight="false" outlineLevel="0" collapsed="false">
      <c r="A229" s="6" t="s">
        <v>579</v>
      </c>
      <c r="B229" s="6" t="s">
        <v>574</v>
      </c>
      <c r="C229" s="6" t="s">
        <v>575</v>
      </c>
      <c r="D229" s="6" t="s">
        <v>576</v>
      </c>
      <c r="E229" s="6" t="s">
        <v>117</v>
      </c>
      <c r="F229" s="7"/>
      <c r="G229" s="6" t="s">
        <v>82</v>
      </c>
      <c r="H229" s="6"/>
      <c r="I229" s="6"/>
      <c r="J229" s="6"/>
      <c r="K229" s="6"/>
      <c r="L229" s="6" t="s">
        <v>83</v>
      </c>
      <c r="M229" s="6" t="s">
        <v>84</v>
      </c>
      <c r="N229" s="6"/>
      <c r="O229" s="6"/>
      <c r="P229" s="6"/>
      <c r="Q229" s="6"/>
      <c r="R229" s="6" t="s">
        <v>85</v>
      </c>
      <c r="S229" s="6" t="s">
        <v>577</v>
      </c>
      <c r="T229" s="6" t="s">
        <v>526</v>
      </c>
      <c r="U229" s="8"/>
      <c r="V229" s="8"/>
      <c r="W229" s="8"/>
      <c r="X229" s="8"/>
      <c r="Y229" s="9"/>
      <c r="Z229" s="9"/>
      <c r="AA229" s="9"/>
      <c r="AB229" s="9"/>
      <c r="AC229" s="10" t="str">
        <f aca="false">IF(Z229="","",IF(Z229=0,"Unassigned",IF(Z229=1,"Single point",IF(AB229="Yes","Staffed and credentialed","Staffed, credential gap"))))</f>
        <v/>
      </c>
      <c r="AD229" s="10" t="str">
        <f aca="false">IFERROR(INDEX(Lists!$H$3:$H$6,MATCH(AC229,Lists!$G$3:$G$6,0)),"")</f>
        <v/>
      </c>
      <c r="AE229" s="8"/>
      <c r="AF229" s="10" t="str">
        <f aca="false">IFERROR(INDEX(Lists!$B$3:$B$7,MATCH(AE229,Lists!$A$3:$A$7,0)),"")</f>
        <v/>
      </c>
      <c r="AG229" s="8"/>
      <c r="AH229" s="8"/>
      <c r="AI229" s="8"/>
      <c r="AJ229" s="8"/>
      <c r="AK229" s="8"/>
      <c r="AL229" s="8"/>
      <c r="AM229" s="11" t="str">
        <f aca="false">IF(OR(AJ229="",AJ229=0),"",AL229/AJ229)</f>
        <v/>
      </c>
      <c r="AN229" s="8"/>
      <c r="AO229" s="8"/>
      <c r="AP229" s="10" t="str">
        <f aca="false">IF(AN229="","Not assessed",IF(AND(R229="No",AN229="Gap - recommend tailoring"),"INVALID: HSSB is not tailorable",IF(OR(Z229="",Z229=0),"NO NAMED EXECUTOR",IF(AND(N(AF229)&gt;=3,AJ229=""),"Operating claimed with no sample",IF(AND(N(AF229)&gt;=3,Z229=1),"Operating rests on one individual",IF(AND(N(AF229)&gt;=3,AB229&lt;&gt;"Yes"),"Operating claimed below designed credential",IF(AND(R229="No",N(AF229)&lt;3),"HSSB GATE: below Operating",IF(AND(N(AF229)&gt;=3,AJ229&lt;&gt;"",AL229=""),"Sample size with no conforming count","OK"))))))))</f>
        <v>Not assessed</v>
      </c>
      <c r="AQ229" s="8"/>
      <c r="AR229" s="8"/>
      <c r="AS229" s="8"/>
    </row>
    <row r="230" customFormat="false" ht="32.8" hidden="false" customHeight="false" outlineLevel="0" collapsed="false">
      <c r="A230" s="6" t="s">
        <v>580</v>
      </c>
      <c r="B230" s="6" t="s">
        <v>574</v>
      </c>
      <c r="C230" s="6" t="s">
        <v>575</v>
      </c>
      <c r="D230" s="6" t="s">
        <v>576</v>
      </c>
      <c r="E230" s="6" t="s">
        <v>119</v>
      </c>
      <c r="F230" s="7"/>
      <c r="G230" s="6" t="s">
        <v>82</v>
      </c>
      <c r="H230" s="6"/>
      <c r="I230" s="6"/>
      <c r="J230" s="6"/>
      <c r="K230" s="6"/>
      <c r="L230" s="6" t="s">
        <v>83</v>
      </c>
      <c r="M230" s="6" t="s">
        <v>84</v>
      </c>
      <c r="N230" s="6"/>
      <c r="O230" s="6"/>
      <c r="P230" s="6"/>
      <c r="Q230" s="6"/>
      <c r="R230" s="6" t="s">
        <v>85</v>
      </c>
      <c r="S230" s="6" t="s">
        <v>577</v>
      </c>
      <c r="T230" s="6" t="s">
        <v>526</v>
      </c>
      <c r="U230" s="8"/>
      <c r="V230" s="8"/>
      <c r="W230" s="8"/>
      <c r="X230" s="8"/>
      <c r="Y230" s="9"/>
      <c r="Z230" s="9"/>
      <c r="AA230" s="9"/>
      <c r="AB230" s="9"/>
      <c r="AC230" s="10" t="str">
        <f aca="false">IF(Z230="","",IF(Z230=0,"Unassigned",IF(Z230=1,"Single point",IF(AB230="Yes","Staffed and credentialed","Staffed, credential gap"))))</f>
        <v/>
      </c>
      <c r="AD230" s="10" t="str">
        <f aca="false">IFERROR(INDEX(Lists!$H$3:$H$6,MATCH(AC230,Lists!$G$3:$G$6,0)),"")</f>
        <v/>
      </c>
      <c r="AE230" s="8"/>
      <c r="AF230" s="10" t="str">
        <f aca="false">IFERROR(INDEX(Lists!$B$3:$B$7,MATCH(AE230,Lists!$A$3:$A$7,0)),"")</f>
        <v/>
      </c>
      <c r="AG230" s="8"/>
      <c r="AH230" s="8"/>
      <c r="AI230" s="8"/>
      <c r="AJ230" s="8"/>
      <c r="AK230" s="8"/>
      <c r="AL230" s="8"/>
      <c r="AM230" s="11" t="str">
        <f aca="false">IF(OR(AJ230="",AJ230=0),"",AL230/AJ230)</f>
        <v/>
      </c>
      <c r="AN230" s="8"/>
      <c r="AO230" s="8"/>
      <c r="AP230" s="10" t="str">
        <f aca="false">IF(AN230="","Not assessed",IF(AND(R230="No",AN230="Gap - recommend tailoring"),"INVALID: HSSB is not tailorable",IF(OR(Z230="",Z230=0),"NO NAMED EXECUTOR",IF(AND(N(AF230)&gt;=3,AJ230=""),"Operating claimed with no sample",IF(AND(N(AF230)&gt;=3,Z230=1),"Operating rests on one individual",IF(AND(N(AF230)&gt;=3,AB230&lt;&gt;"Yes"),"Operating claimed below designed credential",IF(AND(R230="No",N(AF230)&lt;3),"HSSB GATE: below Operating",IF(AND(N(AF230)&gt;=3,AJ230&lt;&gt;"",AL230=""),"Sample size with no conforming count","OK"))))))))</f>
        <v>Not assessed</v>
      </c>
      <c r="AQ230" s="8"/>
      <c r="AR230" s="8"/>
      <c r="AS230" s="8"/>
    </row>
    <row r="231" customFormat="false" ht="32.8" hidden="false" customHeight="false" outlineLevel="0" collapsed="false">
      <c r="A231" s="6" t="s">
        <v>581</v>
      </c>
      <c r="B231" s="6" t="s">
        <v>574</v>
      </c>
      <c r="C231" s="6" t="s">
        <v>575</v>
      </c>
      <c r="D231" s="6" t="s">
        <v>576</v>
      </c>
      <c r="E231" s="6" t="s">
        <v>121</v>
      </c>
      <c r="F231" s="7"/>
      <c r="G231" s="6" t="s">
        <v>82</v>
      </c>
      <c r="H231" s="6"/>
      <c r="I231" s="6"/>
      <c r="J231" s="6"/>
      <c r="K231" s="6"/>
      <c r="L231" s="6" t="s">
        <v>83</v>
      </c>
      <c r="M231" s="6" t="s">
        <v>84</v>
      </c>
      <c r="N231" s="6"/>
      <c r="O231" s="6"/>
      <c r="P231" s="6"/>
      <c r="Q231" s="6"/>
      <c r="R231" s="6" t="s">
        <v>85</v>
      </c>
      <c r="S231" s="6" t="s">
        <v>577</v>
      </c>
      <c r="T231" s="6" t="s">
        <v>526</v>
      </c>
      <c r="U231" s="8"/>
      <c r="V231" s="8"/>
      <c r="W231" s="8"/>
      <c r="X231" s="8"/>
      <c r="Y231" s="9"/>
      <c r="Z231" s="9"/>
      <c r="AA231" s="9"/>
      <c r="AB231" s="9"/>
      <c r="AC231" s="10" t="str">
        <f aca="false">IF(Z231="","",IF(Z231=0,"Unassigned",IF(Z231=1,"Single point",IF(AB231="Yes","Staffed and credentialed","Staffed, credential gap"))))</f>
        <v/>
      </c>
      <c r="AD231" s="10" t="str">
        <f aca="false">IFERROR(INDEX(Lists!$H$3:$H$6,MATCH(AC231,Lists!$G$3:$G$6,0)),"")</f>
        <v/>
      </c>
      <c r="AE231" s="8"/>
      <c r="AF231" s="10" t="str">
        <f aca="false">IFERROR(INDEX(Lists!$B$3:$B$7,MATCH(AE231,Lists!$A$3:$A$7,0)),"")</f>
        <v/>
      </c>
      <c r="AG231" s="8"/>
      <c r="AH231" s="8"/>
      <c r="AI231" s="8"/>
      <c r="AJ231" s="8"/>
      <c r="AK231" s="8"/>
      <c r="AL231" s="8"/>
      <c r="AM231" s="11" t="str">
        <f aca="false">IF(OR(AJ231="",AJ231=0),"",AL231/AJ231)</f>
        <v/>
      </c>
      <c r="AN231" s="8"/>
      <c r="AO231" s="8"/>
      <c r="AP231" s="10" t="str">
        <f aca="false">IF(AN231="","Not assessed",IF(AND(R231="No",AN231="Gap - recommend tailoring"),"INVALID: HSSB is not tailorable",IF(OR(Z231="",Z231=0),"NO NAMED EXECUTOR",IF(AND(N(AF231)&gt;=3,AJ231=""),"Operating claimed with no sample",IF(AND(N(AF231)&gt;=3,Z231=1),"Operating rests on one individual",IF(AND(N(AF231)&gt;=3,AB231&lt;&gt;"Yes"),"Operating claimed below designed credential",IF(AND(R231="No",N(AF231)&lt;3),"HSSB GATE: below Operating",IF(AND(N(AF231)&gt;=3,AJ231&lt;&gt;"",AL231=""),"Sample size with no conforming count","OK"))))))))</f>
        <v>Not assessed</v>
      </c>
      <c r="AQ231" s="8"/>
      <c r="AR231" s="8"/>
      <c r="AS231" s="8"/>
    </row>
    <row r="232" customFormat="false" ht="32.8" hidden="false" customHeight="false" outlineLevel="0" collapsed="false">
      <c r="A232" s="6" t="s">
        <v>582</v>
      </c>
      <c r="B232" s="6" t="s">
        <v>574</v>
      </c>
      <c r="C232" s="6" t="s">
        <v>575</v>
      </c>
      <c r="D232" s="6" t="s">
        <v>576</v>
      </c>
      <c r="E232" s="6" t="s">
        <v>123</v>
      </c>
      <c r="F232" s="7"/>
      <c r="G232" s="6" t="s">
        <v>82</v>
      </c>
      <c r="H232" s="6"/>
      <c r="I232" s="6"/>
      <c r="J232" s="6"/>
      <c r="K232" s="6"/>
      <c r="L232" s="6" t="s">
        <v>83</v>
      </c>
      <c r="M232" s="6" t="s">
        <v>84</v>
      </c>
      <c r="N232" s="6"/>
      <c r="O232" s="6"/>
      <c r="P232" s="6"/>
      <c r="Q232" s="6"/>
      <c r="R232" s="6" t="s">
        <v>85</v>
      </c>
      <c r="S232" s="6" t="s">
        <v>577</v>
      </c>
      <c r="T232" s="6" t="s">
        <v>526</v>
      </c>
      <c r="U232" s="8"/>
      <c r="V232" s="8"/>
      <c r="W232" s="8"/>
      <c r="X232" s="8"/>
      <c r="Y232" s="9"/>
      <c r="Z232" s="9"/>
      <c r="AA232" s="9"/>
      <c r="AB232" s="9"/>
      <c r="AC232" s="10" t="str">
        <f aca="false">IF(Z232="","",IF(Z232=0,"Unassigned",IF(Z232=1,"Single point",IF(AB232="Yes","Staffed and credentialed","Staffed, credential gap"))))</f>
        <v/>
      </c>
      <c r="AD232" s="10" t="str">
        <f aca="false">IFERROR(INDEX(Lists!$H$3:$H$6,MATCH(AC232,Lists!$G$3:$G$6,0)),"")</f>
        <v/>
      </c>
      <c r="AE232" s="8"/>
      <c r="AF232" s="10" t="str">
        <f aca="false">IFERROR(INDEX(Lists!$B$3:$B$7,MATCH(AE232,Lists!$A$3:$A$7,0)),"")</f>
        <v/>
      </c>
      <c r="AG232" s="8"/>
      <c r="AH232" s="8"/>
      <c r="AI232" s="8"/>
      <c r="AJ232" s="8"/>
      <c r="AK232" s="8"/>
      <c r="AL232" s="8"/>
      <c r="AM232" s="11" t="str">
        <f aca="false">IF(OR(AJ232="",AJ232=0),"",AL232/AJ232)</f>
        <v/>
      </c>
      <c r="AN232" s="8"/>
      <c r="AO232" s="8"/>
      <c r="AP232" s="10" t="str">
        <f aca="false">IF(AN232="","Not assessed",IF(AND(R232="No",AN232="Gap - recommend tailoring"),"INVALID: HSSB is not tailorable",IF(OR(Z232="",Z232=0),"NO NAMED EXECUTOR",IF(AND(N(AF232)&gt;=3,AJ232=""),"Operating claimed with no sample",IF(AND(N(AF232)&gt;=3,Z232=1),"Operating rests on one individual",IF(AND(N(AF232)&gt;=3,AB232&lt;&gt;"Yes"),"Operating claimed below designed credential",IF(AND(R232="No",N(AF232)&lt;3),"HSSB GATE: below Operating",IF(AND(N(AF232)&gt;=3,AJ232&lt;&gt;"",AL232=""),"Sample size with no conforming count","OK"))))))))</f>
        <v>Not assessed</v>
      </c>
      <c r="AQ232" s="8"/>
      <c r="AR232" s="8"/>
      <c r="AS232" s="8"/>
    </row>
    <row r="233" customFormat="false" ht="32.8" hidden="false" customHeight="false" outlineLevel="0" collapsed="false">
      <c r="A233" s="6" t="s">
        <v>583</v>
      </c>
      <c r="B233" s="6" t="s">
        <v>574</v>
      </c>
      <c r="C233" s="6" t="s">
        <v>575</v>
      </c>
      <c r="D233" s="6" t="s">
        <v>576</v>
      </c>
      <c r="E233" s="6" t="s">
        <v>125</v>
      </c>
      <c r="F233" s="7"/>
      <c r="G233" s="6" t="s">
        <v>82</v>
      </c>
      <c r="H233" s="6"/>
      <c r="I233" s="6"/>
      <c r="J233" s="6"/>
      <c r="K233" s="6"/>
      <c r="L233" s="6" t="s">
        <v>83</v>
      </c>
      <c r="M233" s="6" t="s">
        <v>84</v>
      </c>
      <c r="N233" s="6"/>
      <c r="O233" s="6"/>
      <c r="P233" s="6"/>
      <c r="Q233" s="6"/>
      <c r="R233" s="6" t="s">
        <v>85</v>
      </c>
      <c r="S233" s="6" t="s">
        <v>577</v>
      </c>
      <c r="T233" s="6" t="s">
        <v>526</v>
      </c>
      <c r="U233" s="8"/>
      <c r="V233" s="8"/>
      <c r="W233" s="8"/>
      <c r="X233" s="8"/>
      <c r="Y233" s="9"/>
      <c r="Z233" s="9"/>
      <c r="AA233" s="9"/>
      <c r="AB233" s="9"/>
      <c r="AC233" s="10" t="str">
        <f aca="false">IF(Z233="","",IF(Z233=0,"Unassigned",IF(Z233=1,"Single point",IF(AB233="Yes","Staffed and credentialed","Staffed, credential gap"))))</f>
        <v/>
      </c>
      <c r="AD233" s="10" t="str">
        <f aca="false">IFERROR(INDEX(Lists!$H$3:$H$6,MATCH(AC233,Lists!$G$3:$G$6,0)),"")</f>
        <v/>
      </c>
      <c r="AE233" s="8"/>
      <c r="AF233" s="10" t="str">
        <f aca="false">IFERROR(INDEX(Lists!$B$3:$B$7,MATCH(AE233,Lists!$A$3:$A$7,0)),"")</f>
        <v/>
      </c>
      <c r="AG233" s="8"/>
      <c r="AH233" s="8"/>
      <c r="AI233" s="8"/>
      <c r="AJ233" s="8"/>
      <c r="AK233" s="8"/>
      <c r="AL233" s="8"/>
      <c r="AM233" s="11" t="str">
        <f aca="false">IF(OR(AJ233="",AJ233=0),"",AL233/AJ233)</f>
        <v/>
      </c>
      <c r="AN233" s="8"/>
      <c r="AO233" s="8"/>
      <c r="AP233" s="10" t="str">
        <f aca="false">IF(AN233="","Not assessed",IF(AND(R233="No",AN233="Gap - recommend tailoring"),"INVALID: HSSB is not tailorable",IF(OR(Z233="",Z233=0),"NO NAMED EXECUTOR",IF(AND(N(AF233)&gt;=3,AJ233=""),"Operating claimed with no sample",IF(AND(N(AF233)&gt;=3,Z233=1),"Operating rests on one individual",IF(AND(N(AF233)&gt;=3,AB233&lt;&gt;"Yes"),"Operating claimed below designed credential",IF(AND(R233="No",N(AF233)&lt;3),"HSSB GATE: below Operating",IF(AND(N(AF233)&gt;=3,AJ233&lt;&gt;"",AL233=""),"Sample size with no conforming count","OK"))))))))</f>
        <v>Not assessed</v>
      </c>
      <c r="AQ233" s="8"/>
      <c r="AR233" s="8"/>
      <c r="AS233" s="8"/>
    </row>
    <row r="234" customFormat="false" ht="32.8" hidden="false" customHeight="false" outlineLevel="0" collapsed="false">
      <c r="A234" s="6" t="s">
        <v>584</v>
      </c>
      <c r="B234" s="6" t="s">
        <v>574</v>
      </c>
      <c r="C234" s="6" t="s">
        <v>575</v>
      </c>
      <c r="D234" s="6" t="s">
        <v>576</v>
      </c>
      <c r="E234" s="6" t="s">
        <v>127</v>
      </c>
      <c r="F234" s="7"/>
      <c r="G234" s="6" t="s">
        <v>82</v>
      </c>
      <c r="H234" s="6"/>
      <c r="I234" s="6"/>
      <c r="J234" s="6"/>
      <c r="K234" s="6"/>
      <c r="L234" s="6" t="s">
        <v>83</v>
      </c>
      <c r="M234" s="6" t="s">
        <v>84</v>
      </c>
      <c r="N234" s="6"/>
      <c r="O234" s="6"/>
      <c r="P234" s="6"/>
      <c r="Q234" s="6"/>
      <c r="R234" s="6" t="s">
        <v>85</v>
      </c>
      <c r="S234" s="6" t="s">
        <v>577</v>
      </c>
      <c r="T234" s="6" t="s">
        <v>526</v>
      </c>
      <c r="U234" s="8"/>
      <c r="V234" s="8"/>
      <c r="W234" s="8"/>
      <c r="X234" s="8"/>
      <c r="Y234" s="9"/>
      <c r="Z234" s="9"/>
      <c r="AA234" s="9"/>
      <c r="AB234" s="9"/>
      <c r="AC234" s="10" t="str">
        <f aca="false">IF(Z234="","",IF(Z234=0,"Unassigned",IF(Z234=1,"Single point",IF(AB234="Yes","Staffed and credentialed","Staffed, credential gap"))))</f>
        <v/>
      </c>
      <c r="AD234" s="10" t="str">
        <f aca="false">IFERROR(INDEX(Lists!$H$3:$H$6,MATCH(AC234,Lists!$G$3:$G$6,0)),"")</f>
        <v/>
      </c>
      <c r="AE234" s="8"/>
      <c r="AF234" s="10" t="str">
        <f aca="false">IFERROR(INDEX(Lists!$B$3:$B$7,MATCH(AE234,Lists!$A$3:$A$7,0)),"")</f>
        <v/>
      </c>
      <c r="AG234" s="8"/>
      <c r="AH234" s="8"/>
      <c r="AI234" s="8"/>
      <c r="AJ234" s="8"/>
      <c r="AK234" s="8"/>
      <c r="AL234" s="8"/>
      <c r="AM234" s="11" t="str">
        <f aca="false">IF(OR(AJ234="",AJ234=0),"",AL234/AJ234)</f>
        <v/>
      </c>
      <c r="AN234" s="8"/>
      <c r="AO234" s="8"/>
      <c r="AP234" s="10" t="str">
        <f aca="false">IF(AN234="","Not assessed",IF(AND(R234="No",AN234="Gap - recommend tailoring"),"INVALID: HSSB is not tailorable",IF(OR(Z234="",Z234=0),"NO NAMED EXECUTOR",IF(AND(N(AF234)&gt;=3,AJ234=""),"Operating claimed with no sample",IF(AND(N(AF234)&gt;=3,Z234=1),"Operating rests on one individual",IF(AND(N(AF234)&gt;=3,AB234&lt;&gt;"Yes"),"Operating claimed below designed credential",IF(AND(R234="No",N(AF234)&lt;3),"HSSB GATE: below Operating",IF(AND(N(AF234)&gt;=3,AJ234&lt;&gt;"",AL234=""),"Sample size with no conforming count","OK"))))))))</f>
        <v>Not assessed</v>
      </c>
      <c r="AQ234" s="8"/>
      <c r="AR234" s="8"/>
      <c r="AS234" s="8"/>
    </row>
    <row r="235" customFormat="false" ht="32.8" hidden="false" customHeight="false" outlineLevel="0" collapsed="false">
      <c r="A235" s="6" t="s">
        <v>585</v>
      </c>
      <c r="B235" s="6" t="s">
        <v>574</v>
      </c>
      <c r="C235" s="6" t="s">
        <v>575</v>
      </c>
      <c r="D235" s="6" t="s">
        <v>576</v>
      </c>
      <c r="E235" s="6" t="s">
        <v>129</v>
      </c>
      <c r="F235" s="7"/>
      <c r="G235" s="6" t="s">
        <v>82</v>
      </c>
      <c r="H235" s="6"/>
      <c r="I235" s="6"/>
      <c r="J235" s="6"/>
      <c r="K235" s="6"/>
      <c r="L235" s="6" t="s">
        <v>83</v>
      </c>
      <c r="M235" s="6" t="s">
        <v>84</v>
      </c>
      <c r="N235" s="6"/>
      <c r="O235" s="6"/>
      <c r="P235" s="6"/>
      <c r="Q235" s="6"/>
      <c r="R235" s="6" t="s">
        <v>85</v>
      </c>
      <c r="S235" s="6" t="s">
        <v>577</v>
      </c>
      <c r="T235" s="6" t="s">
        <v>526</v>
      </c>
      <c r="U235" s="8"/>
      <c r="V235" s="8"/>
      <c r="W235" s="8"/>
      <c r="X235" s="8"/>
      <c r="Y235" s="9"/>
      <c r="Z235" s="9"/>
      <c r="AA235" s="9"/>
      <c r="AB235" s="9"/>
      <c r="AC235" s="10" t="str">
        <f aca="false">IF(Z235="","",IF(Z235=0,"Unassigned",IF(Z235=1,"Single point",IF(AB235="Yes","Staffed and credentialed","Staffed, credential gap"))))</f>
        <v/>
      </c>
      <c r="AD235" s="10" t="str">
        <f aca="false">IFERROR(INDEX(Lists!$H$3:$H$6,MATCH(AC235,Lists!$G$3:$G$6,0)),"")</f>
        <v/>
      </c>
      <c r="AE235" s="8"/>
      <c r="AF235" s="10" t="str">
        <f aca="false">IFERROR(INDEX(Lists!$B$3:$B$7,MATCH(AE235,Lists!$A$3:$A$7,0)),"")</f>
        <v/>
      </c>
      <c r="AG235" s="8"/>
      <c r="AH235" s="8"/>
      <c r="AI235" s="8"/>
      <c r="AJ235" s="8"/>
      <c r="AK235" s="8"/>
      <c r="AL235" s="8"/>
      <c r="AM235" s="11" t="str">
        <f aca="false">IF(OR(AJ235="",AJ235=0),"",AL235/AJ235)</f>
        <v/>
      </c>
      <c r="AN235" s="8"/>
      <c r="AO235" s="8"/>
      <c r="AP235" s="10" t="str">
        <f aca="false">IF(AN235="","Not assessed",IF(AND(R235="No",AN235="Gap - recommend tailoring"),"INVALID: HSSB is not tailorable",IF(OR(Z235="",Z235=0),"NO NAMED EXECUTOR",IF(AND(N(AF235)&gt;=3,AJ235=""),"Operating claimed with no sample",IF(AND(N(AF235)&gt;=3,Z235=1),"Operating rests on one individual",IF(AND(N(AF235)&gt;=3,AB235&lt;&gt;"Yes"),"Operating claimed below designed credential",IF(AND(R235="No",N(AF235)&lt;3),"HSSB GATE: below Operating",IF(AND(N(AF235)&gt;=3,AJ235&lt;&gt;"",AL235=""),"Sample size with no conforming count","OK"))))))))</f>
        <v>Not assessed</v>
      </c>
      <c r="AQ235" s="8"/>
      <c r="AR235" s="8"/>
      <c r="AS235" s="8"/>
    </row>
    <row r="236" customFormat="false" ht="32.8" hidden="false" customHeight="false" outlineLevel="0" collapsed="false">
      <c r="A236" s="6" t="s">
        <v>586</v>
      </c>
      <c r="B236" s="6" t="s">
        <v>574</v>
      </c>
      <c r="C236" s="6" t="s">
        <v>575</v>
      </c>
      <c r="D236" s="6" t="s">
        <v>576</v>
      </c>
      <c r="E236" s="6" t="s">
        <v>131</v>
      </c>
      <c r="F236" s="7"/>
      <c r="G236" s="6" t="s">
        <v>82</v>
      </c>
      <c r="H236" s="6"/>
      <c r="I236" s="6"/>
      <c r="J236" s="6"/>
      <c r="K236" s="6"/>
      <c r="L236" s="6" t="s">
        <v>83</v>
      </c>
      <c r="M236" s="6" t="s">
        <v>84</v>
      </c>
      <c r="N236" s="6"/>
      <c r="O236" s="6"/>
      <c r="P236" s="6"/>
      <c r="Q236" s="6"/>
      <c r="R236" s="6" t="s">
        <v>85</v>
      </c>
      <c r="S236" s="6" t="s">
        <v>577</v>
      </c>
      <c r="T236" s="6" t="s">
        <v>526</v>
      </c>
      <c r="U236" s="8"/>
      <c r="V236" s="8"/>
      <c r="W236" s="8"/>
      <c r="X236" s="8"/>
      <c r="Y236" s="9"/>
      <c r="Z236" s="9"/>
      <c r="AA236" s="9"/>
      <c r="AB236" s="9"/>
      <c r="AC236" s="10" t="str">
        <f aca="false">IF(Z236="","",IF(Z236=0,"Unassigned",IF(Z236=1,"Single point",IF(AB236="Yes","Staffed and credentialed","Staffed, credential gap"))))</f>
        <v/>
      </c>
      <c r="AD236" s="10" t="str">
        <f aca="false">IFERROR(INDEX(Lists!$H$3:$H$6,MATCH(AC236,Lists!$G$3:$G$6,0)),"")</f>
        <v/>
      </c>
      <c r="AE236" s="8"/>
      <c r="AF236" s="10" t="str">
        <f aca="false">IFERROR(INDEX(Lists!$B$3:$B$7,MATCH(AE236,Lists!$A$3:$A$7,0)),"")</f>
        <v/>
      </c>
      <c r="AG236" s="8"/>
      <c r="AH236" s="8"/>
      <c r="AI236" s="8"/>
      <c r="AJ236" s="8"/>
      <c r="AK236" s="8"/>
      <c r="AL236" s="8"/>
      <c r="AM236" s="11" t="str">
        <f aca="false">IF(OR(AJ236="",AJ236=0),"",AL236/AJ236)</f>
        <v/>
      </c>
      <c r="AN236" s="8"/>
      <c r="AO236" s="8"/>
      <c r="AP236" s="10" t="str">
        <f aca="false">IF(AN236="","Not assessed",IF(AND(R236="No",AN236="Gap - recommend tailoring"),"INVALID: HSSB is not tailorable",IF(OR(Z236="",Z236=0),"NO NAMED EXECUTOR",IF(AND(N(AF236)&gt;=3,AJ236=""),"Operating claimed with no sample",IF(AND(N(AF236)&gt;=3,Z236=1),"Operating rests on one individual",IF(AND(N(AF236)&gt;=3,AB236&lt;&gt;"Yes"),"Operating claimed below designed credential",IF(AND(R236="No",N(AF236)&lt;3),"HSSB GATE: below Operating",IF(AND(N(AF236)&gt;=3,AJ236&lt;&gt;"",AL236=""),"Sample size with no conforming count","OK"))))))))</f>
        <v>Not assessed</v>
      </c>
      <c r="AQ236" s="8"/>
      <c r="AR236" s="8"/>
      <c r="AS236" s="8"/>
    </row>
    <row r="237" customFormat="false" ht="32.8" hidden="false" customHeight="false" outlineLevel="0" collapsed="false">
      <c r="A237" s="6" t="s">
        <v>587</v>
      </c>
      <c r="B237" s="6" t="s">
        <v>574</v>
      </c>
      <c r="C237" s="6" t="s">
        <v>575</v>
      </c>
      <c r="D237" s="6" t="s">
        <v>576</v>
      </c>
      <c r="E237" s="6" t="s">
        <v>133</v>
      </c>
      <c r="F237" s="7"/>
      <c r="G237" s="6" t="s">
        <v>82</v>
      </c>
      <c r="H237" s="6"/>
      <c r="I237" s="6"/>
      <c r="J237" s="6"/>
      <c r="K237" s="6"/>
      <c r="L237" s="6" t="s">
        <v>83</v>
      </c>
      <c r="M237" s="6" t="s">
        <v>84</v>
      </c>
      <c r="N237" s="6"/>
      <c r="O237" s="6"/>
      <c r="P237" s="6"/>
      <c r="Q237" s="6"/>
      <c r="R237" s="6" t="s">
        <v>85</v>
      </c>
      <c r="S237" s="6" t="s">
        <v>577</v>
      </c>
      <c r="T237" s="6" t="s">
        <v>526</v>
      </c>
      <c r="U237" s="8"/>
      <c r="V237" s="8"/>
      <c r="W237" s="8"/>
      <c r="X237" s="8"/>
      <c r="Y237" s="9"/>
      <c r="Z237" s="9"/>
      <c r="AA237" s="9"/>
      <c r="AB237" s="9"/>
      <c r="AC237" s="10" t="str">
        <f aca="false">IF(Z237="","",IF(Z237=0,"Unassigned",IF(Z237=1,"Single point",IF(AB237="Yes","Staffed and credentialed","Staffed, credential gap"))))</f>
        <v/>
      </c>
      <c r="AD237" s="10" t="str">
        <f aca="false">IFERROR(INDEX(Lists!$H$3:$H$6,MATCH(AC237,Lists!$G$3:$G$6,0)),"")</f>
        <v/>
      </c>
      <c r="AE237" s="8"/>
      <c r="AF237" s="10" t="str">
        <f aca="false">IFERROR(INDEX(Lists!$B$3:$B$7,MATCH(AE237,Lists!$A$3:$A$7,0)),"")</f>
        <v/>
      </c>
      <c r="AG237" s="8"/>
      <c r="AH237" s="8"/>
      <c r="AI237" s="8"/>
      <c r="AJ237" s="8"/>
      <c r="AK237" s="8"/>
      <c r="AL237" s="8"/>
      <c r="AM237" s="11" t="str">
        <f aca="false">IF(OR(AJ237="",AJ237=0),"",AL237/AJ237)</f>
        <v/>
      </c>
      <c r="AN237" s="8"/>
      <c r="AO237" s="8"/>
      <c r="AP237" s="10" t="str">
        <f aca="false">IF(AN237="","Not assessed",IF(AND(R237="No",AN237="Gap - recommend tailoring"),"INVALID: HSSB is not tailorable",IF(OR(Z237="",Z237=0),"NO NAMED EXECUTOR",IF(AND(N(AF237)&gt;=3,AJ237=""),"Operating claimed with no sample",IF(AND(N(AF237)&gt;=3,Z237=1),"Operating rests on one individual",IF(AND(N(AF237)&gt;=3,AB237&lt;&gt;"Yes"),"Operating claimed below designed credential",IF(AND(R237="No",N(AF237)&lt;3),"HSSB GATE: below Operating",IF(AND(N(AF237)&gt;=3,AJ237&lt;&gt;"",AL237=""),"Sample size with no conforming count","OK"))))))))</f>
        <v>Not assessed</v>
      </c>
      <c r="AQ237" s="8"/>
      <c r="AR237" s="8"/>
      <c r="AS237" s="8"/>
    </row>
    <row r="238" customFormat="false" ht="32.8" hidden="false" customHeight="false" outlineLevel="0" collapsed="false">
      <c r="A238" s="6" t="s">
        <v>588</v>
      </c>
      <c r="B238" s="6" t="s">
        <v>574</v>
      </c>
      <c r="C238" s="6" t="s">
        <v>575</v>
      </c>
      <c r="D238" s="6" t="s">
        <v>576</v>
      </c>
      <c r="E238" s="6" t="s">
        <v>339</v>
      </c>
      <c r="F238" s="7"/>
      <c r="G238" s="6" t="s">
        <v>82</v>
      </c>
      <c r="H238" s="6"/>
      <c r="I238" s="6"/>
      <c r="J238" s="6"/>
      <c r="K238" s="6"/>
      <c r="L238" s="6" t="s">
        <v>83</v>
      </c>
      <c r="M238" s="6" t="s">
        <v>84</v>
      </c>
      <c r="N238" s="6"/>
      <c r="O238" s="6"/>
      <c r="P238" s="6"/>
      <c r="Q238" s="6"/>
      <c r="R238" s="6" t="s">
        <v>85</v>
      </c>
      <c r="S238" s="6" t="s">
        <v>577</v>
      </c>
      <c r="T238" s="6" t="s">
        <v>526</v>
      </c>
      <c r="U238" s="8"/>
      <c r="V238" s="8"/>
      <c r="W238" s="8"/>
      <c r="X238" s="8"/>
      <c r="Y238" s="9"/>
      <c r="Z238" s="9"/>
      <c r="AA238" s="9"/>
      <c r="AB238" s="9"/>
      <c r="AC238" s="10" t="str">
        <f aca="false">IF(Z238="","",IF(Z238=0,"Unassigned",IF(Z238=1,"Single point",IF(AB238="Yes","Staffed and credentialed","Staffed, credential gap"))))</f>
        <v/>
      </c>
      <c r="AD238" s="10" t="str">
        <f aca="false">IFERROR(INDEX(Lists!$H$3:$H$6,MATCH(AC238,Lists!$G$3:$G$6,0)),"")</f>
        <v/>
      </c>
      <c r="AE238" s="8"/>
      <c r="AF238" s="10" t="str">
        <f aca="false">IFERROR(INDEX(Lists!$B$3:$B$7,MATCH(AE238,Lists!$A$3:$A$7,0)),"")</f>
        <v/>
      </c>
      <c r="AG238" s="8"/>
      <c r="AH238" s="8"/>
      <c r="AI238" s="8"/>
      <c r="AJ238" s="8"/>
      <c r="AK238" s="8"/>
      <c r="AL238" s="8"/>
      <c r="AM238" s="11" t="str">
        <f aca="false">IF(OR(AJ238="",AJ238=0),"",AL238/AJ238)</f>
        <v/>
      </c>
      <c r="AN238" s="8"/>
      <c r="AO238" s="8"/>
      <c r="AP238" s="10" t="str">
        <f aca="false">IF(AN238="","Not assessed",IF(AND(R238="No",AN238="Gap - recommend tailoring"),"INVALID: HSSB is not tailorable",IF(OR(Z238="",Z238=0),"NO NAMED EXECUTOR",IF(AND(N(AF238)&gt;=3,AJ238=""),"Operating claimed with no sample",IF(AND(N(AF238)&gt;=3,Z238=1),"Operating rests on one individual",IF(AND(N(AF238)&gt;=3,AB238&lt;&gt;"Yes"),"Operating claimed below designed credential",IF(AND(R238="No",N(AF238)&lt;3),"HSSB GATE: below Operating",IF(AND(N(AF238)&gt;=3,AJ238&lt;&gt;"",AL238=""),"Sample size with no conforming count","OK"))))))))</f>
        <v>Not assessed</v>
      </c>
      <c r="AQ238" s="8"/>
      <c r="AR238" s="8"/>
      <c r="AS238" s="8"/>
    </row>
    <row r="239" customFormat="false" ht="32.8" hidden="false" customHeight="false" outlineLevel="0" collapsed="false">
      <c r="A239" s="6" t="s">
        <v>589</v>
      </c>
      <c r="B239" s="6" t="s">
        <v>574</v>
      </c>
      <c r="C239" s="6" t="s">
        <v>575</v>
      </c>
      <c r="D239" s="6" t="s">
        <v>576</v>
      </c>
      <c r="E239" s="6" t="s">
        <v>590</v>
      </c>
      <c r="F239" s="7"/>
      <c r="G239" s="6" t="s">
        <v>82</v>
      </c>
      <c r="H239" s="6"/>
      <c r="I239" s="6"/>
      <c r="J239" s="6"/>
      <c r="K239" s="6"/>
      <c r="L239" s="6" t="s">
        <v>83</v>
      </c>
      <c r="M239" s="6" t="s">
        <v>84</v>
      </c>
      <c r="N239" s="6"/>
      <c r="O239" s="6"/>
      <c r="P239" s="6"/>
      <c r="Q239" s="6"/>
      <c r="R239" s="6" t="s">
        <v>85</v>
      </c>
      <c r="S239" s="6" t="s">
        <v>577</v>
      </c>
      <c r="T239" s="6" t="s">
        <v>526</v>
      </c>
      <c r="U239" s="8"/>
      <c r="V239" s="8"/>
      <c r="W239" s="8"/>
      <c r="X239" s="8"/>
      <c r="Y239" s="9"/>
      <c r="Z239" s="9"/>
      <c r="AA239" s="9"/>
      <c r="AB239" s="9"/>
      <c r="AC239" s="10" t="str">
        <f aca="false">IF(Z239="","",IF(Z239=0,"Unassigned",IF(Z239=1,"Single point",IF(AB239="Yes","Staffed and credentialed","Staffed, credential gap"))))</f>
        <v/>
      </c>
      <c r="AD239" s="10" t="str">
        <f aca="false">IFERROR(INDEX(Lists!$H$3:$H$6,MATCH(AC239,Lists!$G$3:$G$6,0)),"")</f>
        <v/>
      </c>
      <c r="AE239" s="8"/>
      <c r="AF239" s="10" t="str">
        <f aca="false">IFERROR(INDEX(Lists!$B$3:$B$7,MATCH(AE239,Lists!$A$3:$A$7,0)),"")</f>
        <v/>
      </c>
      <c r="AG239" s="8"/>
      <c r="AH239" s="8"/>
      <c r="AI239" s="8"/>
      <c r="AJ239" s="8"/>
      <c r="AK239" s="8"/>
      <c r="AL239" s="8"/>
      <c r="AM239" s="11" t="str">
        <f aca="false">IF(OR(AJ239="",AJ239=0),"",AL239/AJ239)</f>
        <v/>
      </c>
      <c r="AN239" s="8"/>
      <c r="AO239" s="8"/>
      <c r="AP239" s="10" t="str">
        <f aca="false">IF(AN239="","Not assessed",IF(AND(R239="No",AN239="Gap - recommend tailoring"),"INVALID: HSSB is not tailorable",IF(OR(Z239="",Z239=0),"NO NAMED EXECUTOR",IF(AND(N(AF239)&gt;=3,AJ239=""),"Operating claimed with no sample",IF(AND(N(AF239)&gt;=3,Z239=1),"Operating rests on one individual",IF(AND(N(AF239)&gt;=3,AB239&lt;&gt;"Yes"),"Operating claimed below designed credential",IF(AND(R239="No",N(AF239)&lt;3),"HSSB GATE: below Operating",IF(AND(N(AF239)&gt;=3,AJ239&lt;&gt;"",AL239=""),"Sample size with no conforming count","OK"))))))))</f>
        <v>Not assessed</v>
      </c>
      <c r="AQ239" s="8"/>
      <c r="AR239" s="8"/>
      <c r="AS239" s="8"/>
    </row>
    <row r="240" customFormat="false" ht="32.8" hidden="false" customHeight="false" outlineLevel="0" collapsed="false">
      <c r="A240" s="6" t="s">
        <v>591</v>
      </c>
      <c r="B240" s="6" t="s">
        <v>574</v>
      </c>
      <c r="C240" s="6" t="s">
        <v>575</v>
      </c>
      <c r="D240" s="6" t="s">
        <v>576</v>
      </c>
      <c r="E240" s="6" t="s">
        <v>592</v>
      </c>
      <c r="F240" s="7"/>
      <c r="G240" s="6" t="s">
        <v>82</v>
      </c>
      <c r="H240" s="6"/>
      <c r="I240" s="6"/>
      <c r="J240" s="6"/>
      <c r="K240" s="6"/>
      <c r="L240" s="6" t="s">
        <v>83</v>
      </c>
      <c r="M240" s="6" t="s">
        <v>84</v>
      </c>
      <c r="N240" s="6"/>
      <c r="O240" s="6"/>
      <c r="P240" s="6"/>
      <c r="Q240" s="6"/>
      <c r="R240" s="6" t="s">
        <v>85</v>
      </c>
      <c r="S240" s="6" t="s">
        <v>577</v>
      </c>
      <c r="T240" s="6" t="s">
        <v>526</v>
      </c>
      <c r="U240" s="8"/>
      <c r="V240" s="8"/>
      <c r="W240" s="8"/>
      <c r="X240" s="8"/>
      <c r="Y240" s="9"/>
      <c r="Z240" s="9"/>
      <c r="AA240" s="9"/>
      <c r="AB240" s="9"/>
      <c r="AC240" s="10" t="str">
        <f aca="false">IF(Z240="","",IF(Z240=0,"Unassigned",IF(Z240=1,"Single point",IF(AB240="Yes","Staffed and credentialed","Staffed, credential gap"))))</f>
        <v/>
      </c>
      <c r="AD240" s="10" t="str">
        <f aca="false">IFERROR(INDEX(Lists!$H$3:$H$6,MATCH(AC240,Lists!$G$3:$G$6,0)),"")</f>
        <v/>
      </c>
      <c r="AE240" s="8"/>
      <c r="AF240" s="10" t="str">
        <f aca="false">IFERROR(INDEX(Lists!$B$3:$B$7,MATCH(AE240,Lists!$A$3:$A$7,0)),"")</f>
        <v/>
      </c>
      <c r="AG240" s="8"/>
      <c r="AH240" s="8"/>
      <c r="AI240" s="8"/>
      <c r="AJ240" s="8"/>
      <c r="AK240" s="8"/>
      <c r="AL240" s="8"/>
      <c r="AM240" s="11" t="str">
        <f aca="false">IF(OR(AJ240="",AJ240=0),"",AL240/AJ240)</f>
        <v/>
      </c>
      <c r="AN240" s="8"/>
      <c r="AO240" s="8"/>
      <c r="AP240" s="10" t="str">
        <f aca="false">IF(AN240="","Not assessed",IF(AND(R240="No",AN240="Gap - recommend tailoring"),"INVALID: HSSB is not tailorable",IF(OR(Z240="",Z240=0),"NO NAMED EXECUTOR",IF(AND(N(AF240)&gt;=3,AJ240=""),"Operating claimed with no sample",IF(AND(N(AF240)&gt;=3,Z240=1),"Operating rests on one individual",IF(AND(N(AF240)&gt;=3,AB240&lt;&gt;"Yes"),"Operating claimed below designed credential",IF(AND(R240="No",N(AF240)&lt;3),"HSSB GATE: below Operating",IF(AND(N(AF240)&gt;=3,AJ240&lt;&gt;"",AL240=""),"Sample size with no conforming count","OK"))))))))</f>
        <v>Not assessed</v>
      </c>
      <c r="AQ240" s="8"/>
      <c r="AR240" s="8"/>
      <c r="AS240" s="8"/>
    </row>
    <row r="241" customFormat="false" ht="32.8" hidden="false" customHeight="false" outlineLevel="0" collapsed="false">
      <c r="A241" s="6" t="s">
        <v>593</v>
      </c>
      <c r="B241" s="6" t="s">
        <v>574</v>
      </c>
      <c r="C241" s="6" t="s">
        <v>575</v>
      </c>
      <c r="D241" s="6" t="s">
        <v>576</v>
      </c>
      <c r="E241" s="6" t="s">
        <v>88</v>
      </c>
      <c r="F241" s="7"/>
      <c r="G241" s="6" t="s">
        <v>82</v>
      </c>
      <c r="H241" s="6"/>
      <c r="I241" s="6"/>
      <c r="J241" s="6"/>
      <c r="K241" s="6"/>
      <c r="L241" s="6" t="s">
        <v>83</v>
      </c>
      <c r="M241" s="6" t="s">
        <v>84</v>
      </c>
      <c r="N241" s="6"/>
      <c r="O241" s="6"/>
      <c r="P241" s="6"/>
      <c r="Q241" s="6"/>
      <c r="R241" s="6" t="s">
        <v>85</v>
      </c>
      <c r="S241" s="6" t="s">
        <v>577</v>
      </c>
      <c r="T241" s="6" t="s">
        <v>526</v>
      </c>
      <c r="U241" s="8"/>
      <c r="V241" s="8"/>
      <c r="W241" s="8"/>
      <c r="X241" s="8"/>
      <c r="Y241" s="9"/>
      <c r="Z241" s="9"/>
      <c r="AA241" s="9"/>
      <c r="AB241" s="9"/>
      <c r="AC241" s="10" t="str">
        <f aca="false">IF(Z241="","",IF(Z241=0,"Unassigned",IF(Z241=1,"Single point",IF(AB241="Yes","Staffed and credentialed","Staffed, credential gap"))))</f>
        <v/>
      </c>
      <c r="AD241" s="10" t="str">
        <f aca="false">IFERROR(INDEX(Lists!$H$3:$H$6,MATCH(AC241,Lists!$G$3:$G$6,0)),"")</f>
        <v/>
      </c>
      <c r="AE241" s="8"/>
      <c r="AF241" s="10" t="str">
        <f aca="false">IFERROR(INDEX(Lists!$B$3:$B$7,MATCH(AE241,Lists!$A$3:$A$7,0)),"")</f>
        <v/>
      </c>
      <c r="AG241" s="8"/>
      <c r="AH241" s="8"/>
      <c r="AI241" s="8"/>
      <c r="AJ241" s="8"/>
      <c r="AK241" s="8"/>
      <c r="AL241" s="8"/>
      <c r="AM241" s="11" t="str">
        <f aca="false">IF(OR(AJ241="",AJ241=0),"",AL241/AJ241)</f>
        <v/>
      </c>
      <c r="AN241" s="8"/>
      <c r="AO241" s="8"/>
      <c r="AP241" s="10" t="str">
        <f aca="false">IF(AN241="","Not assessed",IF(AND(R241="No",AN241="Gap - recommend tailoring"),"INVALID: HSSB is not tailorable",IF(OR(Z241="",Z241=0),"NO NAMED EXECUTOR",IF(AND(N(AF241)&gt;=3,AJ241=""),"Operating claimed with no sample",IF(AND(N(AF241)&gt;=3,Z241=1),"Operating rests on one individual",IF(AND(N(AF241)&gt;=3,AB241&lt;&gt;"Yes"),"Operating claimed below designed credential",IF(AND(R241="No",N(AF241)&lt;3),"HSSB GATE: below Operating",IF(AND(N(AF241)&gt;=3,AJ241&lt;&gt;"",AL241=""),"Sample size with no conforming count","OK"))))))))</f>
        <v>Not assessed</v>
      </c>
      <c r="AQ241" s="8"/>
      <c r="AR241" s="8"/>
      <c r="AS241" s="8"/>
    </row>
    <row r="242" customFormat="false" ht="32.8" hidden="false" customHeight="false" outlineLevel="0" collapsed="false">
      <c r="A242" s="6" t="s">
        <v>594</v>
      </c>
      <c r="B242" s="6" t="s">
        <v>574</v>
      </c>
      <c r="C242" s="6" t="s">
        <v>575</v>
      </c>
      <c r="D242" s="6" t="s">
        <v>576</v>
      </c>
      <c r="E242" s="6" t="s">
        <v>100</v>
      </c>
      <c r="F242" s="7"/>
      <c r="G242" s="6" t="s">
        <v>82</v>
      </c>
      <c r="H242" s="6"/>
      <c r="I242" s="6"/>
      <c r="J242" s="6"/>
      <c r="K242" s="6"/>
      <c r="L242" s="6" t="s">
        <v>83</v>
      </c>
      <c r="M242" s="6" t="s">
        <v>84</v>
      </c>
      <c r="N242" s="6"/>
      <c r="O242" s="6"/>
      <c r="P242" s="6"/>
      <c r="Q242" s="6"/>
      <c r="R242" s="6" t="s">
        <v>85</v>
      </c>
      <c r="S242" s="6" t="s">
        <v>577</v>
      </c>
      <c r="T242" s="6" t="s">
        <v>526</v>
      </c>
      <c r="U242" s="8"/>
      <c r="V242" s="8"/>
      <c r="W242" s="8"/>
      <c r="X242" s="8"/>
      <c r="Y242" s="9"/>
      <c r="Z242" s="9"/>
      <c r="AA242" s="9"/>
      <c r="AB242" s="9"/>
      <c r="AC242" s="10" t="str">
        <f aca="false">IF(Z242="","",IF(Z242=0,"Unassigned",IF(Z242=1,"Single point",IF(AB242="Yes","Staffed and credentialed","Staffed, credential gap"))))</f>
        <v/>
      </c>
      <c r="AD242" s="10" t="str">
        <f aca="false">IFERROR(INDEX(Lists!$H$3:$H$6,MATCH(AC242,Lists!$G$3:$G$6,0)),"")</f>
        <v/>
      </c>
      <c r="AE242" s="8"/>
      <c r="AF242" s="10" t="str">
        <f aca="false">IFERROR(INDEX(Lists!$B$3:$B$7,MATCH(AE242,Lists!$A$3:$A$7,0)),"")</f>
        <v/>
      </c>
      <c r="AG242" s="8"/>
      <c r="AH242" s="8"/>
      <c r="AI242" s="8"/>
      <c r="AJ242" s="8"/>
      <c r="AK242" s="8"/>
      <c r="AL242" s="8"/>
      <c r="AM242" s="11" t="str">
        <f aca="false">IF(OR(AJ242="",AJ242=0),"",AL242/AJ242)</f>
        <v/>
      </c>
      <c r="AN242" s="8"/>
      <c r="AO242" s="8"/>
      <c r="AP242" s="10" t="str">
        <f aca="false">IF(AN242="","Not assessed",IF(AND(R242="No",AN242="Gap - recommend tailoring"),"INVALID: HSSB is not tailorable",IF(OR(Z242="",Z242=0),"NO NAMED EXECUTOR",IF(AND(N(AF242)&gt;=3,AJ242=""),"Operating claimed with no sample",IF(AND(N(AF242)&gt;=3,Z242=1),"Operating rests on one individual",IF(AND(N(AF242)&gt;=3,AB242&lt;&gt;"Yes"),"Operating claimed below designed credential",IF(AND(R242="No",N(AF242)&lt;3),"HSSB GATE: below Operating",IF(AND(N(AF242)&gt;=3,AJ242&lt;&gt;"",AL242=""),"Sample size with no conforming count","OK"))))))))</f>
        <v>Not assessed</v>
      </c>
      <c r="AQ242" s="8"/>
      <c r="AR242" s="8"/>
      <c r="AS242" s="8"/>
    </row>
    <row r="243" customFormat="false" ht="22.35" hidden="false" customHeight="false" outlineLevel="0" collapsed="false">
      <c r="A243" s="6" t="s">
        <v>595</v>
      </c>
      <c r="B243" s="6" t="s">
        <v>574</v>
      </c>
      <c r="C243" s="6" t="s">
        <v>596</v>
      </c>
      <c r="D243" s="6" t="s">
        <v>597</v>
      </c>
      <c r="E243" s="6" t="s">
        <v>81</v>
      </c>
      <c r="F243" s="7"/>
      <c r="G243" s="6" t="s">
        <v>82</v>
      </c>
      <c r="H243" s="6"/>
      <c r="I243" s="6"/>
      <c r="J243" s="6"/>
      <c r="K243" s="6"/>
      <c r="L243" s="6" t="s">
        <v>83</v>
      </c>
      <c r="M243" s="6" t="s">
        <v>84</v>
      </c>
      <c r="N243" s="6"/>
      <c r="O243" s="6"/>
      <c r="P243" s="6"/>
      <c r="Q243" s="6"/>
      <c r="R243" s="6" t="s">
        <v>85</v>
      </c>
      <c r="S243" s="6"/>
      <c r="T243" s="6" t="s">
        <v>526</v>
      </c>
      <c r="U243" s="8"/>
      <c r="V243" s="8"/>
      <c r="W243" s="8"/>
      <c r="X243" s="8"/>
      <c r="Y243" s="9"/>
      <c r="Z243" s="9"/>
      <c r="AA243" s="9"/>
      <c r="AB243" s="9"/>
      <c r="AC243" s="10" t="str">
        <f aca="false">IF(Z243="","",IF(Z243=0,"Unassigned",IF(Z243=1,"Single point",IF(AB243="Yes","Staffed and credentialed","Staffed, credential gap"))))</f>
        <v/>
      </c>
      <c r="AD243" s="10" t="str">
        <f aca="false">IFERROR(INDEX(Lists!$H$3:$H$6,MATCH(AC243,Lists!$G$3:$G$6,0)),"")</f>
        <v/>
      </c>
      <c r="AE243" s="8"/>
      <c r="AF243" s="10" t="str">
        <f aca="false">IFERROR(INDEX(Lists!$B$3:$B$7,MATCH(AE243,Lists!$A$3:$A$7,0)),"")</f>
        <v/>
      </c>
      <c r="AG243" s="8"/>
      <c r="AH243" s="8"/>
      <c r="AI243" s="8"/>
      <c r="AJ243" s="8"/>
      <c r="AK243" s="8"/>
      <c r="AL243" s="8"/>
      <c r="AM243" s="11" t="str">
        <f aca="false">IF(OR(AJ243="",AJ243=0),"",AL243/AJ243)</f>
        <v/>
      </c>
      <c r="AN243" s="8"/>
      <c r="AO243" s="8"/>
      <c r="AP243" s="10" t="str">
        <f aca="false">IF(AN243="","Not assessed",IF(AND(R243="No",AN243="Gap - recommend tailoring"),"INVALID: HSSB is not tailorable",IF(OR(Z243="",Z243=0),"NO NAMED EXECUTOR",IF(AND(N(AF243)&gt;=3,AJ243=""),"Operating claimed with no sample",IF(AND(N(AF243)&gt;=3,Z243=1),"Operating rests on one individual",IF(AND(N(AF243)&gt;=3,AB243&lt;&gt;"Yes"),"Operating claimed below designed credential",IF(AND(R243="No",N(AF243)&lt;3),"HSSB GATE: below Operating",IF(AND(N(AF243)&gt;=3,AJ243&lt;&gt;"",AL243=""),"Sample size with no conforming count","OK"))))))))</f>
        <v>Not assessed</v>
      </c>
      <c r="AQ243" s="8"/>
      <c r="AR243" s="8"/>
      <c r="AS243" s="8"/>
    </row>
    <row r="244" customFormat="false" ht="22.35" hidden="false" customHeight="false" outlineLevel="0" collapsed="false">
      <c r="A244" s="12" t="s">
        <v>598</v>
      </c>
      <c r="B244" s="12" t="s">
        <v>574</v>
      </c>
      <c r="C244" s="12" t="s">
        <v>596</v>
      </c>
      <c r="D244" s="12" t="s">
        <v>597</v>
      </c>
      <c r="E244" s="12" t="s">
        <v>88</v>
      </c>
      <c r="F244" s="12"/>
      <c r="G244" s="13" t="s">
        <v>85</v>
      </c>
      <c r="H244" s="13" t="s">
        <v>599</v>
      </c>
      <c r="I244" s="12" t="s">
        <v>90</v>
      </c>
      <c r="J244" s="12" t="s">
        <v>600</v>
      </c>
      <c r="K244" s="12" t="s">
        <v>601</v>
      </c>
      <c r="L244" s="12" t="s">
        <v>93</v>
      </c>
      <c r="M244" s="12" t="s">
        <v>94</v>
      </c>
      <c r="N244" s="12" t="s">
        <v>95</v>
      </c>
      <c r="O244" s="12" t="s">
        <v>96</v>
      </c>
      <c r="P244" s="12" t="s">
        <v>97</v>
      </c>
      <c r="Q244" s="12" t="s">
        <v>195</v>
      </c>
      <c r="R244" s="12" t="s">
        <v>82</v>
      </c>
      <c r="S244" s="12"/>
      <c r="T244" s="12" t="s">
        <v>526</v>
      </c>
      <c r="U244" s="8"/>
      <c r="V244" s="8"/>
      <c r="W244" s="8"/>
      <c r="X244" s="8"/>
      <c r="Y244" s="9"/>
      <c r="Z244" s="9"/>
      <c r="AA244" s="9"/>
      <c r="AB244" s="9"/>
      <c r="AC244" s="10" t="str">
        <f aca="false">IF(Z244="","",IF(Z244=0,"Unassigned",IF(Z244=1,"Single point",IF(AB244="Yes","Staffed and credentialed","Staffed, credential gap"))))</f>
        <v/>
      </c>
      <c r="AD244" s="10" t="str">
        <f aca="false">IFERROR(INDEX(Lists!$H$3:$H$6,MATCH(AC244,Lists!$G$3:$G$6,0)),"")</f>
        <v/>
      </c>
      <c r="AE244" s="8"/>
      <c r="AF244" s="10" t="str">
        <f aca="false">IFERROR(INDEX(Lists!$B$3:$B$7,MATCH(AE244,Lists!$A$3:$A$7,0)),"")</f>
        <v/>
      </c>
      <c r="AG244" s="8"/>
      <c r="AH244" s="8"/>
      <c r="AI244" s="8"/>
      <c r="AJ244" s="8"/>
      <c r="AK244" s="8"/>
      <c r="AL244" s="8"/>
      <c r="AM244" s="11" t="str">
        <f aca="false">IF(OR(AJ244="",AJ244=0),"",AL244/AJ244)</f>
        <v/>
      </c>
      <c r="AN244" s="8"/>
      <c r="AO244" s="8"/>
      <c r="AP244" s="10" t="str">
        <f aca="false">IF(AN244="","Not assessed",IF(AND(R244="No",AN244="Gap - recommend tailoring"),"INVALID: HSSB is not tailorable",IF(OR(Z244="",Z244=0),"NO NAMED EXECUTOR",IF(AND(N(AF244)&gt;=3,AJ244=""),"Operating claimed with no sample",IF(AND(N(AF244)&gt;=3,Z244=1),"Operating rests on one individual",IF(AND(N(AF244)&gt;=3,AB244&lt;&gt;"Yes"),"Operating claimed below designed credential",IF(AND(R244="No",N(AF244)&lt;3),"HSSB GATE: below Operating",IF(AND(N(AF244)&gt;=3,AJ244&lt;&gt;"",AL244=""),"Sample size with no conforming count","OK"))))))))</f>
        <v>Not assessed</v>
      </c>
      <c r="AQ244" s="8"/>
      <c r="AR244" s="8"/>
      <c r="AS244" s="8"/>
    </row>
    <row r="245" customFormat="false" ht="22.35" hidden="false" customHeight="false" outlineLevel="0" collapsed="false">
      <c r="A245" s="12" t="s">
        <v>602</v>
      </c>
      <c r="B245" s="12" t="s">
        <v>574</v>
      </c>
      <c r="C245" s="12" t="s">
        <v>596</v>
      </c>
      <c r="D245" s="12" t="s">
        <v>597</v>
      </c>
      <c r="E245" s="12" t="s">
        <v>100</v>
      </c>
      <c r="F245" s="12"/>
      <c r="G245" s="13" t="s">
        <v>85</v>
      </c>
      <c r="H245" s="13" t="s">
        <v>603</v>
      </c>
      <c r="I245" s="12" t="s">
        <v>90</v>
      </c>
      <c r="J245" s="12" t="s">
        <v>600</v>
      </c>
      <c r="K245" s="12" t="s">
        <v>601</v>
      </c>
      <c r="L245" s="12" t="s">
        <v>93</v>
      </c>
      <c r="M245" s="12" t="s">
        <v>94</v>
      </c>
      <c r="N245" s="12" t="s">
        <v>95</v>
      </c>
      <c r="O245" s="12" t="s">
        <v>96</v>
      </c>
      <c r="P245" s="12" t="s">
        <v>97</v>
      </c>
      <c r="Q245" s="12" t="s">
        <v>472</v>
      </c>
      <c r="R245" s="12" t="s">
        <v>82</v>
      </c>
      <c r="S245" s="12"/>
      <c r="T245" s="12" t="s">
        <v>526</v>
      </c>
      <c r="U245" s="8"/>
      <c r="V245" s="8"/>
      <c r="W245" s="8"/>
      <c r="X245" s="8"/>
      <c r="Y245" s="9"/>
      <c r="Z245" s="9"/>
      <c r="AA245" s="9"/>
      <c r="AB245" s="9"/>
      <c r="AC245" s="10" t="str">
        <f aca="false">IF(Z245="","",IF(Z245=0,"Unassigned",IF(Z245=1,"Single point",IF(AB245="Yes","Staffed and credentialed","Staffed, credential gap"))))</f>
        <v/>
      </c>
      <c r="AD245" s="10" t="str">
        <f aca="false">IFERROR(INDEX(Lists!$H$3:$H$6,MATCH(AC245,Lists!$G$3:$G$6,0)),"")</f>
        <v/>
      </c>
      <c r="AE245" s="8"/>
      <c r="AF245" s="10" t="str">
        <f aca="false">IFERROR(INDEX(Lists!$B$3:$B$7,MATCH(AE245,Lists!$A$3:$A$7,0)),"")</f>
        <v/>
      </c>
      <c r="AG245" s="8"/>
      <c r="AH245" s="8"/>
      <c r="AI245" s="8"/>
      <c r="AJ245" s="8"/>
      <c r="AK245" s="8"/>
      <c r="AL245" s="8"/>
      <c r="AM245" s="11" t="str">
        <f aca="false">IF(OR(AJ245="",AJ245=0),"",AL245/AJ245)</f>
        <v/>
      </c>
      <c r="AN245" s="8"/>
      <c r="AO245" s="8"/>
      <c r="AP245" s="10" t="str">
        <f aca="false">IF(AN245="","Not assessed",IF(AND(R245="No",AN245="Gap - recommend tailoring"),"INVALID: HSSB is not tailorable",IF(OR(Z245="",Z245=0),"NO NAMED EXECUTOR",IF(AND(N(AF245)&gt;=3,AJ245=""),"Operating claimed with no sample",IF(AND(N(AF245)&gt;=3,Z245=1),"Operating rests on one individual",IF(AND(N(AF245)&gt;=3,AB245&lt;&gt;"Yes"),"Operating claimed below designed credential",IF(AND(R245="No",N(AF245)&lt;3),"HSSB GATE: below Operating",IF(AND(N(AF245)&gt;=3,AJ245&lt;&gt;"",AL245=""),"Sample size with no conforming count","OK"))))))))</f>
        <v>Not assessed</v>
      </c>
      <c r="AQ245" s="8"/>
      <c r="AR245" s="8"/>
      <c r="AS245" s="8"/>
    </row>
    <row r="246" customFormat="false" ht="22.35" hidden="false" customHeight="false" outlineLevel="0" collapsed="false">
      <c r="A246" s="6" t="s">
        <v>604</v>
      </c>
      <c r="B246" s="6" t="s">
        <v>574</v>
      </c>
      <c r="C246" s="6" t="s">
        <v>596</v>
      </c>
      <c r="D246" s="6" t="s">
        <v>597</v>
      </c>
      <c r="E246" s="6" t="s">
        <v>102</v>
      </c>
      <c r="F246" s="7"/>
      <c r="G246" s="6" t="s">
        <v>82</v>
      </c>
      <c r="H246" s="6"/>
      <c r="I246" s="6"/>
      <c r="J246" s="6"/>
      <c r="K246" s="6"/>
      <c r="L246" s="6" t="s">
        <v>83</v>
      </c>
      <c r="M246" s="6" t="s">
        <v>84</v>
      </c>
      <c r="N246" s="6"/>
      <c r="O246" s="6"/>
      <c r="P246" s="6"/>
      <c r="Q246" s="6"/>
      <c r="R246" s="6" t="s">
        <v>85</v>
      </c>
      <c r="S246" s="6"/>
      <c r="T246" s="6" t="s">
        <v>526</v>
      </c>
      <c r="U246" s="8"/>
      <c r="V246" s="8"/>
      <c r="W246" s="8"/>
      <c r="X246" s="8"/>
      <c r="Y246" s="9"/>
      <c r="Z246" s="9"/>
      <c r="AA246" s="9"/>
      <c r="AB246" s="9"/>
      <c r="AC246" s="10" t="str">
        <f aca="false">IF(Z246="","",IF(Z246=0,"Unassigned",IF(Z246=1,"Single point",IF(AB246="Yes","Staffed and credentialed","Staffed, credential gap"))))</f>
        <v/>
      </c>
      <c r="AD246" s="10" t="str">
        <f aca="false">IFERROR(INDEX(Lists!$H$3:$H$6,MATCH(AC246,Lists!$G$3:$G$6,0)),"")</f>
        <v/>
      </c>
      <c r="AE246" s="8"/>
      <c r="AF246" s="10" t="str">
        <f aca="false">IFERROR(INDEX(Lists!$B$3:$B$7,MATCH(AE246,Lists!$A$3:$A$7,0)),"")</f>
        <v/>
      </c>
      <c r="AG246" s="8"/>
      <c r="AH246" s="8"/>
      <c r="AI246" s="8"/>
      <c r="AJ246" s="8"/>
      <c r="AK246" s="8"/>
      <c r="AL246" s="8"/>
      <c r="AM246" s="11" t="str">
        <f aca="false">IF(OR(AJ246="",AJ246=0),"",AL246/AJ246)</f>
        <v/>
      </c>
      <c r="AN246" s="8"/>
      <c r="AO246" s="8"/>
      <c r="AP246" s="10" t="str">
        <f aca="false">IF(AN246="","Not assessed",IF(AND(R246="No",AN246="Gap - recommend tailoring"),"INVALID: HSSB is not tailorable",IF(OR(Z246="",Z246=0),"NO NAMED EXECUTOR",IF(AND(N(AF246)&gt;=3,AJ246=""),"Operating claimed with no sample",IF(AND(N(AF246)&gt;=3,Z246=1),"Operating rests on one individual",IF(AND(N(AF246)&gt;=3,AB246&lt;&gt;"Yes"),"Operating claimed below designed credential",IF(AND(R246="No",N(AF246)&lt;3),"HSSB GATE: below Operating",IF(AND(N(AF246)&gt;=3,AJ246&lt;&gt;"",AL246=""),"Sample size with no conforming count","OK"))))))))</f>
        <v>Not assessed</v>
      </c>
      <c r="AQ246" s="8"/>
      <c r="AR246" s="8"/>
      <c r="AS246" s="8"/>
    </row>
    <row r="247" customFormat="false" ht="22.35" hidden="false" customHeight="false" outlineLevel="0" collapsed="false">
      <c r="A247" s="6" t="s">
        <v>605</v>
      </c>
      <c r="B247" s="6" t="s">
        <v>574</v>
      </c>
      <c r="C247" s="6" t="s">
        <v>596</v>
      </c>
      <c r="D247" s="6" t="s">
        <v>597</v>
      </c>
      <c r="E247" s="6" t="s">
        <v>209</v>
      </c>
      <c r="F247" s="7"/>
      <c r="G247" s="6" t="s">
        <v>82</v>
      </c>
      <c r="H247" s="6"/>
      <c r="I247" s="6"/>
      <c r="J247" s="6"/>
      <c r="K247" s="6"/>
      <c r="L247" s="6" t="s">
        <v>83</v>
      </c>
      <c r="M247" s="6" t="s">
        <v>84</v>
      </c>
      <c r="N247" s="6"/>
      <c r="O247" s="6"/>
      <c r="P247" s="6"/>
      <c r="Q247" s="6"/>
      <c r="R247" s="6" t="s">
        <v>85</v>
      </c>
      <c r="S247" s="6"/>
      <c r="T247" s="6" t="s">
        <v>526</v>
      </c>
      <c r="U247" s="8"/>
      <c r="V247" s="8"/>
      <c r="W247" s="8"/>
      <c r="X247" s="8"/>
      <c r="Y247" s="9"/>
      <c r="Z247" s="9"/>
      <c r="AA247" s="9"/>
      <c r="AB247" s="9"/>
      <c r="AC247" s="10" t="str">
        <f aca="false">IF(Z247="","",IF(Z247=0,"Unassigned",IF(Z247=1,"Single point",IF(AB247="Yes","Staffed and credentialed","Staffed, credential gap"))))</f>
        <v/>
      </c>
      <c r="AD247" s="10" t="str">
        <f aca="false">IFERROR(INDEX(Lists!$H$3:$H$6,MATCH(AC247,Lists!$G$3:$G$6,0)),"")</f>
        <v/>
      </c>
      <c r="AE247" s="8"/>
      <c r="AF247" s="10" t="str">
        <f aca="false">IFERROR(INDEX(Lists!$B$3:$B$7,MATCH(AE247,Lists!$A$3:$A$7,0)),"")</f>
        <v/>
      </c>
      <c r="AG247" s="8"/>
      <c r="AH247" s="8"/>
      <c r="AI247" s="8"/>
      <c r="AJ247" s="8"/>
      <c r="AK247" s="8"/>
      <c r="AL247" s="8"/>
      <c r="AM247" s="11" t="str">
        <f aca="false">IF(OR(AJ247="",AJ247=0),"",AL247/AJ247)</f>
        <v/>
      </c>
      <c r="AN247" s="8"/>
      <c r="AO247" s="8"/>
      <c r="AP247" s="10" t="str">
        <f aca="false">IF(AN247="","Not assessed",IF(AND(R247="No",AN247="Gap - recommend tailoring"),"INVALID: HSSB is not tailorable",IF(OR(Z247="",Z247=0),"NO NAMED EXECUTOR",IF(AND(N(AF247)&gt;=3,AJ247=""),"Operating claimed with no sample",IF(AND(N(AF247)&gt;=3,Z247=1),"Operating rests on one individual",IF(AND(N(AF247)&gt;=3,AB247&lt;&gt;"Yes"),"Operating claimed below designed credential",IF(AND(R247="No",N(AF247)&lt;3),"HSSB GATE: below Operating",IF(AND(N(AF247)&gt;=3,AJ247&lt;&gt;"",AL247=""),"Sample size with no conforming count","OK"))))))))</f>
        <v>Not assessed</v>
      </c>
      <c r="AQ247" s="8"/>
      <c r="AR247" s="8"/>
      <c r="AS247" s="8"/>
    </row>
    <row r="248" customFormat="false" ht="22.35" hidden="false" customHeight="false" outlineLevel="0" collapsed="false">
      <c r="A248" s="6" t="s">
        <v>606</v>
      </c>
      <c r="B248" s="6" t="s">
        <v>574</v>
      </c>
      <c r="C248" s="6" t="s">
        <v>607</v>
      </c>
      <c r="D248" s="6" t="s">
        <v>608</v>
      </c>
      <c r="E248" s="6" t="s">
        <v>112</v>
      </c>
      <c r="F248" s="7"/>
      <c r="G248" s="6" t="s">
        <v>82</v>
      </c>
      <c r="H248" s="6"/>
      <c r="I248" s="6"/>
      <c r="J248" s="6"/>
      <c r="K248" s="6"/>
      <c r="L248" s="6" t="s">
        <v>83</v>
      </c>
      <c r="M248" s="6" t="s">
        <v>84</v>
      </c>
      <c r="N248" s="6"/>
      <c r="O248" s="6"/>
      <c r="P248" s="6"/>
      <c r="Q248" s="6"/>
      <c r="R248" s="6" t="s">
        <v>85</v>
      </c>
      <c r="S248" s="6"/>
      <c r="T248" s="6" t="s">
        <v>526</v>
      </c>
      <c r="U248" s="8"/>
      <c r="V248" s="8"/>
      <c r="W248" s="8"/>
      <c r="X248" s="8"/>
      <c r="Y248" s="9"/>
      <c r="Z248" s="9"/>
      <c r="AA248" s="9"/>
      <c r="AB248" s="9"/>
      <c r="AC248" s="10" t="str">
        <f aca="false">IF(Z248="","",IF(Z248=0,"Unassigned",IF(Z248=1,"Single point",IF(AB248="Yes","Staffed and credentialed","Staffed, credential gap"))))</f>
        <v/>
      </c>
      <c r="AD248" s="10" t="str">
        <f aca="false">IFERROR(INDEX(Lists!$H$3:$H$6,MATCH(AC248,Lists!$G$3:$G$6,0)),"")</f>
        <v/>
      </c>
      <c r="AE248" s="8"/>
      <c r="AF248" s="10" t="str">
        <f aca="false">IFERROR(INDEX(Lists!$B$3:$B$7,MATCH(AE248,Lists!$A$3:$A$7,0)),"")</f>
        <v/>
      </c>
      <c r="AG248" s="8"/>
      <c r="AH248" s="8"/>
      <c r="AI248" s="8"/>
      <c r="AJ248" s="8"/>
      <c r="AK248" s="8"/>
      <c r="AL248" s="8"/>
      <c r="AM248" s="11" t="str">
        <f aca="false">IF(OR(AJ248="",AJ248=0),"",AL248/AJ248)</f>
        <v/>
      </c>
      <c r="AN248" s="8"/>
      <c r="AO248" s="8"/>
      <c r="AP248" s="10" t="str">
        <f aca="false">IF(AN248="","Not assessed",IF(AND(R248="No",AN248="Gap - recommend tailoring"),"INVALID: HSSB is not tailorable",IF(OR(Z248="",Z248=0),"NO NAMED EXECUTOR",IF(AND(N(AF248)&gt;=3,AJ248=""),"Operating claimed with no sample",IF(AND(N(AF248)&gt;=3,Z248=1),"Operating rests on one individual",IF(AND(N(AF248)&gt;=3,AB248&lt;&gt;"Yes"),"Operating claimed below designed credential",IF(AND(R248="No",N(AF248)&lt;3),"HSSB GATE: below Operating",IF(AND(N(AF248)&gt;=3,AJ248&lt;&gt;"",AL248=""),"Sample size with no conforming count","OK"))))))))</f>
        <v>Not assessed</v>
      </c>
      <c r="AQ248" s="8"/>
      <c r="AR248" s="8"/>
      <c r="AS248" s="8"/>
    </row>
    <row r="249" customFormat="false" ht="22.35" hidden="false" customHeight="false" outlineLevel="0" collapsed="false">
      <c r="A249" s="6" t="s">
        <v>609</v>
      </c>
      <c r="B249" s="6" t="s">
        <v>574</v>
      </c>
      <c r="C249" s="6" t="s">
        <v>607</v>
      </c>
      <c r="D249" s="6" t="s">
        <v>608</v>
      </c>
      <c r="E249" s="6" t="s">
        <v>115</v>
      </c>
      <c r="F249" s="7"/>
      <c r="G249" s="6" t="s">
        <v>82</v>
      </c>
      <c r="H249" s="6"/>
      <c r="I249" s="6"/>
      <c r="J249" s="6"/>
      <c r="K249" s="6"/>
      <c r="L249" s="6" t="s">
        <v>83</v>
      </c>
      <c r="M249" s="6" t="s">
        <v>84</v>
      </c>
      <c r="N249" s="6"/>
      <c r="O249" s="6"/>
      <c r="P249" s="6"/>
      <c r="Q249" s="6"/>
      <c r="R249" s="6" t="s">
        <v>85</v>
      </c>
      <c r="S249" s="6"/>
      <c r="T249" s="6" t="s">
        <v>526</v>
      </c>
      <c r="U249" s="8"/>
      <c r="V249" s="8"/>
      <c r="W249" s="8"/>
      <c r="X249" s="8"/>
      <c r="Y249" s="9"/>
      <c r="Z249" s="9"/>
      <c r="AA249" s="9"/>
      <c r="AB249" s="9"/>
      <c r="AC249" s="10" t="str">
        <f aca="false">IF(Z249="","",IF(Z249=0,"Unassigned",IF(Z249=1,"Single point",IF(AB249="Yes","Staffed and credentialed","Staffed, credential gap"))))</f>
        <v/>
      </c>
      <c r="AD249" s="10" t="str">
        <f aca="false">IFERROR(INDEX(Lists!$H$3:$H$6,MATCH(AC249,Lists!$G$3:$G$6,0)),"")</f>
        <v/>
      </c>
      <c r="AE249" s="8"/>
      <c r="AF249" s="10" t="str">
        <f aca="false">IFERROR(INDEX(Lists!$B$3:$B$7,MATCH(AE249,Lists!$A$3:$A$7,0)),"")</f>
        <v/>
      </c>
      <c r="AG249" s="8"/>
      <c r="AH249" s="8"/>
      <c r="AI249" s="8"/>
      <c r="AJ249" s="8"/>
      <c r="AK249" s="8"/>
      <c r="AL249" s="8"/>
      <c r="AM249" s="11" t="str">
        <f aca="false">IF(OR(AJ249="",AJ249=0),"",AL249/AJ249)</f>
        <v/>
      </c>
      <c r="AN249" s="8"/>
      <c r="AO249" s="8"/>
      <c r="AP249" s="10" t="str">
        <f aca="false">IF(AN249="","Not assessed",IF(AND(R249="No",AN249="Gap - recommend tailoring"),"INVALID: HSSB is not tailorable",IF(OR(Z249="",Z249=0),"NO NAMED EXECUTOR",IF(AND(N(AF249)&gt;=3,AJ249=""),"Operating claimed with no sample",IF(AND(N(AF249)&gt;=3,Z249=1),"Operating rests on one individual",IF(AND(N(AF249)&gt;=3,AB249&lt;&gt;"Yes"),"Operating claimed below designed credential",IF(AND(R249="No",N(AF249)&lt;3),"HSSB GATE: below Operating",IF(AND(N(AF249)&gt;=3,AJ249&lt;&gt;"",AL249=""),"Sample size with no conforming count","OK"))))))))</f>
        <v>Not assessed</v>
      </c>
      <c r="AQ249" s="8"/>
      <c r="AR249" s="8"/>
      <c r="AS249" s="8"/>
    </row>
    <row r="250" customFormat="false" ht="22.35" hidden="false" customHeight="false" outlineLevel="0" collapsed="false">
      <c r="A250" s="12" t="s">
        <v>610</v>
      </c>
      <c r="B250" s="12" t="s">
        <v>574</v>
      </c>
      <c r="C250" s="12" t="s">
        <v>607</v>
      </c>
      <c r="D250" s="12" t="s">
        <v>608</v>
      </c>
      <c r="E250" s="12" t="s">
        <v>117</v>
      </c>
      <c r="F250" s="12"/>
      <c r="G250" s="13" t="s">
        <v>85</v>
      </c>
      <c r="H250" s="13" t="s">
        <v>611</v>
      </c>
      <c r="I250" s="12" t="s">
        <v>90</v>
      </c>
      <c r="J250" s="12" t="s">
        <v>600</v>
      </c>
      <c r="K250" s="12" t="s">
        <v>601</v>
      </c>
      <c r="L250" s="12" t="s">
        <v>93</v>
      </c>
      <c r="M250" s="12" t="s">
        <v>94</v>
      </c>
      <c r="N250" s="12" t="s">
        <v>95</v>
      </c>
      <c r="O250" s="12" t="s">
        <v>96</v>
      </c>
      <c r="P250" s="12" t="s">
        <v>97</v>
      </c>
      <c r="Q250" s="12" t="s">
        <v>195</v>
      </c>
      <c r="R250" s="12" t="s">
        <v>82</v>
      </c>
      <c r="S250" s="12"/>
      <c r="T250" s="12" t="s">
        <v>526</v>
      </c>
      <c r="U250" s="8"/>
      <c r="V250" s="8"/>
      <c r="W250" s="8"/>
      <c r="X250" s="8"/>
      <c r="Y250" s="9"/>
      <c r="Z250" s="9"/>
      <c r="AA250" s="9"/>
      <c r="AB250" s="9"/>
      <c r="AC250" s="10" t="str">
        <f aca="false">IF(Z250="","",IF(Z250=0,"Unassigned",IF(Z250=1,"Single point",IF(AB250="Yes","Staffed and credentialed","Staffed, credential gap"))))</f>
        <v/>
      </c>
      <c r="AD250" s="10" t="str">
        <f aca="false">IFERROR(INDEX(Lists!$H$3:$H$6,MATCH(AC250,Lists!$G$3:$G$6,0)),"")</f>
        <v/>
      </c>
      <c r="AE250" s="8"/>
      <c r="AF250" s="10" t="str">
        <f aca="false">IFERROR(INDEX(Lists!$B$3:$B$7,MATCH(AE250,Lists!$A$3:$A$7,0)),"")</f>
        <v/>
      </c>
      <c r="AG250" s="8"/>
      <c r="AH250" s="8"/>
      <c r="AI250" s="8"/>
      <c r="AJ250" s="8"/>
      <c r="AK250" s="8"/>
      <c r="AL250" s="8"/>
      <c r="AM250" s="11" t="str">
        <f aca="false">IF(OR(AJ250="",AJ250=0),"",AL250/AJ250)</f>
        <v/>
      </c>
      <c r="AN250" s="8"/>
      <c r="AO250" s="8"/>
      <c r="AP250" s="10" t="str">
        <f aca="false">IF(AN250="","Not assessed",IF(AND(R250="No",AN250="Gap - recommend tailoring"),"INVALID: HSSB is not tailorable",IF(OR(Z250="",Z250=0),"NO NAMED EXECUTOR",IF(AND(N(AF250)&gt;=3,AJ250=""),"Operating claimed with no sample",IF(AND(N(AF250)&gt;=3,Z250=1),"Operating rests on one individual",IF(AND(N(AF250)&gt;=3,AB250&lt;&gt;"Yes"),"Operating claimed below designed credential",IF(AND(R250="No",N(AF250)&lt;3),"HSSB GATE: below Operating",IF(AND(N(AF250)&gt;=3,AJ250&lt;&gt;"",AL250=""),"Sample size with no conforming count","OK"))))))))</f>
        <v>Not assessed</v>
      </c>
      <c r="AQ250" s="8"/>
      <c r="AR250" s="8"/>
      <c r="AS250" s="8"/>
    </row>
    <row r="251" customFormat="false" ht="22.35" hidden="false" customHeight="false" outlineLevel="0" collapsed="false">
      <c r="A251" s="6" t="s">
        <v>612</v>
      </c>
      <c r="B251" s="6" t="s">
        <v>574</v>
      </c>
      <c r="C251" s="6" t="s">
        <v>607</v>
      </c>
      <c r="D251" s="6" t="s">
        <v>608</v>
      </c>
      <c r="E251" s="6" t="s">
        <v>156</v>
      </c>
      <c r="F251" s="7"/>
      <c r="G251" s="6" t="s">
        <v>82</v>
      </c>
      <c r="H251" s="6"/>
      <c r="I251" s="6"/>
      <c r="J251" s="6"/>
      <c r="K251" s="6"/>
      <c r="L251" s="6" t="s">
        <v>83</v>
      </c>
      <c r="M251" s="6" t="s">
        <v>84</v>
      </c>
      <c r="N251" s="6"/>
      <c r="O251" s="6"/>
      <c r="P251" s="6"/>
      <c r="Q251" s="6"/>
      <c r="R251" s="6" t="s">
        <v>85</v>
      </c>
      <c r="S251" s="6"/>
      <c r="T251" s="6" t="s">
        <v>526</v>
      </c>
      <c r="U251" s="8"/>
      <c r="V251" s="8"/>
      <c r="W251" s="8"/>
      <c r="X251" s="8"/>
      <c r="Y251" s="9"/>
      <c r="Z251" s="9"/>
      <c r="AA251" s="9"/>
      <c r="AB251" s="9"/>
      <c r="AC251" s="10" t="str">
        <f aca="false">IF(Z251="","",IF(Z251=0,"Unassigned",IF(Z251=1,"Single point",IF(AB251="Yes","Staffed and credentialed","Staffed, credential gap"))))</f>
        <v/>
      </c>
      <c r="AD251" s="10" t="str">
        <f aca="false">IFERROR(INDEX(Lists!$H$3:$H$6,MATCH(AC251,Lists!$G$3:$G$6,0)),"")</f>
        <v/>
      </c>
      <c r="AE251" s="8"/>
      <c r="AF251" s="10" t="str">
        <f aca="false">IFERROR(INDEX(Lists!$B$3:$B$7,MATCH(AE251,Lists!$A$3:$A$7,0)),"")</f>
        <v/>
      </c>
      <c r="AG251" s="8"/>
      <c r="AH251" s="8"/>
      <c r="AI251" s="8"/>
      <c r="AJ251" s="8"/>
      <c r="AK251" s="8"/>
      <c r="AL251" s="8"/>
      <c r="AM251" s="11" t="str">
        <f aca="false">IF(OR(AJ251="",AJ251=0),"",AL251/AJ251)</f>
        <v/>
      </c>
      <c r="AN251" s="8"/>
      <c r="AO251" s="8"/>
      <c r="AP251" s="10" t="str">
        <f aca="false">IF(AN251="","Not assessed",IF(AND(R251="No",AN251="Gap - recommend tailoring"),"INVALID: HSSB is not tailorable",IF(OR(Z251="",Z251=0),"NO NAMED EXECUTOR",IF(AND(N(AF251)&gt;=3,AJ251=""),"Operating claimed with no sample",IF(AND(N(AF251)&gt;=3,Z251=1),"Operating rests on one individual",IF(AND(N(AF251)&gt;=3,AB251&lt;&gt;"Yes"),"Operating claimed below designed credential",IF(AND(R251="No",N(AF251)&lt;3),"HSSB GATE: below Operating",IF(AND(N(AF251)&gt;=3,AJ251&lt;&gt;"",AL251=""),"Sample size with no conforming count","OK"))))))))</f>
        <v>Not assessed</v>
      </c>
      <c r="AQ251" s="8"/>
      <c r="AR251" s="8"/>
      <c r="AS251" s="8"/>
    </row>
    <row r="252" customFormat="false" ht="22.35" hidden="false" customHeight="false" outlineLevel="0" collapsed="false">
      <c r="A252" s="6" t="s">
        <v>613</v>
      </c>
      <c r="B252" s="6" t="s">
        <v>574</v>
      </c>
      <c r="C252" s="6" t="s">
        <v>607</v>
      </c>
      <c r="D252" s="6" t="s">
        <v>608</v>
      </c>
      <c r="E252" s="6" t="s">
        <v>158</v>
      </c>
      <c r="F252" s="7"/>
      <c r="G252" s="6" t="s">
        <v>82</v>
      </c>
      <c r="H252" s="6"/>
      <c r="I252" s="6"/>
      <c r="J252" s="6"/>
      <c r="K252" s="6"/>
      <c r="L252" s="6" t="s">
        <v>83</v>
      </c>
      <c r="M252" s="6" t="s">
        <v>84</v>
      </c>
      <c r="N252" s="6"/>
      <c r="O252" s="6"/>
      <c r="P252" s="6"/>
      <c r="Q252" s="6"/>
      <c r="R252" s="6" t="s">
        <v>85</v>
      </c>
      <c r="S252" s="6"/>
      <c r="T252" s="6" t="s">
        <v>526</v>
      </c>
      <c r="U252" s="8"/>
      <c r="V252" s="8"/>
      <c r="W252" s="8"/>
      <c r="X252" s="8"/>
      <c r="Y252" s="9"/>
      <c r="Z252" s="9"/>
      <c r="AA252" s="9"/>
      <c r="AB252" s="9"/>
      <c r="AC252" s="10" t="str">
        <f aca="false">IF(Z252="","",IF(Z252=0,"Unassigned",IF(Z252=1,"Single point",IF(AB252="Yes","Staffed and credentialed","Staffed, credential gap"))))</f>
        <v/>
      </c>
      <c r="AD252" s="10" t="str">
        <f aca="false">IFERROR(INDEX(Lists!$H$3:$H$6,MATCH(AC252,Lists!$G$3:$G$6,0)),"")</f>
        <v/>
      </c>
      <c r="AE252" s="8"/>
      <c r="AF252" s="10" t="str">
        <f aca="false">IFERROR(INDEX(Lists!$B$3:$B$7,MATCH(AE252,Lists!$A$3:$A$7,0)),"")</f>
        <v/>
      </c>
      <c r="AG252" s="8"/>
      <c r="AH252" s="8"/>
      <c r="AI252" s="8"/>
      <c r="AJ252" s="8"/>
      <c r="AK252" s="8"/>
      <c r="AL252" s="8"/>
      <c r="AM252" s="11" t="str">
        <f aca="false">IF(OR(AJ252="",AJ252=0),"",AL252/AJ252)</f>
        <v/>
      </c>
      <c r="AN252" s="8"/>
      <c r="AO252" s="8"/>
      <c r="AP252" s="10" t="str">
        <f aca="false">IF(AN252="","Not assessed",IF(AND(R252="No",AN252="Gap - recommend tailoring"),"INVALID: HSSB is not tailorable",IF(OR(Z252="",Z252=0),"NO NAMED EXECUTOR",IF(AND(N(AF252)&gt;=3,AJ252=""),"Operating claimed with no sample",IF(AND(N(AF252)&gt;=3,Z252=1),"Operating rests on one individual",IF(AND(N(AF252)&gt;=3,AB252&lt;&gt;"Yes"),"Operating claimed below designed credential",IF(AND(R252="No",N(AF252)&lt;3),"HSSB GATE: below Operating",IF(AND(N(AF252)&gt;=3,AJ252&lt;&gt;"",AL252=""),"Sample size with no conforming count","OK"))))))))</f>
        <v>Not assessed</v>
      </c>
      <c r="AQ252" s="8"/>
      <c r="AR252" s="8"/>
      <c r="AS252" s="8"/>
    </row>
    <row r="253" customFormat="false" ht="22.35" hidden="false" customHeight="false" outlineLevel="0" collapsed="false">
      <c r="A253" s="6" t="s">
        <v>614</v>
      </c>
      <c r="B253" s="6" t="s">
        <v>574</v>
      </c>
      <c r="C253" s="6" t="s">
        <v>607</v>
      </c>
      <c r="D253" s="6" t="s">
        <v>608</v>
      </c>
      <c r="E253" s="6" t="s">
        <v>160</v>
      </c>
      <c r="F253" s="7"/>
      <c r="G253" s="6" t="s">
        <v>82</v>
      </c>
      <c r="H253" s="6"/>
      <c r="I253" s="6"/>
      <c r="J253" s="6"/>
      <c r="K253" s="6"/>
      <c r="L253" s="6" t="s">
        <v>83</v>
      </c>
      <c r="M253" s="6" t="s">
        <v>84</v>
      </c>
      <c r="N253" s="6"/>
      <c r="O253" s="6"/>
      <c r="P253" s="6"/>
      <c r="Q253" s="6"/>
      <c r="R253" s="6" t="s">
        <v>85</v>
      </c>
      <c r="S253" s="6"/>
      <c r="T253" s="6" t="s">
        <v>526</v>
      </c>
      <c r="U253" s="8"/>
      <c r="V253" s="8"/>
      <c r="W253" s="8"/>
      <c r="X253" s="8"/>
      <c r="Y253" s="9"/>
      <c r="Z253" s="9"/>
      <c r="AA253" s="9"/>
      <c r="AB253" s="9"/>
      <c r="AC253" s="10" t="str">
        <f aca="false">IF(Z253="","",IF(Z253=0,"Unassigned",IF(Z253=1,"Single point",IF(AB253="Yes","Staffed and credentialed","Staffed, credential gap"))))</f>
        <v/>
      </c>
      <c r="AD253" s="10" t="str">
        <f aca="false">IFERROR(INDEX(Lists!$H$3:$H$6,MATCH(AC253,Lists!$G$3:$G$6,0)),"")</f>
        <v/>
      </c>
      <c r="AE253" s="8"/>
      <c r="AF253" s="10" t="str">
        <f aca="false">IFERROR(INDEX(Lists!$B$3:$B$7,MATCH(AE253,Lists!$A$3:$A$7,0)),"")</f>
        <v/>
      </c>
      <c r="AG253" s="8"/>
      <c r="AH253" s="8"/>
      <c r="AI253" s="8"/>
      <c r="AJ253" s="8"/>
      <c r="AK253" s="8"/>
      <c r="AL253" s="8"/>
      <c r="AM253" s="11" t="str">
        <f aca="false">IF(OR(AJ253="",AJ253=0),"",AL253/AJ253)</f>
        <v/>
      </c>
      <c r="AN253" s="8"/>
      <c r="AO253" s="8"/>
      <c r="AP253" s="10" t="str">
        <f aca="false">IF(AN253="","Not assessed",IF(AND(R253="No",AN253="Gap - recommend tailoring"),"INVALID: HSSB is not tailorable",IF(OR(Z253="",Z253=0),"NO NAMED EXECUTOR",IF(AND(N(AF253)&gt;=3,AJ253=""),"Operating claimed with no sample",IF(AND(N(AF253)&gt;=3,Z253=1),"Operating rests on one individual",IF(AND(N(AF253)&gt;=3,AB253&lt;&gt;"Yes"),"Operating claimed below designed credential",IF(AND(R253="No",N(AF253)&lt;3),"HSSB GATE: below Operating",IF(AND(N(AF253)&gt;=3,AJ253&lt;&gt;"",AL253=""),"Sample size with no conforming count","OK"))))))))</f>
        <v>Not assessed</v>
      </c>
      <c r="AQ253" s="8"/>
      <c r="AR253" s="8"/>
      <c r="AS253" s="8"/>
    </row>
    <row r="254" customFormat="false" ht="22.35" hidden="false" customHeight="false" outlineLevel="0" collapsed="false">
      <c r="A254" s="6" t="s">
        <v>615</v>
      </c>
      <c r="B254" s="6" t="s">
        <v>574</v>
      </c>
      <c r="C254" s="6" t="s">
        <v>607</v>
      </c>
      <c r="D254" s="6" t="s">
        <v>608</v>
      </c>
      <c r="E254" s="6" t="s">
        <v>162</v>
      </c>
      <c r="F254" s="7"/>
      <c r="G254" s="6" t="s">
        <v>82</v>
      </c>
      <c r="H254" s="6"/>
      <c r="I254" s="6"/>
      <c r="J254" s="6"/>
      <c r="K254" s="6"/>
      <c r="L254" s="6" t="s">
        <v>83</v>
      </c>
      <c r="M254" s="6" t="s">
        <v>84</v>
      </c>
      <c r="N254" s="6"/>
      <c r="O254" s="6"/>
      <c r="P254" s="6"/>
      <c r="Q254" s="6"/>
      <c r="R254" s="6" t="s">
        <v>85</v>
      </c>
      <c r="S254" s="6"/>
      <c r="T254" s="6" t="s">
        <v>526</v>
      </c>
      <c r="U254" s="8"/>
      <c r="V254" s="8"/>
      <c r="W254" s="8"/>
      <c r="X254" s="8"/>
      <c r="Y254" s="9"/>
      <c r="Z254" s="9"/>
      <c r="AA254" s="9"/>
      <c r="AB254" s="9"/>
      <c r="AC254" s="10" t="str">
        <f aca="false">IF(Z254="","",IF(Z254=0,"Unassigned",IF(Z254=1,"Single point",IF(AB254="Yes","Staffed and credentialed","Staffed, credential gap"))))</f>
        <v/>
      </c>
      <c r="AD254" s="10" t="str">
        <f aca="false">IFERROR(INDEX(Lists!$H$3:$H$6,MATCH(AC254,Lists!$G$3:$G$6,0)),"")</f>
        <v/>
      </c>
      <c r="AE254" s="8"/>
      <c r="AF254" s="10" t="str">
        <f aca="false">IFERROR(INDEX(Lists!$B$3:$B$7,MATCH(AE254,Lists!$A$3:$A$7,0)),"")</f>
        <v/>
      </c>
      <c r="AG254" s="8"/>
      <c r="AH254" s="8"/>
      <c r="AI254" s="8"/>
      <c r="AJ254" s="8"/>
      <c r="AK254" s="8"/>
      <c r="AL254" s="8"/>
      <c r="AM254" s="11" t="str">
        <f aca="false">IF(OR(AJ254="",AJ254=0),"",AL254/AJ254)</f>
        <v/>
      </c>
      <c r="AN254" s="8"/>
      <c r="AO254" s="8"/>
      <c r="AP254" s="10" t="str">
        <f aca="false">IF(AN254="","Not assessed",IF(AND(R254="No",AN254="Gap - recommend tailoring"),"INVALID: HSSB is not tailorable",IF(OR(Z254="",Z254=0),"NO NAMED EXECUTOR",IF(AND(N(AF254)&gt;=3,AJ254=""),"Operating claimed with no sample",IF(AND(N(AF254)&gt;=3,Z254=1),"Operating rests on one individual",IF(AND(N(AF254)&gt;=3,AB254&lt;&gt;"Yes"),"Operating claimed below designed credential",IF(AND(R254="No",N(AF254)&lt;3),"HSSB GATE: below Operating",IF(AND(N(AF254)&gt;=3,AJ254&lt;&gt;"",AL254=""),"Sample size with no conforming count","OK"))))))))</f>
        <v>Not assessed</v>
      </c>
      <c r="AQ254" s="8"/>
      <c r="AR254" s="8"/>
      <c r="AS254" s="8"/>
    </row>
    <row r="255" customFormat="false" ht="22.35" hidden="false" customHeight="false" outlineLevel="0" collapsed="false">
      <c r="A255" s="6" t="s">
        <v>616</v>
      </c>
      <c r="B255" s="6" t="s">
        <v>574</v>
      </c>
      <c r="C255" s="6" t="s">
        <v>607</v>
      </c>
      <c r="D255" s="6" t="s">
        <v>608</v>
      </c>
      <c r="E255" s="6" t="s">
        <v>164</v>
      </c>
      <c r="F255" s="7"/>
      <c r="G255" s="6" t="s">
        <v>82</v>
      </c>
      <c r="H255" s="6"/>
      <c r="I255" s="6"/>
      <c r="J255" s="6"/>
      <c r="K255" s="6"/>
      <c r="L255" s="6" t="s">
        <v>83</v>
      </c>
      <c r="M255" s="6" t="s">
        <v>84</v>
      </c>
      <c r="N255" s="6"/>
      <c r="O255" s="6"/>
      <c r="P255" s="6"/>
      <c r="Q255" s="6"/>
      <c r="R255" s="6" t="s">
        <v>85</v>
      </c>
      <c r="S255" s="6"/>
      <c r="T255" s="6" t="s">
        <v>526</v>
      </c>
      <c r="U255" s="8"/>
      <c r="V255" s="8"/>
      <c r="W255" s="8"/>
      <c r="X255" s="8"/>
      <c r="Y255" s="9"/>
      <c r="Z255" s="9"/>
      <c r="AA255" s="9"/>
      <c r="AB255" s="9"/>
      <c r="AC255" s="10" t="str">
        <f aca="false">IF(Z255="","",IF(Z255=0,"Unassigned",IF(Z255=1,"Single point",IF(AB255="Yes","Staffed and credentialed","Staffed, credential gap"))))</f>
        <v/>
      </c>
      <c r="AD255" s="10" t="str">
        <f aca="false">IFERROR(INDEX(Lists!$H$3:$H$6,MATCH(AC255,Lists!$G$3:$G$6,0)),"")</f>
        <v/>
      </c>
      <c r="AE255" s="8"/>
      <c r="AF255" s="10" t="str">
        <f aca="false">IFERROR(INDEX(Lists!$B$3:$B$7,MATCH(AE255,Lists!$A$3:$A$7,0)),"")</f>
        <v/>
      </c>
      <c r="AG255" s="8"/>
      <c r="AH255" s="8"/>
      <c r="AI255" s="8"/>
      <c r="AJ255" s="8"/>
      <c r="AK255" s="8"/>
      <c r="AL255" s="8"/>
      <c r="AM255" s="11" t="str">
        <f aca="false">IF(OR(AJ255="",AJ255=0),"",AL255/AJ255)</f>
        <v/>
      </c>
      <c r="AN255" s="8"/>
      <c r="AO255" s="8"/>
      <c r="AP255" s="10" t="str">
        <f aca="false">IF(AN255="","Not assessed",IF(AND(R255="No",AN255="Gap - recommend tailoring"),"INVALID: HSSB is not tailorable",IF(OR(Z255="",Z255=0),"NO NAMED EXECUTOR",IF(AND(N(AF255)&gt;=3,AJ255=""),"Operating claimed with no sample",IF(AND(N(AF255)&gt;=3,Z255=1),"Operating rests on one individual",IF(AND(N(AF255)&gt;=3,AB255&lt;&gt;"Yes"),"Operating claimed below designed credential",IF(AND(R255="No",N(AF255)&lt;3),"HSSB GATE: below Operating",IF(AND(N(AF255)&gt;=3,AJ255&lt;&gt;"",AL255=""),"Sample size with no conforming count","OK"))))))))</f>
        <v>Not assessed</v>
      </c>
      <c r="AQ255" s="8"/>
      <c r="AR255" s="8"/>
      <c r="AS255" s="8"/>
    </row>
    <row r="256" customFormat="false" ht="22.35" hidden="false" customHeight="false" outlineLevel="0" collapsed="false">
      <c r="A256" s="6" t="s">
        <v>617</v>
      </c>
      <c r="B256" s="6" t="s">
        <v>574</v>
      </c>
      <c r="C256" s="6" t="s">
        <v>607</v>
      </c>
      <c r="D256" s="6" t="s">
        <v>608</v>
      </c>
      <c r="E256" s="6" t="s">
        <v>166</v>
      </c>
      <c r="F256" s="7"/>
      <c r="G256" s="6" t="s">
        <v>82</v>
      </c>
      <c r="H256" s="6"/>
      <c r="I256" s="6"/>
      <c r="J256" s="6"/>
      <c r="K256" s="6"/>
      <c r="L256" s="6" t="s">
        <v>83</v>
      </c>
      <c r="M256" s="6" t="s">
        <v>84</v>
      </c>
      <c r="N256" s="6"/>
      <c r="O256" s="6"/>
      <c r="P256" s="6"/>
      <c r="Q256" s="6"/>
      <c r="R256" s="6" t="s">
        <v>85</v>
      </c>
      <c r="S256" s="6"/>
      <c r="T256" s="6" t="s">
        <v>526</v>
      </c>
      <c r="U256" s="8"/>
      <c r="V256" s="8"/>
      <c r="W256" s="8"/>
      <c r="X256" s="8"/>
      <c r="Y256" s="9"/>
      <c r="Z256" s="9"/>
      <c r="AA256" s="9"/>
      <c r="AB256" s="9"/>
      <c r="AC256" s="10" t="str">
        <f aca="false">IF(Z256="","",IF(Z256=0,"Unassigned",IF(Z256=1,"Single point",IF(AB256="Yes","Staffed and credentialed","Staffed, credential gap"))))</f>
        <v/>
      </c>
      <c r="AD256" s="10" t="str">
        <f aca="false">IFERROR(INDEX(Lists!$H$3:$H$6,MATCH(AC256,Lists!$G$3:$G$6,0)),"")</f>
        <v/>
      </c>
      <c r="AE256" s="8"/>
      <c r="AF256" s="10" t="str">
        <f aca="false">IFERROR(INDEX(Lists!$B$3:$B$7,MATCH(AE256,Lists!$A$3:$A$7,0)),"")</f>
        <v/>
      </c>
      <c r="AG256" s="8"/>
      <c r="AH256" s="8"/>
      <c r="AI256" s="8"/>
      <c r="AJ256" s="8"/>
      <c r="AK256" s="8"/>
      <c r="AL256" s="8"/>
      <c r="AM256" s="11" t="str">
        <f aca="false">IF(OR(AJ256="",AJ256=0),"",AL256/AJ256)</f>
        <v/>
      </c>
      <c r="AN256" s="8"/>
      <c r="AO256" s="8"/>
      <c r="AP256" s="10" t="str">
        <f aca="false">IF(AN256="","Not assessed",IF(AND(R256="No",AN256="Gap - recommend tailoring"),"INVALID: HSSB is not tailorable",IF(OR(Z256="",Z256=0),"NO NAMED EXECUTOR",IF(AND(N(AF256)&gt;=3,AJ256=""),"Operating claimed with no sample",IF(AND(N(AF256)&gt;=3,Z256=1),"Operating rests on one individual",IF(AND(N(AF256)&gt;=3,AB256&lt;&gt;"Yes"),"Operating claimed below designed credential",IF(AND(R256="No",N(AF256)&lt;3),"HSSB GATE: below Operating",IF(AND(N(AF256)&gt;=3,AJ256&lt;&gt;"",AL256=""),"Sample size with no conforming count","OK"))))))))</f>
        <v>Not assessed</v>
      </c>
      <c r="AQ256" s="8"/>
      <c r="AR256" s="8"/>
      <c r="AS256" s="8"/>
    </row>
    <row r="257" customFormat="false" ht="22.35" hidden="false" customHeight="false" outlineLevel="0" collapsed="false">
      <c r="A257" s="6" t="s">
        <v>618</v>
      </c>
      <c r="B257" s="6" t="s">
        <v>574</v>
      </c>
      <c r="C257" s="6" t="s">
        <v>607</v>
      </c>
      <c r="D257" s="6" t="s">
        <v>608</v>
      </c>
      <c r="E257" s="6" t="s">
        <v>168</v>
      </c>
      <c r="F257" s="7"/>
      <c r="G257" s="6" t="s">
        <v>82</v>
      </c>
      <c r="H257" s="6"/>
      <c r="I257" s="6"/>
      <c r="J257" s="6"/>
      <c r="K257" s="6"/>
      <c r="L257" s="6" t="s">
        <v>83</v>
      </c>
      <c r="M257" s="6" t="s">
        <v>84</v>
      </c>
      <c r="N257" s="6"/>
      <c r="O257" s="6"/>
      <c r="P257" s="6"/>
      <c r="Q257" s="6"/>
      <c r="R257" s="6" t="s">
        <v>85</v>
      </c>
      <c r="S257" s="6"/>
      <c r="T257" s="6" t="s">
        <v>526</v>
      </c>
      <c r="U257" s="8"/>
      <c r="V257" s="8"/>
      <c r="W257" s="8"/>
      <c r="X257" s="8"/>
      <c r="Y257" s="9"/>
      <c r="Z257" s="9"/>
      <c r="AA257" s="9"/>
      <c r="AB257" s="9"/>
      <c r="AC257" s="10" t="str">
        <f aca="false">IF(Z257="","",IF(Z257=0,"Unassigned",IF(Z257=1,"Single point",IF(AB257="Yes","Staffed and credentialed","Staffed, credential gap"))))</f>
        <v/>
      </c>
      <c r="AD257" s="10" t="str">
        <f aca="false">IFERROR(INDEX(Lists!$H$3:$H$6,MATCH(AC257,Lists!$G$3:$G$6,0)),"")</f>
        <v/>
      </c>
      <c r="AE257" s="8"/>
      <c r="AF257" s="10" t="str">
        <f aca="false">IFERROR(INDEX(Lists!$B$3:$B$7,MATCH(AE257,Lists!$A$3:$A$7,0)),"")</f>
        <v/>
      </c>
      <c r="AG257" s="8"/>
      <c r="AH257" s="8"/>
      <c r="AI257" s="8"/>
      <c r="AJ257" s="8"/>
      <c r="AK257" s="8"/>
      <c r="AL257" s="8"/>
      <c r="AM257" s="11" t="str">
        <f aca="false">IF(OR(AJ257="",AJ257=0),"",AL257/AJ257)</f>
        <v/>
      </c>
      <c r="AN257" s="8"/>
      <c r="AO257" s="8"/>
      <c r="AP257" s="10" t="str">
        <f aca="false">IF(AN257="","Not assessed",IF(AND(R257="No",AN257="Gap - recommend tailoring"),"INVALID: HSSB is not tailorable",IF(OR(Z257="",Z257=0),"NO NAMED EXECUTOR",IF(AND(N(AF257)&gt;=3,AJ257=""),"Operating claimed with no sample",IF(AND(N(AF257)&gt;=3,Z257=1),"Operating rests on one individual",IF(AND(N(AF257)&gt;=3,AB257&lt;&gt;"Yes"),"Operating claimed below designed credential",IF(AND(R257="No",N(AF257)&lt;3),"HSSB GATE: below Operating",IF(AND(N(AF257)&gt;=3,AJ257&lt;&gt;"",AL257=""),"Sample size with no conforming count","OK"))))))))</f>
        <v>Not assessed</v>
      </c>
      <c r="AQ257" s="8"/>
      <c r="AR257" s="8"/>
      <c r="AS257" s="8"/>
    </row>
    <row r="258" customFormat="false" ht="22.35" hidden="false" customHeight="false" outlineLevel="0" collapsed="false">
      <c r="A258" s="6" t="s">
        <v>619</v>
      </c>
      <c r="B258" s="6" t="s">
        <v>574</v>
      </c>
      <c r="C258" s="6" t="s">
        <v>607</v>
      </c>
      <c r="D258" s="6" t="s">
        <v>608</v>
      </c>
      <c r="E258" s="6" t="s">
        <v>170</v>
      </c>
      <c r="F258" s="7"/>
      <c r="G258" s="6" t="s">
        <v>82</v>
      </c>
      <c r="H258" s="6"/>
      <c r="I258" s="6"/>
      <c r="J258" s="6"/>
      <c r="K258" s="6"/>
      <c r="L258" s="6" t="s">
        <v>83</v>
      </c>
      <c r="M258" s="6" t="s">
        <v>84</v>
      </c>
      <c r="N258" s="6"/>
      <c r="O258" s="6"/>
      <c r="P258" s="6"/>
      <c r="Q258" s="6"/>
      <c r="R258" s="6" t="s">
        <v>85</v>
      </c>
      <c r="S258" s="6"/>
      <c r="T258" s="6" t="s">
        <v>526</v>
      </c>
      <c r="U258" s="8"/>
      <c r="V258" s="8"/>
      <c r="W258" s="8"/>
      <c r="X258" s="8"/>
      <c r="Y258" s="9"/>
      <c r="Z258" s="9"/>
      <c r="AA258" s="9"/>
      <c r="AB258" s="9"/>
      <c r="AC258" s="10" t="str">
        <f aca="false">IF(Z258="","",IF(Z258=0,"Unassigned",IF(Z258=1,"Single point",IF(AB258="Yes","Staffed and credentialed","Staffed, credential gap"))))</f>
        <v/>
      </c>
      <c r="AD258" s="10" t="str">
        <f aca="false">IFERROR(INDEX(Lists!$H$3:$H$6,MATCH(AC258,Lists!$G$3:$G$6,0)),"")</f>
        <v/>
      </c>
      <c r="AE258" s="8"/>
      <c r="AF258" s="10" t="str">
        <f aca="false">IFERROR(INDEX(Lists!$B$3:$B$7,MATCH(AE258,Lists!$A$3:$A$7,0)),"")</f>
        <v/>
      </c>
      <c r="AG258" s="8"/>
      <c r="AH258" s="8"/>
      <c r="AI258" s="8"/>
      <c r="AJ258" s="8"/>
      <c r="AK258" s="8"/>
      <c r="AL258" s="8"/>
      <c r="AM258" s="11" t="str">
        <f aca="false">IF(OR(AJ258="",AJ258=0),"",AL258/AJ258)</f>
        <v/>
      </c>
      <c r="AN258" s="8"/>
      <c r="AO258" s="8"/>
      <c r="AP258" s="10" t="str">
        <f aca="false">IF(AN258="","Not assessed",IF(AND(R258="No",AN258="Gap - recommend tailoring"),"INVALID: HSSB is not tailorable",IF(OR(Z258="",Z258=0),"NO NAMED EXECUTOR",IF(AND(N(AF258)&gt;=3,AJ258=""),"Operating claimed with no sample",IF(AND(N(AF258)&gt;=3,Z258=1),"Operating rests on one individual",IF(AND(N(AF258)&gt;=3,AB258&lt;&gt;"Yes"),"Operating claimed below designed credential",IF(AND(R258="No",N(AF258)&lt;3),"HSSB GATE: below Operating",IF(AND(N(AF258)&gt;=3,AJ258&lt;&gt;"",AL258=""),"Sample size with no conforming count","OK"))))))))</f>
        <v>Not assessed</v>
      </c>
      <c r="AQ258" s="8"/>
      <c r="AR258" s="8"/>
      <c r="AS258" s="8"/>
    </row>
    <row r="259" customFormat="false" ht="22.35" hidden="false" customHeight="false" outlineLevel="0" collapsed="false">
      <c r="A259" s="6" t="s">
        <v>620</v>
      </c>
      <c r="B259" s="6" t="s">
        <v>574</v>
      </c>
      <c r="C259" s="6" t="s">
        <v>607</v>
      </c>
      <c r="D259" s="6" t="s">
        <v>608</v>
      </c>
      <c r="E259" s="6" t="s">
        <v>172</v>
      </c>
      <c r="F259" s="7"/>
      <c r="G259" s="6" t="s">
        <v>82</v>
      </c>
      <c r="H259" s="6"/>
      <c r="I259" s="6"/>
      <c r="J259" s="6"/>
      <c r="K259" s="6"/>
      <c r="L259" s="6" t="s">
        <v>83</v>
      </c>
      <c r="M259" s="6" t="s">
        <v>84</v>
      </c>
      <c r="N259" s="6"/>
      <c r="O259" s="6"/>
      <c r="P259" s="6"/>
      <c r="Q259" s="6"/>
      <c r="R259" s="6" t="s">
        <v>85</v>
      </c>
      <c r="S259" s="6"/>
      <c r="T259" s="6" t="s">
        <v>526</v>
      </c>
      <c r="U259" s="8"/>
      <c r="V259" s="8"/>
      <c r="W259" s="8"/>
      <c r="X259" s="8"/>
      <c r="Y259" s="9"/>
      <c r="Z259" s="9"/>
      <c r="AA259" s="9"/>
      <c r="AB259" s="9"/>
      <c r="AC259" s="10" t="str">
        <f aca="false">IF(Z259="","",IF(Z259=0,"Unassigned",IF(Z259=1,"Single point",IF(AB259="Yes","Staffed and credentialed","Staffed, credential gap"))))</f>
        <v/>
      </c>
      <c r="AD259" s="10" t="str">
        <f aca="false">IFERROR(INDEX(Lists!$H$3:$H$6,MATCH(AC259,Lists!$G$3:$G$6,0)),"")</f>
        <v/>
      </c>
      <c r="AE259" s="8"/>
      <c r="AF259" s="10" t="str">
        <f aca="false">IFERROR(INDEX(Lists!$B$3:$B$7,MATCH(AE259,Lists!$A$3:$A$7,0)),"")</f>
        <v/>
      </c>
      <c r="AG259" s="8"/>
      <c r="AH259" s="8"/>
      <c r="AI259" s="8"/>
      <c r="AJ259" s="8"/>
      <c r="AK259" s="8"/>
      <c r="AL259" s="8"/>
      <c r="AM259" s="11" t="str">
        <f aca="false">IF(OR(AJ259="",AJ259=0),"",AL259/AJ259)</f>
        <v/>
      </c>
      <c r="AN259" s="8"/>
      <c r="AO259" s="8"/>
      <c r="AP259" s="10" t="str">
        <f aca="false">IF(AN259="","Not assessed",IF(AND(R259="No",AN259="Gap - recommend tailoring"),"INVALID: HSSB is not tailorable",IF(OR(Z259="",Z259=0),"NO NAMED EXECUTOR",IF(AND(N(AF259)&gt;=3,AJ259=""),"Operating claimed with no sample",IF(AND(N(AF259)&gt;=3,Z259=1),"Operating rests on one individual",IF(AND(N(AF259)&gt;=3,AB259&lt;&gt;"Yes"),"Operating claimed below designed credential",IF(AND(R259="No",N(AF259)&lt;3),"HSSB GATE: below Operating",IF(AND(N(AF259)&gt;=3,AJ259&lt;&gt;"",AL259=""),"Sample size with no conforming count","OK"))))))))</f>
        <v>Not assessed</v>
      </c>
      <c r="AQ259" s="8"/>
      <c r="AR259" s="8"/>
      <c r="AS259" s="8"/>
    </row>
    <row r="260" customFormat="false" ht="22.35" hidden="false" customHeight="false" outlineLevel="0" collapsed="false">
      <c r="A260" s="6" t="s">
        <v>621</v>
      </c>
      <c r="B260" s="6" t="s">
        <v>574</v>
      </c>
      <c r="C260" s="6" t="s">
        <v>607</v>
      </c>
      <c r="D260" s="6" t="s">
        <v>608</v>
      </c>
      <c r="E260" s="6" t="s">
        <v>174</v>
      </c>
      <c r="F260" s="7"/>
      <c r="G260" s="6" t="s">
        <v>82</v>
      </c>
      <c r="H260" s="6"/>
      <c r="I260" s="6"/>
      <c r="J260" s="6"/>
      <c r="K260" s="6"/>
      <c r="L260" s="6" t="s">
        <v>83</v>
      </c>
      <c r="M260" s="6" t="s">
        <v>84</v>
      </c>
      <c r="N260" s="6"/>
      <c r="O260" s="6"/>
      <c r="P260" s="6"/>
      <c r="Q260" s="6"/>
      <c r="R260" s="6" t="s">
        <v>85</v>
      </c>
      <c r="S260" s="6"/>
      <c r="T260" s="6" t="s">
        <v>526</v>
      </c>
      <c r="U260" s="8"/>
      <c r="V260" s="8"/>
      <c r="W260" s="8"/>
      <c r="X260" s="8"/>
      <c r="Y260" s="9"/>
      <c r="Z260" s="9"/>
      <c r="AA260" s="9"/>
      <c r="AB260" s="9"/>
      <c r="AC260" s="10" t="str">
        <f aca="false">IF(Z260="","",IF(Z260=0,"Unassigned",IF(Z260=1,"Single point",IF(AB260="Yes","Staffed and credentialed","Staffed, credential gap"))))</f>
        <v/>
      </c>
      <c r="AD260" s="10" t="str">
        <f aca="false">IFERROR(INDEX(Lists!$H$3:$H$6,MATCH(AC260,Lists!$G$3:$G$6,0)),"")</f>
        <v/>
      </c>
      <c r="AE260" s="8"/>
      <c r="AF260" s="10" t="str">
        <f aca="false">IFERROR(INDEX(Lists!$B$3:$B$7,MATCH(AE260,Lists!$A$3:$A$7,0)),"")</f>
        <v/>
      </c>
      <c r="AG260" s="8"/>
      <c r="AH260" s="8"/>
      <c r="AI260" s="8"/>
      <c r="AJ260" s="8"/>
      <c r="AK260" s="8"/>
      <c r="AL260" s="8"/>
      <c r="AM260" s="11" t="str">
        <f aca="false">IF(OR(AJ260="",AJ260=0),"",AL260/AJ260)</f>
        <v/>
      </c>
      <c r="AN260" s="8"/>
      <c r="AO260" s="8"/>
      <c r="AP260" s="10" t="str">
        <f aca="false">IF(AN260="","Not assessed",IF(AND(R260="No",AN260="Gap - recommend tailoring"),"INVALID: HSSB is not tailorable",IF(OR(Z260="",Z260=0),"NO NAMED EXECUTOR",IF(AND(N(AF260)&gt;=3,AJ260=""),"Operating claimed with no sample",IF(AND(N(AF260)&gt;=3,Z260=1),"Operating rests on one individual",IF(AND(N(AF260)&gt;=3,AB260&lt;&gt;"Yes"),"Operating claimed below designed credential",IF(AND(R260="No",N(AF260)&lt;3),"HSSB GATE: below Operating",IF(AND(N(AF260)&gt;=3,AJ260&lt;&gt;"",AL260=""),"Sample size with no conforming count","OK"))))))))</f>
        <v>Not assessed</v>
      </c>
      <c r="AQ260" s="8"/>
      <c r="AR260" s="8"/>
      <c r="AS260" s="8"/>
    </row>
    <row r="261" customFormat="false" ht="22.35" hidden="false" customHeight="false" outlineLevel="0" collapsed="false">
      <c r="A261" s="6" t="s">
        <v>622</v>
      </c>
      <c r="B261" s="6" t="s">
        <v>574</v>
      </c>
      <c r="C261" s="6" t="s">
        <v>607</v>
      </c>
      <c r="D261" s="6" t="s">
        <v>608</v>
      </c>
      <c r="E261" s="6" t="s">
        <v>100</v>
      </c>
      <c r="F261" s="7"/>
      <c r="G261" s="6" t="s">
        <v>82</v>
      </c>
      <c r="H261" s="6"/>
      <c r="I261" s="6"/>
      <c r="J261" s="6"/>
      <c r="K261" s="6"/>
      <c r="L261" s="6" t="s">
        <v>83</v>
      </c>
      <c r="M261" s="6" t="s">
        <v>84</v>
      </c>
      <c r="N261" s="6"/>
      <c r="O261" s="6"/>
      <c r="P261" s="6"/>
      <c r="Q261" s="6"/>
      <c r="R261" s="6" t="s">
        <v>85</v>
      </c>
      <c r="S261" s="6"/>
      <c r="T261" s="6" t="s">
        <v>526</v>
      </c>
      <c r="U261" s="8"/>
      <c r="V261" s="8"/>
      <c r="W261" s="8"/>
      <c r="X261" s="8"/>
      <c r="Y261" s="9"/>
      <c r="Z261" s="9"/>
      <c r="AA261" s="9"/>
      <c r="AB261" s="9"/>
      <c r="AC261" s="10" t="str">
        <f aca="false">IF(Z261="","",IF(Z261=0,"Unassigned",IF(Z261=1,"Single point",IF(AB261="Yes","Staffed and credentialed","Staffed, credential gap"))))</f>
        <v/>
      </c>
      <c r="AD261" s="10" t="str">
        <f aca="false">IFERROR(INDEX(Lists!$H$3:$H$6,MATCH(AC261,Lists!$G$3:$G$6,0)),"")</f>
        <v/>
      </c>
      <c r="AE261" s="8"/>
      <c r="AF261" s="10" t="str">
        <f aca="false">IFERROR(INDEX(Lists!$B$3:$B$7,MATCH(AE261,Lists!$A$3:$A$7,0)),"")</f>
        <v/>
      </c>
      <c r="AG261" s="8"/>
      <c r="AH261" s="8"/>
      <c r="AI261" s="8"/>
      <c r="AJ261" s="8"/>
      <c r="AK261" s="8"/>
      <c r="AL261" s="8"/>
      <c r="AM261" s="11" t="str">
        <f aca="false">IF(OR(AJ261="",AJ261=0),"",AL261/AJ261)</f>
        <v/>
      </c>
      <c r="AN261" s="8"/>
      <c r="AO261" s="8"/>
      <c r="AP261" s="10" t="str">
        <f aca="false">IF(AN261="","Not assessed",IF(AND(R261="No",AN261="Gap - recommend tailoring"),"INVALID: HSSB is not tailorable",IF(OR(Z261="",Z261=0),"NO NAMED EXECUTOR",IF(AND(N(AF261)&gt;=3,AJ261=""),"Operating claimed with no sample",IF(AND(N(AF261)&gt;=3,Z261=1),"Operating rests on one individual",IF(AND(N(AF261)&gt;=3,AB261&lt;&gt;"Yes"),"Operating claimed below designed credential",IF(AND(R261="No",N(AF261)&lt;3),"HSSB GATE: below Operating",IF(AND(N(AF261)&gt;=3,AJ261&lt;&gt;"",AL261=""),"Sample size with no conforming count","OK"))))))))</f>
        <v>Not assessed</v>
      </c>
      <c r="AQ261" s="8"/>
      <c r="AR261" s="8"/>
      <c r="AS261" s="8"/>
    </row>
    <row r="262" customFormat="false" ht="22.35" hidden="false" customHeight="false" outlineLevel="0" collapsed="false">
      <c r="A262" s="12" t="s">
        <v>623</v>
      </c>
      <c r="B262" s="12" t="s">
        <v>574</v>
      </c>
      <c r="C262" s="12" t="s">
        <v>624</v>
      </c>
      <c r="D262" s="12" t="s">
        <v>625</v>
      </c>
      <c r="E262" s="12" t="s">
        <v>81</v>
      </c>
      <c r="F262" s="12"/>
      <c r="G262" s="13" t="s">
        <v>85</v>
      </c>
      <c r="H262" s="13" t="s">
        <v>626</v>
      </c>
      <c r="I262" s="12" t="s">
        <v>523</v>
      </c>
      <c r="J262" s="12" t="s">
        <v>627</v>
      </c>
      <c r="K262" s="12" t="s">
        <v>628</v>
      </c>
      <c r="L262" s="12" t="s">
        <v>93</v>
      </c>
      <c r="M262" s="12" t="s">
        <v>94</v>
      </c>
      <c r="N262" s="12" t="s">
        <v>95</v>
      </c>
      <c r="O262" s="12" t="s">
        <v>96</v>
      </c>
      <c r="P262" s="12" t="s">
        <v>97</v>
      </c>
      <c r="Q262" s="12" t="s">
        <v>195</v>
      </c>
      <c r="R262" s="12" t="s">
        <v>82</v>
      </c>
      <c r="S262" s="12"/>
      <c r="T262" s="12" t="s">
        <v>526</v>
      </c>
      <c r="U262" s="8"/>
      <c r="V262" s="8"/>
      <c r="W262" s="8"/>
      <c r="X262" s="8"/>
      <c r="Y262" s="9"/>
      <c r="Z262" s="9"/>
      <c r="AA262" s="9"/>
      <c r="AB262" s="9"/>
      <c r="AC262" s="10" t="str">
        <f aca="false">IF(Z262="","",IF(Z262=0,"Unassigned",IF(Z262=1,"Single point",IF(AB262="Yes","Staffed and credentialed","Staffed, credential gap"))))</f>
        <v/>
      </c>
      <c r="AD262" s="10" t="str">
        <f aca="false">IFERROR(INDEX(Lists!$H$3:$H$6,MATCH(AC262,Lists!$G$3:$G$6,0)),"")</f>
        <v/>
      </c>
      <c r="AE262" s="8"/>
      <c r="AF262" s="10" t="str">
        <f aca="false">IFERROR(INDEX(Lists!$B$3:$B$7,MATCH(AE262,Lists!$A$3:$A$7,0)),"")</f>
        <v/>
      </c>
      <c r="AG262" s="8"/>
      <c r="AH262" s="8"/>
      <c r="AI262" s="8"/>
      <c r="AJ262" s="8"/>
      <c r="AK262" s="8"/>
      <c r="AL262" s="8"/>
      <c r="AM262" s="11" t="str">
        <f aca="false">IF(OR(AJ262="",AJ262=0),"",AL262/AJ262)</f>
        <v/>
      </c>
      <c r="AN262" s="8"/>
      <c r="AO262" s="8"/>
      <c r="AP262" s="10" t="str">
        <f aca="false">IF(AN262="","Not assessed",IF(AND(R262="No",AN262="Gap - recommend tailoring"),"INVALID: HSSB is not tailorable",IF(OR(Z262="",Z262=0),"NO NAMED EXECUTOR",IF(AND(N(AF262)&gt;=3,AJ262=""),"Operating claimed with no sample",IF(AND(N(AF262)&gt;=3,Z262=1),"Operating rests on one individual",IF(AND(N(AF262)&gt;=3,AB262&lt;&gt;"Yes"),"Operating claimed below designed credential",IF(AND(R262="No",N(AF262)&lt;3),"HSSB GATE: below Operating",IF(AND(N(AF262)&gt;=3,AJ262&lt;&gt;"",AL262=""),"Sample size with no conforming count","OK"))))))))</f>
        <v>Not assessed</v>
      </c>
      <c r="AQ262" s="8"/>
      <c r="AR262" s="8"/>
      <c r="AS262" s="8"/>
    </row>
    <row r="263" customFormat="false" ht="22.35" hidden="false" customHeight="false" outlineLevel="0" collapsed="false">
      <c r="A263" s="12" t="s">
        <v>629</v>
      </c>
      <c r="B263" s="12" t="s">
        <v>574</v>
      </c>
      <c r="C263" s="12" t="s">
        <v>624</v>
      </c>
      <c r="D263" s="12" t="s">
        <v>625</v>
      </c>
      <c r="E263" s="12" t="s">
        <v>88</v>
      </c>
      <c r="F263" s="12"/>
      <c r="G263" s="13" t="s">
        <v>85</v>
      </c>
      <c r="H263" s="13" t="s">
        <v>630</v>
      </c>
      <c r="I263" s="12" t="s">
        <v>523</v>
      </c>
      <c r="J263" s="12" t="s">
        <v>627</v>
      </c>
      <c r="K263" s="12" t="s">
        <v>628</v>
      </c>
      <c r="L263" s="12" t="s">
        <v>93</v>
      </c>
      <c r="M263" s="12" t="s">
        <v>94</v>
      </c>
      <c r="N263" s="12" t="s">
        <v>95</v>
      </c>
      <c r="O263" s="12" t="s">
        <v>96</v>
      </c>
      <c r="P263" s="12" t="s">
        <v>97</v>
      </c>
      <c r="Q263" s="12" t="s">
        <v>195</v>
      </c>
      <c r="R263" s="12" t="s">
        <v>82</v>
      </c>
      <c r="S263" s="12"/>
      <c r="T263" s="12" t="s">
        <v>526</v>
      </c>
      <c r="U263" s="8"/>
      <c r="V263" s="8"/>
      <c r="W263" s="8"/>
      <c r="X263" s="8"/>
      <c r="Y263" s="9"/>
      <c r="Z263" s="9"/>
      <c r="AA263" s="9"/>
      <c r="AB263" s="9"/>
      <c r="AC263" s="10" t="str">
        <f aca="false">IF(Z263="","",IF(Z263=0,"Unassigned",IF(Z263=1,"Single point",IF(AB263="Yes","Staffed and credentialed","Staffed, credential gap"))))</f>
        <v/>
      </c>
      <c r="AD263" s="10" t="str">
        <f aca="false">IFERROR(INDEX(Lists!$H$3:$H$6,MATCH(AC263,Lists!$G$3:$G$6,0)),"")</f>
        <v/>
      </c>
      <c r="AE263" s="8"/>
      <c r="AF263" s="10" t="str">
        <f aca="false">IFERROR(INDEX(Lists!$B$3:$B$7,MATCH(AE263,Lists!$A$3:$A$7,0)),"")</f>
        <v/>
      </c>
      <c r="AG263" s="8"/>
      <c r="AH263" s="8"/>
      <c r="AI263" s="8"/>
      <c r="AJ263" s="8"/>
      <c r="AK263" s="8"/>
      <c r="AL263" s="8"/>
      <c r="AM263" s="11" t="str">
        <f aca="false">IF(OR(AJ263="",AJ263=0),"",AL263/AJ263)</f>
        <v/>
      </c>
      <c r="AN263" s="8"/>
      <c r="AO263" s="8"/>
      <c r="AP263" s="10" t="str">
        <f aca="false">IF(AN263="","Not assessed",IF(AND(R263="No",AN263="Gap - recommend tailoring"),"INVALID: HSSB is not tailorable",IF(OR(Z263="",Z263=0),"NO NAMED EXECUTOR",IF(AND(N(AF263)&gt;=3,AJ263=""),"Operating claimed with no sample",IF(AND(N(AF263)&gt;=3,Z263=1),"Operating rests on one individual",IF(AND(N(AF263)&gt;=3,AB263&lt;&gt;"Yes"),"Operating claimed below designed credential",IF(AND(R263="No",N(AF263)&lt;3),"HSSB GATE: below Operating",IF(AND(N(AF263)&gt;=3,AJ263&lt;&gt;"",AL263=""),"Sample size with no conforming count","OK"))))))))</f>
        <v>Not assessed</v>
      </c>
      <c r="AQ263" s="8"/>
      <c r="AR263" s="8"/>
      <c r="AS263" s="8"/>
    </row>
    <row r="264" customFormat="false" ht="22.35" hidden="false" customHeight="false" outlineLevel="0" collapsed="false">
      <c r="A264" s="6" t="s">
        <v>631</v>
      </c>
      <c r="B264" s="6" t="s">
        <v>574</v>
      </c>
      <c r="C264" s="6" t="s">
        <v>624</v>
      </c>
      <c r="D264" s="6" t="s">
        <v>625</v>
      </c>
      <c r="E264" s="6" t="s">
        <v>100</v>
      </c>
      <c r="F264" s="7"/>
      <c r="G264" s="6" t="s">
        <v>82</v>
      </c>
      <c r="H264" s="6"/>
      <c r="I264" s="6"/>
      <c r="J264" s="6"/>
      <c r="K264" s="6"/>
      <c r="L264" s="6" t="s">
        <v>83</v>
      </c>
      <c r="M264" s="6" t="s">
        <v>84</v>
      </c>
      <c r="N264" s="6"/>
      <c r="O264" s="6"/>
      <c r="P264" s="6"/>
      <c r="Q264" s="6"/>
      <c r="R264" s="6" t="s">
        <v>85</v>
      </c>
      <c r="S264" s="6"/>
      <c r="T264" s="6" t="s">
        <v>526</v>
      </c>
      <c r="U264" s="8"/>
      <c r="V264" s="8"/>
      <c r="W264" s="8"/>
      <c r="X264" s="8"/>
      <c r="Y264" s="9"/>
      <c r="Z264" s="9"/>
      <c r="AA264" s="9"/>
      <c r="AB264" s="9"/>
      <c r="AC264" s="10" t="str">
        <f aca="false">IF(Z264="","",IF(Z264=0,"Unassigned",IF(Z264=1,"Single point",IF(AB264="Yes","Staffed and credentialed","Staffed, credential gap"))))</f>
        <v/>
      </c>
      <c r="AD264" s="10" t="str">
        <f aca="false">IFERROR(INDEX(Lists!$H$3:$H$6,MATCH(AC264,Lists!$G$3:$G$6,0)),"")</f>
        <v/>
      </c>
      <c r="AE264" s="8"/>
      <c r="AF264" s="10" t="str">
        <f aca="false">IFERROR(INDEX(Lists!$B$3:$B$7,MATCH(AE264,Lists!$A$3:$A$7,0)),"")</f>
        <v/>
      </c>
      <c r="AG264" s="8"/>
      <c r="AH264" s="8"/>
      <c r="AI264" s="8"/>
      <c r="AJ264" s="8"/>
      <c r="AK264" s="8"/>
      <c r="AL264" s="8"/>
      <c r="AM264" s="11" t="str">
        <f aca="false">IF(OR(AJ264="",AJ264=0),"",AL264/AJ264)</f>
        <v/>
      </c>
      <c r="AN264" s="8"/>
      <c r="AO264" s="8"/>
      <c r="AP264" s="10" t="str">
        <f aca="false">IF(AN264="","Not assessed",IF(AND(R264="No",AN264="Gap - recommend tailoring"),"INVALID: HSSB is not tailorable",IF(OR(Z264="",Z264=0),"NO NAMED EXECUTOR",IF(AND(N(AF264)&gt;=3,AJ264=""),"Operating claimed with no sample",IF(AND(N(AF264)&gt;=3,Z264=1),"Operating rests on one individual",IF(AND(N(AF264)&gt;=3,AB264&lt;&gt;"Yes"),"Operating claimed below designed credential",IF(AND(R264="No",N(AF264)&lt;3),"HSSB GATE: below Operating",IF(AND(N(AF264)&gt;=3,AJ264&lt;&gt;"",AL264=""),"Sample size with no conforming count","OK"))))))))</f>
        <v>Not assessed</v>
      </c>
      <c r="AQ264" s="8"/>
      <c r="AR264" s="8"/>
      <c r="AS264" s="8"/>
    </row>
    <row r="265" customFormat="false" ht="22.35" hidden="false" customHeight="false" outlineLevel="0" collapsed="false">
      <c r="A265" s="12" t="s">
        <v>632</v>
      </c>
      <c r="B265" s="12" t="s">
        <v>574</v>
      </c>
      <c r="C265" s="12" t="s">
        <v>624</v>
      </c>
      <c r="D265" s="12" t="s">
        <v>625</v>
      </c>
      <c r="E265" s="12" t="s">
        <v>102</v>
      </c>
      <c r="F265" s="12"/>
      <c r="G265" s="13" t="s">
        <v>85</v>
      </c>
      <c r="H265" s="13" t="s">
        <v>633</v>
      </c>
      <c r="I265" s="12" t="s">
        <v>523</v>
      </c>
      <c r="J265" s="12" t="s">
        <v>627</v>
      </c>
      <c r="K265" s="12" t="s">
        <v>628</v>
      </c>
      <c r="L265" s="12" t="s">
        <v>93</v>
      </c>
      <c r="M265" s="12" t="s">
        <v>94</v>
      </c>
      <c r="N265" s="12" t="s">
        <v>95</v>
      </c>
      <c r="O265" s="12" t="s">
        <v>96</v>
      </c>
      <c r="P265" s="12" t="s">
        <v>97</v>
      </c>
      <c r="Q265" s="12" t="s">
        <v>472</v>
      </c>
      <c r="R265" s="12" t="s">
        <v>82</v>
      </c>
      <c r="S265" s="12"/>
      <c r="T265" s="12" t="s">
        <v>526</v>
      </c>
      <c r="U265" s="8"/>
      <c r="V265" s="8"/>
      <c r="W265" s="8"/>
      <c r="X265" s="8"/>
      <c r="Y265" s="9"/>
      <c r="Z265" s="9"/>
      <c r="AA265" s="9"/>
      <c r="AB265" s="9"/>
      <c r="AC265" s="10" t="str">
        <f aca="false">IF(Z265="","",IF(Z265=0,"Unassigned",IF(Z265=1,"Single point",IF(AB265="Yes","Staffed and credentialed","Staffed, credential gap"))))</f>
        <v/>
      </c>
      <c r="AD265" s="10" t="str">
        <f aca="false">IFERROR(INDEX(Lists!$H$3:$H$6,MATCH(AC265,Lists!$G$3:$G$6,0)),"")</f>
        <v/>
      </c>
      <c r="AE265" s="8"/>
      <c r="AF265" s="10" t="str">
        <f aca="false">IFERROR(INDEX(Lists!$B$3:$B$7,MATCH(AE265,Lists!$A$3:$A$7,0)),"")</f>
        <v/>
      </c>
      <c r="AG265" s="8"/>
      <c r="AH265" s="8"/>
      <c r="AI265" s="8"/>
      <c r="AJ265" s="8"/>
      <c r="AK265" s="8"/>
      <c r="AL265" s="8"/>
      <c r="AM265" s="11" t="str">
        <f aca="false">IF(OR(AJ265="",AJ265=0),"",AL265/AJ265)</f>
        <v/>
      </c>
      <c r="AN265" s="8"/>
      <c r="AO265" s="8"/>
      <c r="AP265" s="10" t="str">
        <f aca="false">IF(AN265="","Not assessed",IF(AND(R265="No",AN265="Gap - recommend tailoring"),"INVALID: HSSB is not tailorable",IF(OR(Z265="",Z265=0),"NO NAMED EXECUTOR",IF(AND(N(AF265)&gt;=3,AJ265=""),"Operating claimed with no sample",IF(AND(N(AF265)&gt;=3,Z265=1),"Operating rests on one individual",IF(AND(N(AF265)&gt;=3,AB265&lt;&gt;"Yes"),"Operating claimed below designed credential",IF(AND(R265="No",N(AF265)&lt;3),"HSSB GATE: below Operating",IF(AND(N(AF265)&gt;=3,AJ265&lt;&gt;"",AL265=""),"Sample size with no conforming count","OK"))))))))</f>
        <v>Not assessed</v>
      </c>
      <c r="AQ265" s="8"/>
      <c r="AR265" s="8"/>
      <c r="AS265" s="8"/>
    </row>
    <row r="266" customFormat="false" ht="22.35" hidden="false" customHeight="false" outlineLevel="0" collapsed="false">
      <c r="A266" s="6" t="s">
        <v>634</v>
      </c>
      <c r="B266" s="6" t="s">
        <v>574</v>
      </c>
      <c r="C266" s="6" t="s">
        <v>624</v>
      </c>
      <c r="D266" s="6" t="s">
        <v>625</v>
      </c>
      <c r="E266" s="6" t="s">
        <v>209</v>
      </c>
      <c r="F266" s="7"/>
      <c r="G266" s="6" t="s">
        <v>82</v>
      </c>
      <c r="H266" s="6"/>
      <c r="I266" s="6"/>
      <c r="J266" s="6"/>
      <c r="K266" s="6"/>
      <c r="L266" s="6" t="s">
        <v>83</v>
      </c>
      <c r="M266" s="6" t="s">
        <v>84</v>
      </c>
      <c r="N266" s="6"/>
      <c r="O266" s="6"/>
      <c r="P266" s="6"/>
      <c r="Q266" s="6"/>
      <c r="R266" s="6" t="s">
        <v>85</v>
      </c>
      <c r="S266" s="6"/>
      <c r="T266" s="6" t="s">
        <v>526</v>
      </c>
      <c r="U266" s="8"/>
      <c r="V266" s="8"/>
      <c r="W266" s="8"/>
      <c r="X266" s="8"/>
      <c r="Y266" s="9"/>
      <c r="Z266" s="9"/>
      <c r="AA266" s="9"/>
      <c r="AB266" s="9"/>
      <c r="AC266" s="10" t="str">
        <f aca="false">IF(Z266="","",IF(Z266=0,"Unassigned",IF(Z266=1,"Single point",IF(AB266="Yes","Staffed and credentialed","Staffed, credential gap"))))</f>
        <v/>
      </c>
      <c r="AD266" s="10" t="str">
        <f aca="false">IFERROR(INDEX(Lists!$H$3:$H$6,MATCH(AC266,Lists!$G$3:$G$6,0)),"")</f>
        <v/>
      </c>
      <c r="AE266" s="8"/>
      <c r="AF266" s="10" t="str">
        <f aca="false">IFERROR(INDEX(Lists!$B$3:$B$7,MATCH(AE266,Lists!$A$3:$A$7,0)),"")</f>
        <v/>
      </c>
      <c r="AG266" s="8"/>
      <c r="AH266" s="8"/>
      <c r="AI266" s="8"/>
      <c r="AJ266" s="8"/>
      <c r="AK266" s="8"/>
      <c r="AL266" s="8"/>
      <c r="AM266" s="11" t="str">
        <f aca="false">IF(OR(AJ266="",AJ266=0),"",AL266/AJ266)</f>
        <v/>
      </c>
      <c r="AN266" s="8"/>
      <c r="AO266" s="8"/>
      <c r="AP266" s="10" t="str">
        <f aca="false">IF(AN266="","Not assessed",IF(AND(R266="No",AN266="Gap - recommend tailoring"),"INVALID: HSSB is not tailorable",IF(OR(Z266="",Z266=0),"NO NAMED EXECUTOR",IF(AND(N(AF266)&gt;=3,AJ266=""),"Operating claimed with no sample",IF(AND(N(AF266)&gt;=3,Z266=1),"Operating rests on one individual",IF(AND(N(AF266)&gt;=3,AB266&lt;&gt;"Yes"),"Operating claimed below designed credential",IF(AND(R266="No",N(AF266)&lt;3),"HSSB GATE: below Operating",IF(AND(N(AF266)&gt;=3,AJ266&lt;&gt;"",AL266=""),"Sample size with no conforming count","OK"))))))))</f>
        <v>Not assessed</v>
      </c>
      <c r="AQ266" s="8"/>
      <c r="AR266" s="8"/>
      <c r="AS266" s="8"/>
    </row>
    <row r="267" customFormat="false" ht="22.35" hidden="false" customHeight="false" outlineLevel="0" collapsed="false">
      <c r="A267" s="6" t="s">
        <v>635</v>
      </c>
      <c r="B267" s="6" t="s">
        <v>574</v>
      </c>
      <c r="C267" s="6" t="s">
        <v>624</v>
      </c>
      <c r="D267" s="6" t="s">
        <v>625</v>
      </c>
      <c r="E267" s="6" t="s">
        <v>566</v>
      </c>
      <c r="F267" s="7"/>
      <c r="G267" s="6" t="s">
        <v>82</v>
      </c>
      <c r="H267" s="6"/>
      <c r="I267" s="6"/>
      <c r="J267" s="6"/>
      <c r="K267" s="6"/>
      <c r="L267" s="6" t="s">
        <v>83</v>
      </c>
      <c r="M267" s="6" t="s">
        <v>84</v>
      </c>
      <c r="N267" s="6"/>
      <c r="O267" s="6"/>
      <c r="P267" s="6"/>
      <c r="Q267" s="6"/>
      <c r="R267" s="6" t="s">
        <v>85</v>
      </c>
      <c r="S267" s="6"/>
      <c r="T267" s="6" t="s">
        <v>526</v>
      </c>
      <c r="U267" s="8"/>
      <c r="V267" s="8"/>
      <c r="W267" s="8"/>
      <c r="X267" s="8"/>
      <c r="Y267" s="9"/>
      <c r="Z267" s="9"/>
      <c r="AA267" s="9"/>
      <c r="AB267" s="9"/>
      <c r="AC267" s="10" t="str">
        <f aca="false">IF(Z267="","",IF(Z267=0,"Unassigned",IF(Z267=1,"Single point",IF(AB267="Yes","Staffed and credentialed","Staffed, credential gap"))))</f>
        <v/>
      </c>
      <c r="AD267" s="10" t="str">
        <f aca="false">IFERROR(INDEX(Lists!$H$3:$H$6,MATCH(AC267,Lists!$G$3:$G$6,0)),"")</f>
        <v/>
      </c>
      <c r="AE267" s="8"/>
      <c r="AF267" s="10" t="str">
        <f aca="false">IFERROR(INDEX(Lists!$B$3:$B$7,MATCH(AE267,Lists!$A$3:$A$7,0)),"")</f>
        <v/>
      </c>
      <c r="AG267" s="8"/>
      <c r="AH267" s="8"/>
      <c r="AI267" s="8"/>
      <c r="AJ267" s="8"/>
      <c r="AK267" s="8"/>
      <c r="AL267" s="8"/>
      <c r="AM267" s="11" t="str">
        <f aca="false">IF(OR(AJ267="",AJ267=0),"",AL267/AJ267)</f>
        <v/>
      </c>
      <c r="AN267" s="8"/>
      <c r="AO267" s="8"/>
      <c r="AP267" s="10" t="str">
        <f aca="false">IF(AN267="","Not assessed",IF(AND(R267="No",AN267="Gap - recommend tailoring"),"INVALID: HSSB is not tailorable",IF(OR(Z267="",Z267=0),"NO NAMED EXECUTOR",IF(AND(N(AF267)&gt;=3,AJ267=""),"Operating claimed with no sample",IF(AND(N(AF267)&gt;=3,Z267=1),"Operating rests on one individual",IF(AND(N(AF267)&gt;=3,AB267&lt;&gt;"Yes"),"Operating claimed below designed credential",IF(AND(R267="No",N(AF267)&lt;3),"HSSB GATE: below Operating",IF(AND(N(AF267)&gt;=3,AJ267&lt;&gt;"",AL267=""),"Sample size with no conforming count","OK"))))))))</f>
        <v>Not assessed</v>
      </c>
      <c r="AQ267" s="8"/>
      <c r="AR267" s="8"/>
      <c r="AS267" s="8"/>
    </row>
    <row r="268" customFormat="false" ht="22.35" hidden="false" customHeight="false" outlineLevel="0" collapsed="false">
      <c r="A268" s="6" t="s">
        <v>636</v>
      </c>
      <c r="B268" s="6" t="s">
        <v>574</v>
      </c>
      <c r="C268" s="6" t="s">
        <v>637</v>
      </c>
      <c r="D268" s="6" t="s">
        <v>638</v>
      </c>
      <c r="E268" s="6" t="s">
        <v>112</v>
      </c>
      <c r="F268" s="7"/>
      <c r="G268" s="6" t="s">
        <v>82</v>
      </c>
      <c r="H268" s="6"/>
      <c r="I268" s="6"/>
      <c r="J268" s="6"/>
      <c r="K268" s="6"/>
      <c r="L268" s="6" t="s">
        <v>83</v>
      </c>
      <c r="M268" s="6" t="s">
        <v>84</v>
      </c>
      <c r="N268" s="6"/>
      <c r="O268" s="6"/>
      <c r="P268" s="6"/>
      <c r="Q268" s="6"/>
      <c r="R268" s="6" t="s">
        <v>85</v>
      </c>
      <c r="S268" s="6"/>
      <c r="T268" s="6" t="s">
        <v>526</v>
      </c>
      <c r="U268" s="8"/>
      <c r="V268" s="8"/>
      <c r="W268" s="8"/>
      <c r="X268" s="8"/>
      <c r="Y268" s="9"/>
      <c r="Z268" s="9"/>
      <c r="AA268" s="9"/>
      <c r="AB268" s="9"/>
      <c r="AC268" s="10" t="str">
        <f aca="false">IF(Z268="","",IF(Z268=0,"Unassigned",IF(Z268=1,"Single point",IF(AB268="Yes","Staffed and credentialed","Staffed, credential gap"))))</f>
        <v/>
      </c>
      <c r="AD268" s="10" t="str">
        <f aca="false">IFERROR(INDEX(Lists!$H$3:$H$6,MATCH(AC268,Lists!$G$3:$G$6,0)),"")</f>
        <v/>
      </c>
      <c r="AE268" s="8"/>
      <c r="AF268" s="10" t="str">
        <f aca="false">IFERROR(INDEX(Lists!$B$3:$B$7,MATCH(AE268,Lists!$A$3:$A$7,0)),"")</f>
        <v/>
      </c>
      <c r="AG268" s="8"/>
      <c r="AH268" s="8"/>
      <c r="AI268" s="8"/>
      <c r="AJ268" s="8"/>
      <c r="AK268" s="8"/>
      <c r="AL268" s="8"/>
      <c r="AM268" s="11" t="str">
        <f aca="false">IF(OR(AJ268="",AJ268=0),"",AL268/AJ268)</f>
        <v/>
      </c>
      <c r="AN268" s="8"/>
      <c r="AO268" s="8"/>
      <c r="AP268" s="10" t="str">
        <f aca="false">IF(AN268="","Not assessed",IF(AND(R268="No",AN268="Gap - recommend tailoring"),"INVALID: HSSB is not tailorable",IF(OR(Z268="",Z268=0),"NO NAMED EXECUTOR",IF(AND(N(AF268)&gt;=3,AJ268=""),"Operating claimed with no sample",IF(AND(N(AF268)&gt;=3,Z268=1),"Operating rests on one individual",IF(AND(N(AF268)&gt;=3,AB268&lt;&gt;"Yes"),"Operating claimed below designed credential",IF(AND(R268="No",N(AF268)&lt;3),"HSSB GATE: below Operating",IF(AND(N(AF268)&gt;=3,AJ268&lt;&gt;"",AL268=""),"Sample size with no conforming count","OK"))))))))</f>
        <v>Not assessed</v>
      </c>
      <c r="AQ268" s="8"/>
      <c r="AR268" s="8"/>
      <c r="AS268" s="8"/>
    </row>
    <row r="269" customFormat="false" ht="22.35" hidden="false" customHeight="false" outlineLevel="0" collapsed="false">
      <c r="A269" s="12" t="s">
        <v>639</v>
      </c>
      <c r="B269" s="12" t="s">
        <v>574</v>
      </c>
      <c r="C269" s="12" t="s">
        <v>637</v>
      </c>
      <c r="D269" s="12" t="s">
        <v>638</v>
      </c>
      <c r="E269" s="12" t="s">
        <v>115</v>
      </c>
      <c r="F269" s="12"/>
      <c r="G269" s="13" t="s">
        <v>85</v>
      </c>
      <c r="H269" s="13" t="s">
        <v>640</v>
      </c>
      <c r="I269" s="12" t="s">
        <v>523</v>
      </c>
      <c r="J269" s="12" t="s">
        <v>641</v>
      </c>
      <c r="K269" s="12" t="s">
        <v>642</v>
      </c>
      <c r="L269" s="12" t="s">
        <v>243</v>
      </c>
      <c r="M269" s="12" t="s">
        <v>94</v>
      </c>
      <c r="N269" s="12" t="s">
        <v>95</v>
      </c>
      <c r="O269" s="12" t="s">
        <v>96</v>
      </c>
      <c r="P269" s="12" t="s">
        <v>97</v>
      </c>
      <c r="Q269" s="12" t="s">
        <v>195</v>
      </c>
      <c r="R269" s="12" t="s">
        <v>82</v>
      </c>
      <c r="S269" s="12"/>
      <c r="T269" s="12" t="s">
        <v>526</v>
      </c>
      <c r="U269" s="8"/>
      <c r="V269" s="8"/>
      <c r="W269" s="8"/>
      <c r="X269" s="8"/>
      <c r="Y269" s="9"/>
      <c r="Z269" s="9"/>
      <c r="AA269" s="9"/>
      <c r="AB269" s="9"/>
      <c r="AC269" s="10" t="str">
        <f aca="false">IF(Z269="","",IF(Z269=0,"Unassigned",IF(Z269=1,"Single point",IF(AB269="Yes","Staffed and credentialed","Staffed, credential gap"))))</f>
        <v/>
      </c>
      <c r="AD269" s="10" t="str">
        <f aca="false">IFERROR(INDEX(Lists!$H$3:$H$6,MATCH(AC269,Lists!$G$3:$G$6,0)),"")</f>
        <v/>
      </c>
      <c r="AE269" s="8"/>
      <c r="AF269" s="10" t="str">
        <f aca="false">IFERROR(INDEX(Lists!$B$3:$B$7,MATCH(AE269,Lists!$A$3:$A$7,0)),"")</f>
        <v/>
      </c>
      <c r="AG269" s="8"/>
      <c r="AH269" s="8"/>
      <c r="AI269" s="8"/>
      <c r="AJ269" s="8"/>
      <c r="AK269" s="8"/>
      <c r="AL269" s="8"/>
      <c r="AM269" s="11" t="str">
        <f aca="false">IF(OR(AJ269="",AJ269=0),"",AL269/AJ269)</f>
        <v/>
      </c>
      <c r="AN269" s="8"/>
      <c r="AO269" s="8"/>
      <c r="AP269" s="10" t="str">
        <f aca="false">IF(AN269="","Not assessed",IF(AND(R269="No",AN269="Gap - recommend tailoring"),"INVALID: HSSB is not tailorable",IF(OR(Z269="",Z269=0),"NO NAMED EXECUTOR",IF(AND(N(AF269)&gt;=3,AJ269=""),"Operating claimed with no sample",IF(AND(N(AF269)&gt;=3,Z269=1),"Operating rests on one individual",IF(AND(N(AF269)&gt;=3,AB269&lt;&gt;"Yes"),"Operating claimed below designed credential",IF(AND(R269="No",N(AF269)&lt;3),"HSSB GATE: below Operating",IF(AND(N(AF269)&gt;=3,AJ269&lt;&gt;"",AL269=""),"Sample size with no conforming count","OK"))))))))</f>
        <v>Not assessed</v>
      </c>
      <c r="AQ269" s="8"/>
      <c r="AR269" s="8"/>
      <c r="AS269" s="8"/>
    </row>
    <row r="270" customFormat="false" ht="22.35" hidden="false" customHeight="false" outlineLevel="0" collapsed="false">
      <c r="A270" s="6" t="s">
        <v>643</v>
      </c>
      <c r="B270" s="6" t="s">
        <v>574</v>
      </c>
      <c r="C270" s="6" t="s">
        <v>637</v>
      </c>
      <c r="D270" s="6" t="s">
        <v>638</v>
      </c>
      <c r="E270" s="6" t="s">
        <v>117</v>
      </c>
      <c r="F270" s="7"/>
      <c r="G270" s="6" t="s">
        <v>82</v>
      </c>
      <c r="H270" s="6"/>
      <c r="I270" s="6"/>
      <c r="J270" s="6"/>
      <c r="K270" s="6"/>
      <c r="L270" s="6" t="s">
        <v>83</v>
      </c>
      <c r="M270" s="6" t="s">
        <v>84</v>
      </c>
      <c r="N270" s="6"/>
      <c r="O270" s="6"/>
      <c r="P270" s="6"/>
      <c r="Q270" s="6"/>
      <c r="R270" s="6" t="s">
        <v>85</v>
      </c>
      <c r="S270" s="6"/>
      <c r="T270" s="6" t="s">
        <v>526</v>
      </c>
      <c r="U270" s="8"/>
      <c r="V270" s="8"/>
      <c r="W270" s="8"/>
      <c r="X270" s="8"/>
      <c r="Y270" s="9"/>
      <c r="Z270" s="9"/>
      <c r="AA270" s="9"/>
      <c r="AB270" s="9"/>
      <c r="AC270" s="10" t="str">
        <f aca="false">IF(Z270="","",IF(Z270=0,"Unassigned",IF(Z270=1,"Single point",IF(AB270="Yes","Staffed and credentialed","Staffed, credential gap"))))</f>
        <v/>
      </c>
      <c r="AD270" s="10" t="str">
        <f aca="false">IFERROR(INDEX(Lists!$H$3:$H$6,MATCH(AC270,Lists!$G$3:$G$6,0)),"")</f>
        <v/>
      </c>
      <c r="AE270" s="8"/>
      <c r="AF270" s="10" t="str">
        <f aca="false">IFERROR(INDEX(Lists!$B$3:$B$7,MATCH(AE270,Lists!$A$3:$A$7,0)),"")</f>
        <v/>
      </c>
      <c r="AG270" s="8"/>
      <c r="AH270" s="8"/>
      <c r="AI270" s="8"/>
      <c r="AJ270" s="8"/>
      <c r="AK270" s="8"/>
      <c r="AL270" s="8"/>
      <c r="AM270" s="11" t="str">
        <f aca="false">IF(OR(AJ270="",AJ270=0),"",AL270/AJ270)</f>
        <v/>
      </c>
      <c r="AN270" s="8"/>
      <c r="AO270" s="8"/>
      <c r="AP270" s="10" t="str">
        <f aca="false">IF(AN270="","Not assessed",IF(AND(R270="No",AN270="Gap - recommend tailoring"),"INVALID: HSSB is not tailorable",IF(OR(Z270="",Z270=0),"NO NAMED EXECUTOR",IF(AND(N(AF270)&gt;=3,AJ270=""),"Operating claimed with no sample",IF(AND(N(AF270)&gt;=3,Z270=1),"Operating rests on one individual",IF(AND(N(AF270)&gt;=3,AB270&lt;&gt;"Yes"),"Operating claimed below designed credential",IF(AND(R270="No",N(AF270)&lt;3),"HSSB GATE: below Operating",IF(AND(N(AF270)&gt;=3,AJ270&lt;&gt;"",AL270=""),"Sample size with no conforming count","OK"))))))))</f>
        <v>Not assessed</v>
      </c>
      <c r="AQ270" s="8"/>
      <c r="AR270" s="8"/>
      <c r="AS270" s="8"/>
    </row>
    <row r="271" customFormat="false" ht="22.35" hidden="false" customHeight="false" outlineLevel="0" collapsed="false">
      <c r="A271" s="6" t="s">
        <v>644</v>
      </c>
      <c r="B271" s="6" t="s">
        <v>574</v>
      </c>
      <c r="C271" s="6" t="s">
        <v>637</v>
      </c>
      <c r="D271" s="6" t="s">
        <v>638</v>
      </c>
      <c r="E271" s="6" t="s">
        <v>156</v>
      </c>
      <c r="F271" s="7"/>
      <c r="G271" s="6" t="s">
        <v>82</v>
      </c>
      <c r="H271" s="6"/>
      <c r="I271" s="6"/>
      <c r="J271" s="6"/>
      <c r="K271" s="6"/>
      <c r="L271" s="6" t="s">
        <v>83</v>
      </c>
      <c r="M271" s="6" t="s">
        <v>84</v>
      </c>
      <c r="N271" s="6"/>
      <c r="O271" s="6"/>
      <c r="P271" s="6"/>
      <c r="Q271" s="6"/>
      <c r="R271" s="6" t="s">
        <v>85</v>
      </c>
      <c r="S271" s="6"/>
      <c r="T271" s="6" t="s">
        <v>526</v>
      </c>
      <c r="U271" s="8"/>
      <c r="V271" s="8"/>
      <c r="W271" s="8"/>
      <c r="X271" s="8"/>
      <c r="Y271" s="9"/>
      <c r="Z271" s="9"/>
      <c r="AA271" s="9"/>
      <c r="AB271" s="9"/>
      <c r="AC271" s="10" t="str">
        <f aca="false">IF(Z271="","",IF(Z271=0,"Unassigned",IF(Z271=1,"Single point",IF(AB271="Yes","Staffed and credentialed","Staffed, credential gap"))))</f>
        <v/>
      </c>
      <c r="AD271" s="10" t="str">
        <f aca="false">IFERROR(INDEX(Lists!$H$3:$H$6,MATCH(AC271,Lists!$G$3:$G$6,0)),"")</f>
        <v/>
      </c>
      <c r="AE271" s="8"/>
      <c r="AF271" s="10" t="str">
        <f aca="false">IFERROR(INDEX(Lists!$B$3:$B$7,MATCH(AE271,Lists!$A$3:$A$7,0)),"")</f>
        <v/>
      </c>
      <c r="AG271" s="8"/>
      <c r="AH271" s="8"/>
      <c r="AI271" s="8"/>
      <c r="AJ271" s="8"/>
      <c r="AK271" s="8"/>
      <c r="AL271" s="8"/>
      <c r="AM271" s="11" t="str">
        <f aca="false">IF(OR(AJ271="",AJ271=0),"",AL271/AJ271)</f>
        <v/>
      </c>
      <c r="AN271" s="8"/>
      <c r="AO271" s="8"/>
      <c r="AP271" s="10" t="str">
        <f aca="false">IF(AN271="","Not assessed",IF(AND(R271="No",AN271="Gap - recommend tailoring"),"INVALID: HSSB is not tailorable",IF(OR(Z271="",Z271=0),"NO NAMED EXECUTOR",IF(AND(N(AF271)&gt;=3,AJ271=""),"Operating claimed with no sample",IF(AND(N(AF271)&gt;=3,Z271=1),"Operating rests on one individual",IF(AND(N(AF271)&gt;=3,AB271&lt;&gt;"Yes"),"Operating claimed below designed credential",IF(AND(R271="No",N(AF271)&lt;3),"HSSB GATE: below Operating",IF(AND(N(AF271)&gt;=3,AJ271&lt;&gt;"",AL271=""),"Sample size with no conforming count","OK"))))))))</f>
        <v>Not assessed</v>
      </c>
      <c r="AQ271" s="8"/>
      <c r="AR271" s="8"/>
      <c r="AS271" s="8"/>
    </row>
    <row r="272" customFormat="false" ht="22.35" hidden="false" customHeight="false" outlineLevel="0" collapsed="false">
      <c r="A272" s="6" t="s">
        <v>645</v>
      </c>
      <c r="B272" s="6" t="s">
        <v>574</v>
      </c>
      <c r="C272" s="6" t="s">
        <v>637</v>
      </c>
      <c r="D272" s="6" t="s">
        <v>638</v>
      </c>
      <c r="E272" s="6" t="s">
        <v>158</v>
      </c>
      <c r="F272" s="7"/>
      <c r="G272" s="6" t="s">
        <v>82</v>
      </c>
      <c r="H272" s="6"/>
      <c r="I272" s="6"/>
      <c r="J272" s="6"/>
      <c r="K272" s="6"/>
      <c r="L272" s="6" t="s">
        <v>83</v>
      </c>
      <c r="M272" s="6" t="s">
        <v>84</v>
      </c>
      <c r="N272" s="6"/>
      <c r="O272" s="6"/>
      <c r="P272" s="6"/>
      <c r="Q272" s="6"/>
      <c r="R272" s="6" t="s">
        <v>85</v>
      </c>
      <c r="S272" s="6"/>
      <c r="T272" s="6" t="s">
        <v>526</v>
      </c>
      <c r="U272" s="8"/>
      <c r="V272" s="8"/>
      <c r="W272" s="8"/>
      <c r="X272" s="8"/>
      <c r="Y272" s="9"/>
      <c r="Z272" s="9"/>
      <c r="AA272" s="9"/>
      <c r="AB272" s="9"/>
      <c r="AC272" s="10" t="str">
        <f aca="false">IF(Z272="","",IF(Z272=0,"Unassigned",IF(Z272=1,"Single point",IF(AB272="Yes","Staffed and credentialed","Staffed, credential gap"))))</f>
        <v/>
      </c>
      <c r="AD272" s="10" t="str">
        <f aca="false">IFERROR(INDEX(Lists!$H$3:$H$6,MATCH(AC272,Lists!$G$3:$G$6,0)),"")</f>
        <v/>
      </c>
      <c r="AE272" s="8"/>
      <c r="AF272" s="10" t="str">
        <f aca="false">IFERROR(INDEX(Lists!$B$3:$B$7,MATCH(AE272,Lists!$A$3:$A$7,0)),"")</f>
        <v/>
      </c>
      <c r="AG272" s="8"/>
      <c r="AH272" s="8"/>
      <c r="AI272" s="8"/>
      <c r="AJ272" s="8"/>
      <c r="AK272" s="8"/>
      <c r="AL272" s="8"/>
      <c r="AM272" s="11" t="str">
        <f aca="false">IF(OR(AJ272="",AJ272=0),"",AL272/AJ272)</f>
        <v/>
      </c>
      <c r="AN272" s="8"/>
      <c r="AO272" s="8"/>
      <c r="AP272" s="10" t="str">
        <f aca="false">IF(AN272="","Not assessed",IF(AND(R272="No",AN272="Gap - recommend tailoring"),"INVALID: HSSB is not tailorable",IF(OR(Z272="",Z272=0),"NO NAMED EXECUTOR",IF(AND(N(AF272)&gt;=3,AJ272=""),"Operating claimed with no sample",IF(AND(N(AF272)&gt;=3,Z272=1),"Operating rests on one individual",IF(AND(N(AF272)&gt;=3,AB272&lt;&gt;"Yes"),"Operating claimed below designed credential",IF(AND(R272="No",N(AF272)&lt;3),"HSSB GATE: below Operating",IF(AND(N(AF272)&gt;=3,AJ272&lt;&gt;"",AL272=""),"Sample size with no conforming count","OK"))))))))</f>
        <v>Not assessed</v>
      </c>
      <c r="AQ272" s="8"/>
      <c r="AR272" s="8"/>
      <c r="AS272" s="8"/>
    </row>
    <row r="273" customFormat="false" ht="22.35" hidden="false" customHeight="false" outlineLevel="0" collapsed="false">
      <c r="A273" s="6" t="s">
        <v>646</v>
      </c>
      <c r="B273" s="6" t="s">
        <v>574</v>
      </c>
      <c r="C273" s="6" t="s">
        <v>637</v>
      </c>
      <c r="D273" s="6" t="s">
        <v>638</v>
      </c>
      <c r="E273" s="6" t="s">
        <v>160</v>
      </c>
      <c r="F273" s="7"/>
      <c r="G273" s="6" t="s">
        <v>82</v>
      </c>
      <c r="H273" s="6"/>
      <c r="I273" s="6"/>
      <c r="J273" s="6"/>
      <c r="K273" s="6"/>
      <c r="L273" s="6" t="s">
        <v>83</v>
      </c>
      <c r="M273" s="6" t="s">
        <v>84</v>
      </c>
      <c r="N273" s="6"/>
      <c r="O273" s="6"/>
      <c r="P273" s="6"/>
      <c r="Q273" s="6"/>
      <c r="R273" s="6" t="s">
        <v>85</v>
      </c>
      <c r="S273" s="6"/>
      <c r="T273" s="6" t="s">
        <v>526</v>
      </c>
      <c r="U273" s="8"/>
      <c r="V273" s="8"/>
      <c r="W273" s="8"/>
      <c r="X273" s="8"/>
      <c r="Y273" s="9"/>
      <c r="Z273" s="9"/>
      <c r="AA273" s="9"/>
      <c r="AB273" s="9"/>
      <c r="AC273" s="10" t="str">
        <f aca="false">IF(Z273="","",IF(Z273=0,"Unassigned",IF(Z273=1,"Single point",IF(AB273="Yes","Staffed and credentialed","Staffed, credential gap"))))</f>
        <v/>
      </c>
      <c r="AD273" s="10" t="str">
        <f aca="false">IFERROR(INDEX(Lists!$H$3:$H$6,MATCH(AC273,Lists!$G$3:$G$6,0)),"")</f>
        <v/>
      </c>
      <c r="AE273" s="8"/>
      <c r="AF273" s="10" t="str">
        <f aca="false">IFERROR(INDEX(Lists!$B$3:$B$7,MATCH(AE273,Lists!$A$3:$A$7,0)),"")</f>
        <v/>
      </c>
      <c r="AG273" s="8"/>
      <c r="AH273" s="8"/>
      <c r="AI273" s="8"/>
      <c r="AJ273" s="8"/>
      <c r="AK273" s="8"/>
      <c r="AL273" s="8"/>
      <c r="AM273" s="11" t="str">
        <f aca="false">IF(OR(AJ273="",AJ273=0),"",AL273/AJ273)</f>
        <v/>
      </c>
      <c r="AN273" s="8"/>
      <c r="AO273" s="8"/>
      <c r="AP273" s="10" t="str">
        <f aca="false">IF(AN273="","Not assessed",IF(AND(R273="No",AN273="Gap - recommend tailoring"),"INVALID: HSSB is not tailorable",IF(OR(Z273="",Z273=0),"NO NAMED EXECUTOR",IF(AND(N(AF273)&gt;=3,AJ273=""),"Operating claimed with no sample",IF(AND(N(AF273)&gt;=3,Z273=1),"Operating rests on one individual",IF(AND(N(AF273)&gt;=3,AB273&lt;&gt;"Yes"),"Operating claimed below designed credential",IF(AND(R273="No",N(AF273)&lt;3),"HSSB GATE: below Operating",IF(AND(N(AF273)&gt;=3,AJ273&lt;&gt;"",AL273=""),"Sample size with no conforming count","OK"))))))))</f>
        <v>Not assessed</v>
      </c>
      <c r="AQ273" s="8"/>
      <c r="AR273" s="8"/>
      <c r="AS273" s="8"/>
    </row>
    <row r="274" customFormat="false" ht="22.35" hidden="false" customHeight="false" outlineLevel="0" collapsed="false">
      <c r="A274" s="6" t="s">
        <v>647</v>
      </c>
      <c r="B274" s="6" t="s">
        <v>574</v>
      </c>
      <c r="C274" s="6" t="s">
        <v>637</v>
      </c>
      <c r="D274" s="6" t="s">
        <v>638</v>
      </c>
      <c r="E274" s="6" t="s">
        <v>162</v>
      </c>
      <c r="F274" s="7"/>
      <c r="G274" s="6" t="s">
        <v>82</v>
      </c>
      <c r="H274" s="6"/>
      <c r="I274" s="6"/>
      <c r="J274" s="6"/>
      <c r="K274" s="6"/>
      <c r="L274" s="6" t="s">
        <v>83</v>
      </c>
      <c r="M274" s="6" t="s">
        <v>84</v>
      </c>
      <c r="N274" s="6"/>
      <c r="O274" s="6"/>
      <c r="P274" s="6"/>
      <c r="Q274" s="6"/>
      <c r="R274" s="6" t="s">
        <v>85</v>
      </c>
      <c r="S274" s="6"/>
      <c r="T274" s="6" t="s">
        <v>526</v>
      </c>
      <c r="U274" s="8"/>
      <c r="V274" s="8"/>
      <c r="W274" s="8"/>
      <c r="X274" s="8"/>
      <c r="Y274" s="9"/>
      <c r="Z274" s="9"/>
      <c r="AA274" s="9"/>
      <c r="AB274" s="9"/>
      <c r="AC274" s="10" t="str">
        <f aca="false">IF(Z274="","",IF(Z274=0,"Unassigned",IF(Z274=1,"Single point",IF(AB274="Yes","Staffed and credentialed","Staffed, credential gap"))))</f>
        <v/>
      </c>
      <c r="AD274" s="10" t="str">
        <f aca="false">IFERROR(INDEX(Lists!$H$3:$H$6,MATCH(AC274,Lists!$G$3:$G$6,0)),"")</f>
        <v/>
      </c>
      <c r="AE274" s="8"/>
      <c r="AF274" s="10" t="str">
        <f aca="false">IFERROR(INDEX(Lists!$B$3:$B$7,MATCH(AE274,Lists!$A$3:$A$7,0)),"")</f>
        <v/>
      </c>
      <c r="AG274" s="8"/>
      <c r="AH274" s="8"/>
      <c r="AI274" s="8"/>
      <c r="AJ274" s="8"/>
      <c r="AK274" s="8"/>
      <c r="AL274" s="8"/>
      <c r="AM274" s="11" t="str">
        <f aca="false">IF(OR(AJ274="",AJ274=0),"",AL274/AJ274)</f>
        <v/>
      </c>
      <c r="AN274" s="8"/>
      <c r="AO274" s="8"/>
      <c r="AP274" s="10" t="str">
        <f aca="false">IF(AN274="","Not assessed",IF(AND(R274="No",AN274="Gap - recommend tailoring"),"INVALID: HSSB is not tailorable",IF(OR(Z274="",Z274=0),"NO NAMED EXECUTOR",IF(AND(N(AF274)&gt;=3,AJ274=""),"Operating claimed with no sample",IF(AND(N(AF274)&gt;=3,Z274=1),"Operating rests on one individual",IF(AND(N(AF274)&gt;=3,AB274&lt;&gt;"Yes"),"Operating claimed below designed credential",IF(AND(R274="No",N(AF274)&lt;3),"HSSB GATE: below Operating",IF(AND(N(AF274)&gt;=3,AJ274&lt;&gt;"",AL274=""),"Sample size with no conforming count","OK"))))))))</f>
        <v>Not assessed</v>
      </c>
      <c r="AQ274" s="8"/>
      <c r="AR274" s="8"/>
      <c r="AS274" s="8"/>
    </row>
    <row r="275" customFormat="false" ht="22.35" hidden="false" customHeight="false" outlineLevel="0" collapsed="false">
      <c r="A275" s="6" t="s">
        <v>648</v>
      </c>
      <c r="B275" s="6" t="s">
        <v>574</v>
      </c>
      <c r="C275" s="6" t="s">
        <v>637</v>
      </c>
      <c r="D275" s="6" t="s">
        <v>638</v>
      </c>
      <c r="E275" s="6" t="s">
        <v>164</v>
      </c>
      <c r="F275" s="7"/>
      <c r="G275" s="6" t="s">
        <v>82</v>
      </c>
      <c r="H275" s="6"/>
      <c r="I275" s="6"/>
      <c r="J275" s="6"/>
      <c r="K275" s="6"/>
      <c r="L275" s="6" t="s">
        <v>83</v>
      </c>
      <c r="M275" s="6" t="s">
        <v>84</v>
      </c>
      <c r="N275" s="6"/>
      <c r="O275" s="6"/>
      <c r="P275" s="6"/>
      <c r="Q275" s="6"/>
      <c r="R275" s="6" t="s">
        <v>85</v>
      </c>
      <c r="S275" s="6"/>
      <c r="T275" s="6" t="s">
        <v>526</v>
      </c>
      <c r="U275" s="8"/>
      <c r="V275" s="8"/>
      <c r="W275" s="8"/>
      <c r="X275" s="8"/>
      <c r="Y275" s="9"/>
      <c r="Z275" s="9"/>
      <c r="AA275" s="9"/>
      <c r="AB275" s="9"/>
      <c r="AC275" s="10" t="str">
        <f aca="false">IF(Z275="","",IF(Z275=0,"Unassigned",IF(Z275=1,"Single point",IF(AB275="Yes","Staffed and credentialed","Staffed, credential gap"))))</f>
        <v/>
      </c>
      <c r="AD275" s="10" t="str">
        <f aca="false">IFERROR(INDEX(Lists!$H$3:$H$6,MATCH(AC275,Lists!$G$3:$G$6,0)),"")</f>
        <v/>
      </c>
      <c r="AE275" s="8"/>
      <c r="AF275" s="10" t="str">
        <f aca="false">IFERROR(INDEX(Lists!$B$3:$B$7,MATCH(AE275,Lists!$A$3:$A$7,0)),"")</f>
        <v/>
      </c>
      <c r="AG275" s="8"/>
      <c r="AH275" s="8"/>
      <c r="AI275" s="8"/>
      <c r="AJ275" s="8"/>
      <c r="AK275" s="8"/>
      <c r="AL275" s="8"/>
      <c r="AM275" s="11" t="str">
        <f aca="false">IF(OR(AJ275="",AJ275=0),"",AL275/AJ275)</f>
        <v/>
      </c>
      <c r="AN275" s="8"/>
      <c r="AO275" s="8"/>
      <c r="AP275" s="10" t="str">
        <f aca="false">IF(AN275="","Not assessed",IF(AND(R275="No",AN275="Gap - recommend tailoring"),"INVALID: HSSB is not tailorable",IF(OR(Z275="",Z275=0),"NO NAMED EXECUTOR",IF(AND(N(AF275)&gt;=3,AJ275=""),"Operating claimed with no sample",IF(AND(N(AF275)&gt;=3,Z275=1),"Operating rests on one individual",IF(AND(N(AF275)&gt;=3,AB275&lt;&gt;"Yes"),"Operating claimed below designed credential",IF(AND(R275="No",N(AF275)&lt;3),"HSSB GATE: below Operating",IF(AND(N(AF275)&gt;=3,AJ275&lt;&gt;"",AL275=""),"Sample size with no conforming count","OK"))))))))</f>
        <v>Not assessed</v>
      </c>
      <c r="AQ275" s="8"/>
      <c r="AR275" s="8"/>
      <c r="AS275" s="8"/>
    </row>
    <row r="276" customFormat="false" ht="22.35" hidden="false" customHeight="false" outlineLevel="0" collapsed="false">
      <c r="A276" s="6" t="s">
        <v>649</v>
      </c>
      <c r="B276" s="6" t="s">
        <v>574</v>
      </c>
      <c r="C276" s="6" t="s">
        <v>650</v>
      </c>
      <c r="D276" s="6" t="s">
        <v>651</v>
      </c>
      <c r="E276" s="6" t="s">
        <v>81</v>
      </c>
      <c r="F276" s="7"/>
      <c r="G276" s="6" t="s">
        <v>82</v>
      </c>
      <c r="H276" s="6"/>
      <c r="I276" s="6"/>
      <c r="J276" s="6"/>
      <c r="K276" s="6"/>
      <c r="L276" s="6" t="s">
        <v>83</v>
      </c>
      <c r="M276" s="6" t="s">
        <v>84</v>
      </c>
      <c r="N276" s="6"/>
      <c r="O276" s="6"/>
      <c r="P276" s="6"/>
      <c r="Q276" s="6"/>
      <c r="R276" s="6" t="s">
        <v>85</v>
      </c>
      <c r="S276" s="6"/>
      <c r="T276" s="6" t="s">
        <v>526</v>
      </c>
      <c r="U276" s="8"/>
      <c r="V276" s="8"/>
      <c r="W276" s="8"/>
      <c r="X276" s="8"/>
      <c r="Y276" s="9"/>
      <c r="Z276" s="9"/>
      <c r="AA276" s="9"/>
      <c r="AB276" s="9"/>
      <c r="AC276" s="10" t="str">
        <f aca="false">IF(Z276="","",IF(Z276=0,"Unassigned",IF(Z276=1,"Single point",IF(AB276="Yes","Staffed and credentialed","Staffed, credential gap"))))</f>
        <v/>
      </c>
      <c r="AD276" s="10" t="str">
        <f aca="false">IFERROR(INDEX(Lists!$H$3:$H$6,MATCH(AC276,Lists!$G$3:$G$6,0)),"")</f>
        <v/>
      </c>
      <c r="AE276" s="8"/>
      <c r="AF276" s="10" t="str">
        <f aca="false">IFERROR(INDEX(Lists!$B$3:$B$7,MATCH(AE276,Lists!$A$3:$A$7,0)),"")</f>
        <v/>
      </c>
      <c r="AG276" s="8"/>
      <c r="AH276" s="8"/>
      <c r="AI276" s="8"/>
      <c r="AJ276" s="8"/>
      <c r="AK276" s="8"/>
      <c r="AL276" s="8"/>
      <c r="AM276" s="11" t="str">
        <f aca="false">IF(OR(AJ276="",AJ276=0),"",AL276/AJ276)</f>
        <v/>
      </c>
      <c r="AN276" s="8"/>
      <c r="AO276" s="8"/>
      <c r="AP276" s="10" t="str">
        <f aca="false">IF(AN276="","Not assessed",IF(AND(R276="No",AN276="Gap - recommend tailoring"),"INVALID: HSSB is not tailorable",IF(OR(Z276="",Z276=0),"NO NAMED EXECUTOR",IF(AND(N(AF276)&gt;=3,AJ276=""),"Operating claimed with no sample",IF(AND(N(AF276)&gt;=3,Z276=1),"Operating rests on one individual",IF(AND(N(AF276)&gt;=3,AB276&lt;&gt;"Yes"),"Operating claimed below designed credential",IF(AND(R276="No",N(AF276)&lt;3),"HSSB GATE: below Operating",IF(AND(N(AF276)&gt;=3,AJ276&lt;&gt;"",AL276=""),"Sample size with no conforming count","OK"))))))))</f>
        <v>Not assessed</v>
      </c>
      <c r="AQ276" s="8"/>
      <c r="AR276" s="8"/>
      <c r="AS276" s="8"/>
    </row>
    <row r="277" customFormat="false" ht="22.35" hidden="false" customHeight="false" outlineLevel="0" collapsed="false">
      <c r="A277" s="6" t="s">
        <v>652</v>
      </c>
      <c r="B277" s="6" t="s">
        <v>574</v>
      </c>
      <c r="C277" s="6" t="s">
        <v>653</v>
      </c>
      <c r="D277" s="6" t="s">
        <v>654</v>
      </c>
      <c r="E277" s="6" t="s">
        <v>112</v>
      </c>
      <c r="F277" s="7"/>
      <c r="G277" s="6" t="s">
        <v>82</v>
      </c>
      <c r="H277" s="6"/>
      <c r="I277" s="6"/>
      <c r="J277" s="6"/>
      <c r="K277" s="6"/>
      <c r="L277" s="6" t="s">
        <v>83</v>
      </c>
      <c r="M277" s="6" t="s">
        <v>84</v>
      </c>
      <c r="N277" s="6"/>
      <c r="O277" s="6"/>
      <c r="P277" s="6"/>
      <c r="Q277" s="6"/>
      <c r="R277" s="6" t="s">
        <v>85</v>
      </c>
      <c r="S277" s="6" t="s">
        <v>655</v>
      </c>
      <c r="T277" s="6" t="s">
        <v>526</v>
      </c>
      <c r="U277" s="8"/>
      <c r="V277" s="8"/>
      <c r="W277" s="8"/>
      <c r="X277" s="8"/>
      <c r="Y277" s="9"/>
      <c r="Z277" s="9"/>
      <c r="AA277" s="9"/>
      <c r="AB277" s="9"/>
      <c r="AC277" s="10" t="str">
        <f aca="false">IF(Z277="","",IF(Z277=0,"Unassigned",IF(Z277=1,"Single point",IF(AB277="Yes","Staffed and credentialed","Staffed, credential gap"))))</f>
        <v/>
      </c>
      <c r="AD277" s="10" t="str">
        <f aca="false">IFERROR(INDEX(Lists!$H$3:$H$6,MATCH(AC277,Lists!$G$3:$G$6,0)),"")</f>
        <v/>
      </c>
      <c r="AE277" s="8"/>
      <c r="AF277" s="10" t="str">
        <f aca="false">IFERROR(INDEX(Lists!$B$3:$B$7,MATCH(AE277,Lists!$A$3:$A$7,0)),"")</f>
        <v/>
      </c>
      <c r="AG277" s="8"/>
      <c r="AH277" s="8"/>
      <c r="AI277" s="8"/>
      <c r="AJ277" s="8"/>
      <c r="AK277" s="8"/>
      <c r="AL277" s="8"/>
      <c r="AM277" s="11" t="str">
        <f aca="false">IF(OR(AJ277="",AJ277=0),"",AL277/AJ277)</f>
        <v/>
      </c>
      <c r="AN277" s="8"/>
      <c r="AO277" s="8"/>
      <c r="AP277" s="10" t="str">
        <f aca="false">IF(AN277="","Not assessed",IF(AND(R277="No",AN277="Gap - recommend tailoring"),"INVALID: HSSB is not tailorable",IF(OR(Z277="",Z277=0),"NO NAMED EXECUTOR",IF(AND(N(AF277)&gt;=3,AJ277=""),"Operating claimed with no sample",IF(AND(N(AF277)&gt;=3,Z277=1),"Operating rests on one individual",IF(AND(N(AF277)&gt;=3,AB277&lt;&gt;"Yes"),"Operating claimed below designed credential",IF(AND(R277="No",N(AF277)&lt;3),"HSSB GATE: below Operating",IF(AND(N(AF277)&gt;=3,AJ277&lt;&gt;"",AL277=""),"Sample size with no conforming count","OK"))))))))</f>
        <v>Not assessed</v>
      </c>
      <c r="AQ277" s="8"/>
      <c r="AR277" s="8"/>
      <c r="AS277" s="8"/>
    </row>
    <row r="278" customFormat="false" ht="22.35" hidden="false" customHeight="false" outlineLevel="0" collapsed="false">
      <c r="A278" s="6" t="s">
        <v>656</v>
      </c>
      <c r="B278" s="6" t="s">
        <v>574</v>
      </c>
      <c r="C278" s="6" t="s">
        <v>653</v>
      </c>
      <c r="D278" s="6" t="s">
        <v>654</v>
      </c>
      <c r="E278" s="6" t="s">
        <v>115</v>
      </c>
      <c r="F278" s="7"/>
      <c r="G278" s="6" t="s">
        <v>82</v>
      </c>
      <c r="H278" s="6"/>
      <c r="I278" s="6"/>
      <c r="J278" s="6"/>
      <c r="K278" s="6"/>
      <c r="L278" s="6" t="s">
        <v>83</v>
      </c>
      <c r="M278" s="6" t="s">
        <v>84</v>
      </c>
      <c r="N278" s="6"/>
      <c r="O278" s="6"/>
      <c r="P278" s="6"/>
      <c r="Q278" s="6"/>
      <c r="R278" s="6" t="s">
        <v>85</v>
      </c>
      <c r="S278" s="6" t="s">
        <v>655</v>
      </c>
      <c r="T278" s="6" t="s">
        <v>526</v>
      </c>
      <c r="U278" s="8"/>
      <c r="V278" s="8"/>
      <c r="W278" s="8"/>
      <c r="X278" s="8"/>
      <c r="Y278" s="9"/>
      <c r="Z278" s="9"/>
      <c r="AA278" s="9"/>
      <c r="AB278" s="9"/>
      <c r="AC278" s="10" t="str">
        <f aca="false">IF(Z278="","",IF(Z278=0,"Unassigned",IF(Z278=1,"Single point",IF(AB278="Yes","Staffed and credentialed","Staffed, credential gap"))))</f>
        <v/>
      </c>
      <c r="AD278" s="10" t="str">
        <f aca="false">IFERROR(INDEX(Lists!$H$3:$H$6,MATCH(AC278,Lists!$G$3:$G$6,0)),"")</f>
        <v/>
      </c>
      <c r="AE278" s="8"/>
      <c r="AF278" s="10" t="str">
        <f aca="false">IFERROR(INDEX(Lists!$B$3:$B$7,MATCH(AE278,Lists!$A$3:$A$7,0)),"")</f>
        <v/>
      </c>
      <c r="AG278" s="8"/>
      <c r="AH278" s="8"/>
      <c r="AI278" s="8"/>
      <c r="AJ278" s="8"/>
      <c r="AK278" s="8"/>
      <c r="AL278" s="8"/>
      <c r="AM278" s="11" t="str">
        <f aca="false">IF(OR(AJ278="",AJ278=0),"",AL278/AJ278)</f>
        <v/>
      </c>
      <c r="AN278" s="8"/>
      <c r="AO278" s="8"/>
      <c r="AP278" s="10" t="str">
        <f aca="false">IF(AN278="","Not assessed",IF(AND(R278="No",AN278="Gap - recommend tailoring"),"INVALID: HSSB is not tailorable",IF(OR(Z278="",Z278=0),"NO NAMED EXECUTOR",IF(AND(N(AF278)&gt;=3,AJ278=""),"Operating claimed with no sample",IF(AND(N(AF278)&gt;=3,Z278=1),"Operating rests on one individual",IF(AND(N(AF278)&gt;=3,AB278&lt;&gt;"Yes"),"Operating claimed below designed credential",IF(AND(R278="No",N(AF278)&lt;3),"HSSB GATE: below Operating",IF(AND(N(AF278)&gt;=3,AJ278&lt;&gt;"",AL278=""),"Sample size with no conforming count","OK"))))))))</f>
        <v>Not assessed</v>
      </c>
      <c r="AQ278" s="8"/>
      <c r="AR278" s="8"/>
      <c r="AS278" s="8"/>
    </row>
    <row r="279" customFormat="false" ht="22.35" hidden="false" customHeight="false" outlineLevel="0" collapsed="false">
      <c r="A279" s="6" t="s">
        <v>657</v>
      </c>
      <c r="B279" s="6" t="s">
        <v>574</v>
      </c>
      <c r="C279" s="6" t="s">
        <v>653</v>
      </c>
      <c r="D279" s="6" t="s">
        <v>654</v>
      </c>
      <c r="E279" s="6" t="s">
        <v>117</v>
      </c>
      <c r="F279" s="7"/>
      <c r="G279" s="6" t="s">
        <v>82</v>
      </c>
      <c r="H279" s="6"/>
      <c r="I279" s="6"/>
      <c r="J279" s="6"/>
      <c r="K279" s="6"/>
      <c r="L279" s="6" t="s">
        <v>83</v>
      </c>
      <c r="M279" s="6" t="s">
        <v>84</v>
      </c>
      <c r="N279" s="6"/>
      <c r="O279" s="6"/>
      <c r="P279" s="6"/>
      <c r="Q279" s="6"/>
      <c r="R279" s="6" t="s">
        <v>85</v>
      </c>
      <c r="S279" s="6" t="s">
        <v>655</v>
      </c>
      <c r="T279" s="6" t="s">
        <v>526</v>
      </c>
      <c r="U279" s="8"/>
      <c r="V279" s="8"/>
      <c r="W279" s="8"/>
      <c r="X279" s="8"/>
      <c r="Y279" s="9"/>
      <c r="Z279" s="9"/>
      <c r="AA279" s="9"/>
      <c r="AB279" s="9"/>
      <c r="AC279" s="10" t="str">
        <f aca="false">IF(Z279="","",IF(Z279=0,"Unassigned",IF(Z279=1,"Single point",IF(AB279="Yes","Staffed and credentialed","Staffed, credential gap"))))</f>
        <v/>
      </c>
      <c r="AD279" s="10" t="str">
        <f aca="false">IFERROR(INDEX(Lists!$H$3:$H$6,MATCH(AC279,Lists!$G$3:$G$6,0)),"")</f>
        <v/>
      </c>
      <c r="AE279" s="8"/>
      <c r="AF279" s="10" t="str">
        <f aca="false">IFERROR(INDEX(Lists!$B$3:$B$7,MATCH(AE279,Lists!$A$3:$A$7,0)),"")</f>
        <v/>
      </c>
      <c r="AG279" s="8"/>
      <c r="AH279" s="8"/>
      <c r="AI279" s="8"/>
      <c r="AJ279" s="8"/>
      <c r="AK279" s="8"/>
      <c r="AL279" s="8"/>
      <c r="AM279" s="11" t="str">
        <f aca="false">IF(OR(AJ279="",AJ279=0),"",AL279/AJ279)</f>
        <v/>
      </c>
      <c r="AN279" s="8"/>
      <c r="AO279" s="8"/>
      <c r="AP279" s="10" t="str">
        <f aca="false">IF(AN279="","Not assessed",IF(AND(R279="No",AN279="Gap - recommend tailoring"),"INVALID: HSSB is not tailorable",IF(OR(Z279="",Z279=0),"NO NAMED EXECUTOR",IF(AND(N(AF279)&gt;=3,AJ279=""),"Operating claimed with no sample",IF(AND(N(AF279)&gt;=3,Z279=1),"Operating rests on one individual",IF(AND(N(AF279)&gt;=3,AB279&lt;&gt;"Yes"),"Operating claimed below designed credential",IF(AND(R279="No",N(AF279)&lt;3),"HSSB GATE: below Operating",IF(AND(N(AF279)&gt;=3,AJ279&lt;&gt;"",AL279=""),"Sample size with no conforming count","OK"))))))))</f>
        <v>Not assessed</v>
      </c>
      <c r="AQ279" s="8"/>
      <c r="AR279" s="8"/>
      <c r="AS279" s="8"/>
    </row>
  </sheetData>
  <autoFilter ref="A5:AS279"/>
  <dataValidations count="5">
    <dataValidation allowBlank="true" errorStyle="stop" operator="between" showDropDown="false" showErrorMessage="false" showInputMessage="false" sqref="AE6:AE279" type="list">
      <formula1>Lists!$A$3:$A$7</formula1>
      <formula2>0</formula2>
    </dataValidation>
    <dataValidation allowBlank="true" errorStyle="stop" operator="between" showDropDown="false" showErrorMessage="false" showInputMessage="false" sqref="AN6:AN279" type="list">
      <formula1>Lists!$D$3:$D$7</formula1>
      <formula2>0</formula2>
    </dataValidation>
    <dataValidation allowBlank="true" errorStyle="stop" operator="between" showDropDown="false" showErrorMessage="false" showInputMessage="false" sqref="AG6:AG279" type="list">
      <formula1>Lists!$F$3:$F$10</formula1>
      <formula2>0</formula2>
    </dataValidation>
    <dataValidation allowBlank="true" errorStyle="stop" operator="between" showDropDown="false" showErrorMessage="false" showInputMessage="false" sqref="AA6:AA279" type="list">
      <formula1>Lists!$J$3:$J$12</formula1>
      <formula2>0</formula2>
    </dataValidation>
    <dataValidation allowBlank="true" errorStyle="stop" operator="between" showDropDown="false" showErrorMessage="false" showInputMessage="false" sqref="AB6:AB279" type="list">
      <formula1>"Yes,No,Unknown"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
    <col collapsed="false" customWidth="true" hidden="false" outlineLevel="0" max="4" min="4" style="0" width="26"/>
    <col collapsed="false" customWidth="true" hidden="false" outlineLevel="0" max="6" min="6" style="0" width="34"/>
    <col collapsed="false" customWidth="true" hidden="false" outlineLevel="0" max="7" min="7" style="0" width="24"/>
    <col collapsed="false" customWidth="true" hidden="false" outlineLevel="0" max="8" min="8" style="0" width="8"/>
    <col collapsed="false" customWidth="true" hidden="false" outlineLevel="0" max="10" min="10" style="0" width="32"/>
  </cols>
  <sheetData>
    <row r="1" customFormat="false" ht="15" hidden="false" customHeight="false" outlineLevel="0" collapsed="false">
      <c r="A1" s="2" t="s">
        <v>658</v>
      </c>
    </row>
    <row r="2" customFormat="false" ht="15" hidden="false" customHeight="false" outlineLevel="0" collapsed="false">
      <c r="A2" s="5" t="s">
        <v>62</v>
      </c>
      <c r="B2" s="5" t="s">
        <v>659</v>
      </c>
      <c r="D2" s="5" t="s">
        <v>71</v>
      </c>
      <c r="F2" s="5" t="s">
        <v>64</v>
      </c>
      <c r="G2" s="5" t="s">
        <v>60</v>
      </c>
      <c r="H2" s="5" t="s">
        <v>659</v>
      </c>
      <c r="J2" s="5" t="s">
        <v>660</v>
      </c>
    </row>
    <row r="3" customFormat="false" ht="15" hidden="false" customHeight="false" outlineLevel="0" collapsed="false">
      <c r="A3" s="14" t="s">
        <v>661</v>
      </c>
      <c r="B3" s="14" t="n">
        <v>0</v>
      </c>
      <c r="D3" s="14" t="s">
        <v>662</v>
      </c>
      <c r="F3" s="14" t="s">
        <v>663</v>
      </c>
      <c r="G3" s="14" t="s">
        <v>664</v>
      </c>
      <c r="H3" s="14" t="n">
        <v>0</v>
      </c>
      <c r="J3" s="14" t="s">
        <v>665</v>
      </c>
    </row>
    <row r="4" customFormat="false" ht="15" hidden="false" customHeight="false" outlineLevel="0" collapsed="false">
      <c r="A4" s="14" t="s">
        <v>666</v>
      </c>
      <c r="B4" s="14" t="n">
        <v>1</v>
      </c>
      <c r="D4" s="14" t="s">
        <v>667</v>
      </c>
      <c r="F4" s="14" t="s">
        <v>668</v>
      </c>
      <c r="G4" s="14" t="s">
        <v>669</v>
      </c>
      <c r="H4" s="14" t="n">
        <v>1</v>
      </c>
      <c r="J4" s="14" t="s">
        <v>152</v>
      </c>
    </row>
    <row r="5" customFormat="false" ht="15" hidden="false" customHeight="false" outlineLevel="0" collapsed="false">
      <c r="A5" s="14" t="s">
        <v>670</v>
      </c>
      <c r="B5" s="14" t="n">
        <v>2</v>
      </c>
      <c r="D5" s="14" t="s">
        <v>671</v>
      </c>
      <c r="F5" s="14" t="s">
        <v>672</v>
      </c>
      <c r="G5" s="14" t="s">
        <v>673</v>
      </c>
      <c r="H5" s="14" t="n">
        <v>2</v>
      </c>
      <c r="J5" s="14" t="s">
        <v>674</v>
      </c>
    </row>
    <row r="6" customFormat="false" ht="15" hidden="false" customHeight="false" outlineLevel="0" collapsed="false">
      <c r="A6" s="14" t="s">
        <v>675</v>
      </c>
      <c r="B6" s="14" t="n">
        <v>3</v>
      </c>
      <c r="D6" s="14" t="s">
        <v>676</v>
      </c>
      <c r="F6" s="14" t="s">
        <v>677</v>
      </c>
      <c r="G6" s="14" t="s">
        <v>678</v>
      </c>
      <c r="H6" s="14" t="n">
        <v>3</v>
      </c>
      <c r="J6" s="14" t="s">
        <v>679</v>
      </c>
    </row>
    <row r="7" customFormat="false" ht="15" hidden="false" customHeight="false" outlineLevel="0" collapsed="false">
      <c r="A7" s="14" t="s">
        <v>680</v>
      </c>
      <c r="B7" s="14" t="n">
        <v>4</v>
      </c>
      <c r="D7" s="14" t="s">
        <v>681</v>
      </c>
      <c r="F7" s="14" t="s">
        <v>682</v>
      </c>
      <c r="J7" s="14" t="s">
        <v>683</v>
      </c>
    </row>
    <row r="8" customFormat="false" ht="15" hidden="false" customHeight="false" outlineLevel="0" collapsed="false">
      <c r="F8" s="14" t="s">
        <v>684</v>
      </c>
      <c r="G8" s="4" t="s">
        <v>685</v>
      </c>
      <c r="J8" s="14" t="s">
        <v>686</v>
      </c>
    </row>
    <row r="9" customFormat="false" ht="15" hidden="false" customHeight="false" outlineLevel="0" collapsed="false">
      <c r="D9" s="4" t="s">
        <v>687</v>
      </c>
      <c r="F9" s="14" t="s">
        <v>688</v>
      </c>
      <c r="J9" s="14" t="s">
        <v>689</v>
      </c>
    </row>
    <row r="10" customFormat="false" ht="15" hidden="false" customHeight="false" outlineLevel="0" collapsed="false">
      <c r="F10" s="14" t="s">
        <v>690</v>
      </c>
      <c r="J10" s="14" t="s">
        <v>691</v>
      </c>
    </row>
    <row r="11" customFormat="false" ht="15" hidden="false" customHeight="false" outlineLevel="0" collapsed="false">
      <c r="J11" s="14" t="s">
        <v>692</v>
      </c>
    </row>
    <row r="12" customFormat="false" ht="15" hidden="false" customHeight="false" outlineLevel="0" collapsed="false">
      <c r="J12" s="14" t="s">
        <v>664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30"/>
    <col collapsed="false" customWidth="true" hidden="false" outlineLevel="0" max="4" min="4" style="0" width="18"/>
    <col collapsed="false" customWidth="true" hidden="false" outlineLevel="0" max="5" min="5" style="0" width="16"/>
    <col collapsed="false" customWidth="true" hidden="false" outlineLevel="0" max="7" min="6" style="0" width="20"/>
    <col collapsed="false" customWidth="true" hidden="false" outlineLevel="0" max="8" min="8" style="0" width="14"/>
    <col collapsed="false" customWidth="true" hidden="false" outlineLevel="0" max="9" min="9" style="0" width="34"/>
  </cols>
  <sheetData>
    <row r="1" customFormat="false" ht="17.35" hidden="false" customHeight="false" outlineLevel="0" collapsed="false">
      <c r="A1" s="1" t="s">
        <v>693</v>
      </c>
    </row>
    <row r="2" customFormat="false" ht="15" hidden="false" customHeight="false" outlineLevel="0" collapsed="false">
      <c r="A2" s="4" t="s">
        <v>694</v>
      </c>
    </row>
    <row r="3" customFormat="false" ht="15" hidden="false" customHeight="false" outlineLevel="0" collapsed="false">
      <c r="A3" s="4" t="s">
        <v>695</v>
      </c>
    </row>
    <row r="5" customFormat="false" ht="33.75" hidden="false" customHeight="true" outlineLevel="0" collapsed="false">
      <c r="A5" s="15" t="s">
        <v>696</v>
      </c>
      <c r="B5" s="15" t="s">
        <v>697</v>
      </c>
      <c r="C5" s="15" t="s">
        <v>698</v>
      </c>
      <c r="D5" s="15" t="s">
        <v>699</v>
      </c>
      <c r="E5" s="15" t="s">
        <v>700</v>
      </c>
      <c r="F5" s="15" t="s">
        <v>701</v>
      </c>
      <c r="G5" s="15" t="s">
        <v>702</v>
      </c>
      <c r="H5" s="15" t="s">
        <v>703</v>
      </c>
      <c r="I5" s="15" t="s">
        <v>76</v>
      </c>
    </row>
    <row r="6" customFormat="false" ht="15" hidden="false" customHeight="false" outlineLevel="0" collapsed="false">
      <c r="A6" s="16" t="s">
        <v>704</v>
      </c>
      <c r="B6" s="16" t="s">
        <v>705</v>
      </c>
      <c r="C6" s="16" t="s">
        <v>674</v>
      </c>
      <c r="D6" s="16" t="s">
        <v>245</v>
      </c>
      <c r="E6" s="16" t="n">
        <v>0.8</v>
      </c>
      <c r="F6" s="17" t="n">
        <f aca="false">IF($A6="","",SUMPRODUCT(--ISNUMBER(SEARCH($A6,'Full Register'!$Y$6:$Y$279))))</f>
        <v>0</v>
      </c>
      <c r="G6" s="17" t="str">
        <f aca="false">IF(F6="","",IF(F6&gt;=40,"High concentration",IF(F6&gt;=25,"Watch","")))</f>
        <v/>
      </c>
      <c r="H6" s="8"/>
      <c r="I6" s="18" t="s">
        <v>706</v>
      </c>
    </row>
    <row r="7" customFormat="false" ht="15" hidden="false" customHeight="false" outlineLevel="0" collapsed="false">
      <c r="A7" s="8"/>
      <c r="B7" s="8"/>
      <c r="C7" s="8"/>
      <c r="D7" s="8"/>
      <c r="E7" s="8"/>
      <c r="F7" s="17" t="str">
        <f aca="false">IF($A7="","",SUMPRODUCT(--ISNUMBER(SEARCH($A7,'Full Register'!$Y$6:$Y$279))))</f>
        <v/>
      </c>
      <c r="G7" s="17" t="str">
        <f aca="false">IF(F7="","",IF(F7&gt;=40,"High concentration",IF(F7&gt;=25,"Watch","")))</f>
        <v/>
      </c>
      <c r="H7" s="8"/>
      <c r="I7" s="8"/>
    </row>
    <row r="8" customFormat="false" ht="15" hidden="false" customHeight="false" outlineLevel="0" collapsed="false">
      <c r="A8" s="8"/>
      <c r="B8" s="8"/>
      <c r="C8" s="8"/>
      <c r="D8" s="8"/>
      <c r="E8" s="8"/>
      <c r="F8" s="17" t="str">
        <f aca="false">IF($A8="","",SUMPRODUCT(--ISNUMBER(SEARCH($A8,'Full Register'!$Y$6:$Y$279))))</f>
        <v/>
      </c>
      <c r="G8" s="17" t="str">
        <f aca="false">IF(F8="","",IF(F8&gt;=40,"High concentration",IF(F8&gt;=25,"Watch","")))</f>
        <v/>
      </c>
      <c r="H8" s="8"/>
      <c r="I8" s="8"/>
    </row>
    <row r="9" customFormat="false" ht="15" hidden="false" customHeight="false" outlineLevel="0" collapsed="false">
      <c r="A9" s="8"/>
      <c r="B9" s="8"/>
      <c r="C9" s="8"/>
      <c r="D9" s="8"/>
      <c r="E9" s="8"/>
      <c r="F9" s="17" t="str">
        <f aca="false">IF($A9="","",SUMPRODUCT(--ISNUMBER(SEARCH($A9,'Full Register'!$Y$6:$Y$279))))</f>
        <v/>
      </c>
      <c r="G9" s="17" t="str">
        <f aca="false">IF(F9="","",IF(F9&gt;=40,"High concentration",IF(F9&gt;=25,"Watch","")))</f>
        <v/>
      </c>
      <c r="H9" s="8"/>
      <c r="I9" s="8"/>
    </row>
    <row r="10" customFormat="false" ht="15" hidden="false" customHeight="false" outlineLevel="0" collapsed="false">
      <c r="A10" s="8"/>
      <c r="B10" s="8"/>
      <c r="C10" s="8"/>
      <c r="D10" s="8"/>
      <c r="E10" s="8"/>
      <c r="F10" s="17" t="str">
        <f aca="false">IF($A10="","",SUMPRODUCT(--ISNUMBER(SEARCH($A10,'Full Register'!$Y$6:$Y$279))))</f>
        <v/>
      </c>
      <c r="G10" s="17" t="str">
        <f aca="false">IF(F10="","",IF(F10&gt;=40,"High concentration",IF(F10&gt;=25,"Watch","")))</f>
        <v/>
      </c>
      <c r="H10" s="8"/>
      <c r="I10" s="8"/>
    </row>
    <row r="11" customFormat="false" ht="15" hidden="false" customHeight="false" outlineLevel="0" collapsed="false">
      <c r="A11" s="8"/>
      <c r="B11" s="8"/>
      <c r="C11" s="8"/>
      <c r="D11" s="8"/>
      <c r="E11" s="8"/>
      <c r="F11" s="17" t="str">
        <f aca="false">IF($A11="","",SUMPRODUCT(--ISNUMBER(SEARCH($A11,'Full Register'!$Y$6:$Y$279))))</f>
        <v/>
      </c>
      <c r="G11" s="17" t="str">
        <f aca="false">IF(F11="","",IF(F11&gt;=40,"High concentration",IF(F11&gt;=25,"Watch","")))</f>
        <v/>
      </c>
      <c r="H11" s="8"/>
      <c r="I11" s="8"/>
    </row>
    <row r="12" customFormat="false" ht="15" hidden="false" customHeight="false" outlineLevel="0" collapsed="false">
      <c r="A12" s="8"/>
      <c r="B12" s="8"/>
      <c r="C12" s="8"/>
      <c r="D12" s="8"/>
      <c r="E12" s="8"/>
      <c r="F12" s="17" t="str">
        <f aca="false">IF($A12="","",SUMPRODUCT(--ISNUMBER(SEARCH($A12,'Full Register'!$Y$6:$Y$279))))</f>
        <v/>
      </c>
      <c r="G12" s="17" t="str">
        <f aca="false">IF(F12="","",IF(F12&gt;=40,"High concentration",IF(F12&gt;=25,"Watch","")))</f>
        <v/>
      </c>
      <c r="H12" s="8"/>
      <c r="I12" s="8"/>
    </row>
    <row r="13" customFormat="false" ht="15" hidden="false" customHeight="false" outlineLevel="0" collapsed="false">
      <c r="A13" s="8"/>
      <c r="B13" s="8"/>
      <c r="C13" s="8"/>
      <c r="D13" s="8"/>
      <c r="E13" s="8"/>
      <c r="F13" s="17" t="str">
        <f aca="false">IF($A13="","",SUMPRODUCT(--ISNUMBER(SEARCH($A13,'Full Register'!$Y$6:$Y$279))))</f>
        <v/>
      </c>
      <c r="G13" s="17" t="str">
        <f aca="false">IF(F13="","",IF(F13&gt;=40,"High concentration",IF(F13&gt;=25,"Watch","")))</f>
        <v/>
      </c>
      <c r="H13" s="8"/>
      <c r="I13" s="8"/>
    </row>
    <row r="14" customFormat="false" ht="15" hidden="false" customHeight="false" outlineLevel="0" collapsed="false">
      <c r="A14" s="8"/>
      <c r="B14" s="8"/>
      <c r="C14" s="8"/>
      <c r="D14" s="8"/>
      <c r="E14" s="8"/>
      <c r="F14" s="17" t="str">
        <f aca="false">IF($A14="","",SUMPRODUCT(--ISNUMBER(SEARCH($A14,'Full Register'!$Y$6:$Y$279))))</f>
        <v/>
      </c>
      <c r="G14" s="17" t="str">
        <f aca="false">IF(F14="","",IF(F14&gt;=40,"High concentration",IF(F14&gt;=25,"Watch","")))</f>
        <v/>
      </c>
      <c r="H14" s="8"/>
      <c r="I14" s="8"/>
    </row>
    <row r="15" customFormat="false" ht="15" hidden="false" customHeight="false" outlineLevel="0" collapsed="false">
      <c r="A15" s="8"/>
      <c r="B15" s="8"/>
      <c r="C15" s="8"/>
      <c r="D15" s="8"/>
      <c r="E15" s="8"/>
      <c r="F15" s="17" t="str">
        <f aca="false">IF($A15="","",SUMPRODUCT(--ISNUMBER(SEARCH($A15,'Full Register'!$Y$6:$Y$279))))</f>
        <v/>
      </c>
      <c r="G15" s="17" t="str">
        <f aca="false">IF(F15="","",IF(F15&gt;=40,"High concentration",IF(F15&gt;=25,"Watch","")))</f>
        <v/>
      </c>
      <c r="H15" s="8"/>
      <c r="I15" s="8"/>
    </row>
    <row r="16" customFormat="false" ht="15" hidden="false" customHeight="false" outlineLevel="0" collapsed="false">
      <c r="A16" s="8"/>
      <c r="B16" s="8"/>
      <c r="C16" s="8"/>
      <c r="D16" s="8"/>
      <c r="E16" s="8"/>
      <c r="F16" s="17" t="str">
        <f aca="false">IF($A16="","",SUMPRODUCT(--ISNUMBER(SEARCH($A16,'Full Register'!$Y$6:$Y$279))))</f>
        <v/>
      </c>
      <c r="G16" s="17" t="str">
        <f aca="false">IF(F16="","",IF(F16&gt;=40,"High concentration",IF(F16&gt;=25,"Watch","")))</f>
        <v/>
      </c>
      <c r="H16" s="8"/>
      <c r="I16" s="8"/>
    </row>
    <row r="17" customFormat="false" ht="15" hidden="false" customHeight="false" outlineLevel="0" collapsed="false">
      <c r="A17" s="8"/>
      <c r="B17" s="8"/>
      <c r="C17" s="8"/>
      <c r="D17" s="8"/>
      <c r="E17" s="8"/>
      <c r="F17" s="17" t="str">
        <f aca="false">IF($A17="","",SUMPRODUCT(--ISNUMBER(SEARCH($A17,'Full Register'!$Y$6:$Y$279))))</f>
        <v/>
      </c>
      <c r="G17" s="17" t="str">
        <f aca="false">IF(F17="","",IF(F17&gt;=40,"High concentration",IF(F17&gt;=25,"Watch","")))</f>
        <v/>
      </c>
      <c r="H17" s="8"/>
      <c r="I17" s="8"/>
    </row>
    <row r="18" customFormat="false" ht="15" hidden="false" customHeight="false" outlineLevel="0" collapsed="false">
      <c r="A18" s="8"/>
      <c r="B18" s="8"/>
      <c r="C18" s="8"/>
      <c r="D18" s="8"/>
      <c r="E18" s="8"/>
      <c r="F18" s="17" t="str">
        <f aca="false">IF($A18="","",SUMPRODUCT(--ISNUMBER(SEARCH($A18,'Full Register'!$Y$6:$Y$279))))</f>
        <v/>
      </c>
      <c r="G18" s="17" t="str">
        <f aca="false">IF(F18="","",IF(F18&gt;=40,"High concentration",IF(F18&gt;=25,"Watch","")))</f>
        <v/>
      </c>
      <c r="H18" s="8"/>
      <c r="I18" s="8"/>
    </row>
    <row r="19" customFormat="false" ht="15" hidden="false" customHeight="false" outlineLevel="0" collapsed="false">
      <c r="A19" s="8"/>
      <c r="B19" s="8"/>
      <c r="C19" s="8"/>
      <c r="D19" s="8"/>
      <c r="E19" s="8"/>
      <c r="F19" s="17" t="str">
        <f aca="false">IF($A19="","",SUMPRODUCT(--ISNUMBER(SEARCH($A19,'Full Register'!$Y$6:$Y$279))))</f>
        <v/>
      </c>
      <c r="G19" s="17" t="str">
        <f aca="false">IF(F19="","",IF(F19&gt;=40,"High concentration",IF(F19&gt;=25,"Watch","")))</f>
        <v/>
      </c>
      <c r="H19" s="8"/>
      <c r="I19" s="8"/>
    </row>
    <row r="20" customFormat="false" ht="15" hidden="false" customHeight="false" outlineLevel="0" collapsed="false">
      <c r="A20" s="8"/>
      <c r="B20" s="8"/>
      <c r="C20" s="8"/>
      <c r="D20" s="8"/>
      <c r="E20" s="8"/>
      <c r="F20" s="17" t="str">
        <f aca="false">IF($A20="","",SUMPRODUCT(--ISNUMBER(SEARCH($A20,'Full Register'!$Y$6:$Y$279))))</f>
        <v/>
      </c>
      <c r="G20" s="17" t="str">
        <f aca="false">IF(F20="","",IF(F20&gt;=40,"High concentration",IF(F20&gt;=25,"Watch","")))</f>
        <v/>
      </c>
      <c r="H20" s="8"/>
      <c r="I20" s="8"/>
    </row>
    <row r="21" customFormat="false" ht="15" hidden="false" customHeight="false" outlineLevel="0" collapsed="false">
      <c r="A21" s="8"/>
      <c r="B21" s="8"/>
      <c r="C21" s="8"/>
      <c r="D21" s="8"/>
      <c r="E21" s="8"/>
      <c r="F21" s="17" t="str">
        <f aca="false">IF($A21="","",SUMPRODUCT(--ISNUMBER(SEARCH($A21,'Full Register'!$Y$6:$Y$279))))</f>
        <v/>
      </c>
      <c r="G21" s="17" t="str">
        <f aca="false">IF(F21="","",IF(F21&gt;=40,"High concentration",IF(F21&gt;=25,"Watch","")))</f>
        <v/>
      </c>
      <c r="H21" s="8"/>
      <c r="I21" s="8"/>
    </row>
    <row r="22" customFormat="false" ht="15" hidden="false" customHeight="false" outlineLevel="0" collapsed="false">
      <c r="A22" s="8"/>
      <c r="B22" s="8"/>
      <c r="C22" s="8"/>
      <c r="D22" s="8"/>
      <c r="E22" s="8"/>
      <c r="F22" s="17" t="str">
        <f aca="false">IF($A22="","",SUMPRODUCT(--ISNUMBER(SEARCH($A22,'Full Register'!$Y$6:$Y$279))))</f>
        <v/>
      </c>
      <c r="G22" s="17" t="str">
        <f aca="false">IF(F22="","",IF(F22&gt;=40,"High concentration",IF(F22&gt;=25,"Watch","")))</f>
        <v/>
      </c>
      <c r="H22" s="8"/>
      <c r="I22" s="8"/>
    </row>
    <row r="23" customFormat="false" ht="15" hidden="false" customHeight="false" outlineLevel="0" collapsed="false">
      <c r="A23" s="8"/>
      <c r="B23" s="8"/>
      <c r="C23" s="8"/>
      <c r="D23" s="8"/>
      <c r="E23" s="8"/>
      <c r="F23" s="17" t="str">
        <f aca="false">IF($A23="","",SUMPRODUCT(--ISNUMBER(SEARCH($A23,'Full Register'!$Y$6:$Y$279))))</f>
        <v/>
      </c>
      <c r="G23" s="17" t="str">
        <f aca="false">IF(F23="","",IF(F23&gt;=40,"High concentration",IF(F23&gt;=25,"Watch","")))</f>
        <v/>
      </c>
      <c r="H23" s="8"/>
      <c r="I23" s="8"/>
    </row>
    <row r="24" customFormat="false" ht="15" hidden="false" customHeight="false" outlineLevel="0" collapsed="false">
      <c r="A24" s="8"/>
      <c r="B24" s="8"/>
      <c r="C24" s="8"/>
      <c r="D24" s="8"/>
      <c r="E24" s="8"/>
      <c r="F24" s="17" t="str">
        <f aca="false">IF($A24="","",SUMPRODUCT(--ISNUMBER(SEARCH($A24,'Full Register'!$Y$6:$Y$279))))</f>
        <v/>
      </c>
      <c r="G24" s="17" t="str">
        <f aca="false">IF(F24="","",IF(F24&gt;=40,"High concentration",IF(F24&gt;=25,"Watch","")))</f>
        <v/>
      </c>
      <c r="H24" s="8"/>
      <c r="I24" s="8"/>
    </row>
    <row r="25" customFormat="false" ht="15" hidden="false" customHeight="false" outlineLevel="0" collapsed="false">
      <c r="A25" s="8"/>
      <c r="B25" s="8"/>
      <c r="C25" s="8"/>
      <c r="D25" s="8"/>
      <c r="E25" s="8"/>
      <c r="F25" s="17" t="str">
        <f aca="false">IF($A25="","",SUMPRODUCT(--ISNUMBER(SEARCH($A25,'Full Register'!$Y$6:$Y$279))))</f>
        <v/>
      </c>
      <c r="G25" s="17" t="str">
        <f aca="false">IF(F25="","",IF(F25&gt;=40,"High concentration",IF(F25&gt;=25,"Watch","")))</f>
        <v/>
      </c>
      <c r="H25" s="8"/>
      <c r="I25" s="8"/>
    </row>
    <row r="26" customFormat="false" ht="15" hidden="false" customHeight="false" outlineLevel="0" collapsed="false">
      <c r="A26" s="8"/>
      <c r="B26" s="8"/>
      <c r="C26" s="8"/>
      <c r="D26" s="8"/>
      <c r="E26" s="8"/>
      <c r="F26" s="17" t="str">
        <f aca="false">IF($A26="","",SUMPRODUCT(--ISNUMBER(SEARCH($A26,'Full Register'!$Y$6:$Y$279))))</f>
        <v/>
      </c>
      <c r="G26" s="17" t="str">
        <f aca="false">IF(F26="","",IF(F26&gt;=40,"High concentration",IF(F26&gt;=25,"Watch","")))</f>
        <v/>
      </c>
      <c r="H26" s="8"/>
      <c r="I26" s="8"/>
    </row>
    <row r="27" customFormat="false" ht="15" hidden="false" customHeight="false" outlineLevel="0" collapsed="false">
      <c r="A27" s="8"/>
      <c r="B27" s="8"/>
      <c r="C27" s="8"/>
      <c r="D27" s="8"/>
      <c r="E27" s="8"/>
      <c r="F27" s="17" t="str">
        <f aca="false">IF($A27="","",SUMPRODUCT(--ISNUMBER(SEARCH($A27,'Full Register'!$Y$6:$Y$279))))</f>
        <v/>
      </c>
      <c r="G27" s="17" t="str">
        <f aca="false">IF(F27="","",IF(F27&gt;=40,"High concentration",IF(F27&gt;=25,"Watch","")))</f>
        <v/>
      </c>
      <c r="H27" s="8"/>
      <c r="I27" s="8"/>
    </row>
    <row r="28" customFormat="false" ht="15" hidden="false" customHeight="false" outlineLevel="0" collapsed="false">
      <c r="A28" s="8"/>
      <c r="B28" s="8"/>
      <c r="C28" s="8"/>
      <c r="D28" s="8"/>
      <c r="E28" s="8"/>
      <c r="F28" s="17" t="str">
        <f aca="false">IF($A28="","",SUMPRODUCT(--ISNUMBER(SEARCH($A28,'Full Register'!$Y$6:$Y$279))))</f>
        <v/>
      </c>
      <c r="G28" s="17" t="str">
        <f aca="false">IF(F28="","",IF(F28&gt;=40,"High concentration",IF(F28&gt;=25,"Watch","")))</f>
        <v/>
      </c>
      <c r="H28" s="8"/>
      <c r="I28" s="8"/>
    </row>
    <row r="29" customFormat="false" ht="15" hidden="false" customHeight="false" outlineLevel="0" collapsed="false">
      <c r="A29" s="8"/>
      <c r="B29" s="8"/>
      <c r="C29" s="8"/>
      <c r="D29" s="8"/>
      <c r="E29" s="8"/>
      <c r="F29" s="17" t="str">
        <f aca="false">IF($A29="","",SUMPRODUCT(--ISNUMBER(SEARCH($A29,'Full Register'!$Y$6:$Y$279))))</f>
        <v/>
      </c>
      <c r="G29" s="17" t="str">
        <f aca="false">IF(F29="","",IF(F29&gt;=40,"High concentration",IF(F29&gt;=25,"Watch","")))</f>
        <v/>
      </c>
      <c r="H29" s="8"/>
      <c r="I29" s="8"/>
    </row>
    <row r="30" customFormat="false" ht="15" hidden="false" customHeight="false" outlineLevel="0" collapsed="false">
      <c r="A30" s="8"/>
      <c r="B30" s="8"/>
      <c r="C30" s="8"/>
      <c r="D30" s="8"/>
      <c r="E30" s="8"/>
      <c r="F30" s="17" t="str">
        <f aca="false">IF($A30="","",SUMPRODUCT(--ISNUMBER(SEARCH($A30,'Full Register'!$Y$6:$Y$279))))</f>
        <v/>
      </c>
      <c r="G30" s="17" t="str">
        <f aca="false">IF(F30="","",IF(F30&gt;=40,"High concentration",IF(F30&gt;=25,"Watch","")))</f>
        <v/>
      </c>
      <c r="H30" s="8"/>
      <c r="I30" s="8"/>
    </row>
    <row r="31" customFormat="false" ht="15" hidden="false" customHeight="false" outlineLevel="0" collapsed="false">
      <c r="A31" s="8"/>
      <c r="B31" s="8"/>
      <c r="C31" s="8"/>
      <c r="D31" s="8"/>
      <c r="E31" s="8"/>
      <c r="F31" s="17" t="str">
        <f aca="false">IF($A31="","",SUMPRODUCT(--ISNUMBER(SEARCH($A31,'Full Register'!$Y$6:$Y$279))))</f>
        <v/>
      </c>
      <c r="G31" s="17" t="str">
        <f aca="false">IF(F31="","",IF(F31&gt;=40,"High concentration",IF(F31&gt;=25,"Watch","")))</f>
        <v/>
      </c>
      <c r="H31" s="8"/>
      <c r="I31" s="8"/>
    </row>
    <row r="32" customFormat="false" ht="15" hidden="false" customHeight="false" outlineLevel="0" collapsed="false">
      <c r="A32" s="8"/>
      <c r="B32" s="8"/>
      <c r="C32" s="8"/>
      <c r="D32" s="8"/>
      <c r="E32" s="8"/>
      <c r="F32" s="17" t="str">
        <f aca="false">IF($A32="","",SUMPRODUCT(--ISNUMBER(SEARCH($A32,'Full Register'!$Y$6:$Y$279))))</f>
        <v/>
      </c>
      <c r="G32" s="17" t="str">
        <f aca="false">IF(F32="","",IF(F32&gt;=40,"High concentration",IF(F32&gt;=25,"Watch","")))</f>
        <v/>
      </c>
      <c r="H32" s="8"/>
      <c r="I32" s="8"/>
    </row>
    <row r="33" customFormat="false" ht="15" hidden="false" customHeight="false" outlineLevel="0" collapsed="false">
      <c r="A33" s="8"/>
      <c r="B33" s="8"/>
      <c r="C33" s="8"/>
      <c r="D33" s="8"/>
      <c r="E33" s="8"/>
      <c r="F33" s="17" t="str">
        <f aca="false">IF($A33="","",SUMPRODUCT(--ISNUMBER(SEARCH($A33,'Full Register'!$Y$6:$Y$279))))</f>
        <v/>
      </c>
      <c r="G33" s="17" t="str">
        <f aca="false">IF(F33="","",IF(F33&gt;=40,"High concentration",IF(F33&gt;=25,"Watch","")))</f>
        <v/>
      </c>
      <c r="H33" s="8"/>
      <c r="I33" s="8"/>
    </row>
    <row r="34" customFormat="false" ht="15" hidden="false" customHeight="false" outlineLevel="0" collapsed="false">
      <c r="A34" s="8"/>
      <c r="B34" s="8"/>
      <c r="C34" s="8"/>
      <c r="D34" s="8"/>
      <c r="E34" s="8"/>
      <c r="F34" s="17" t="str">
        <f aca="false">IF($A34="","",SUMPRODUCT(--ISNUMBER(SEARCH($A34,'Full Register'!$Y$6:$Y$279))))</f>
        <v/>
      </c>
      <c r="G34" s="17" t="str">
        <f aca="false">IF(F34="","",IF(F34&gt;=40,"High concentration",IF(F34&gt;=25,"Watch","")))</f>
        <v/>
      </c>
      <c r="H34" s="8"/>
      <c r="I34" s="8"/>
    </row>
    <row r="35" customFormat="false" ht="15" hidden="false" customHeight="false" outlineLevel="0" collapsed="false">
      <c r="A35" s="8"/>
      <c r="B35" s="8"/>
      <c r="C35" s="8"/>
      <c r="D35" s="8"/>
      <c r="E35" s="8"/>
      <c r="F35" s="17" t="str">
        <f aca="false">IF($A35="","",SUMPRODUCT(--ISNUMBER(SEARCH($A35,'Full Register'!$Y$6:$Y$279))))</f>
        <v/>
      </c>
      <c r="G35" s="17" t="str">
        <f aca="false">IF(F35="","",IF(F35&gt;=40,"High concentration",IF(F35&gt;=25,"Watch","")))</f>
        <v/>
      </c>
      <c r="H35" s="8"/>
      <c r="I35" s="8"/>
    </row>
    <row r="36" customFormat="false" ht="15" hidden="false" customHeight="false" outlineLevel="0" collapsed="false">
      <c r="A36" s="8"/>
      <c r="B36" s="8"/>
      <c r="C36" s="8"/>
      <c r="D36" s="8"/>
      <c r="E36" s="8"/>
      <c r="F36" s="17" t="str">
        <f aca="false">IF($A36="","",SUMPRODUCT(--ISNUMBER(SEARCH($A36,'Full Register'!$Y$6:$Y$279))))</f>
        <v/>
      </c>
      <c r="G36" s="17" t="str">
        <f aca="false">IF(F36="","",IF(F36&gt;=40,"High concentration",IF(F36&gt;=25,"Watch","")))</f>
        <v/>
      </c>
      <c r="H36" s="8"/>
      <c r="I36" s="8"/>
    </row>
    <row r="37" customFormat="false" ht="15" hidden="false" customHeight="false" outlineLevel="0" collapsed="false">
      <c r="A37" s="8"/>
      <c r="B37" s="8"/>
      <c r="C37" s="8"/>
      <c r="D37" s="8"/>
      <c r="E37" s="8"/>
      <c r="F37" s="17" t="str">
        <f aca="false">IF($A37="","",SUMPRODUCT(--ISNUMBER(SEARCH($A37,'Full Register'!$Y$6:$Y$279))))</f>
        <v/>
      </c>
      <c r="G37" s="17" t="str">
        <f aca="false">IF(F37="","",IF(F37&gt;=40,"High concentration",IF(F37&gt;=25,"Watch","")))</f>
        <v/>
      </c>
      <c r="H37" s="8"/>
      <c r="I37" s="8"/>
    </row>
    <row r="38" customFormat="false" ht="15" hidden="false" customHeight="false" outlineLevel="0" collapsed="false">
      <c r="A38" s="8"/>
      <c r="B38" s="8"/>
      <c r="C38" s="8"/>
      <c r="D38" s="8"/>
      <c r="E38" s="8"/>
      <c r="F38" s="17" t="str">
        <f aca="false">IF($A38="","",SUMPRODUCT(--ISNUMBER(SEARCH($A38,'Full Register'!$Y$6:$Y$279))))</f>
        <v/>
      </c>
      <c r="G38" s="17" t="str">
        <f aca="false">IF(F38="","",IF(F38&gt;=40,"High concentration",IF(F38&gt;=25,"Watch","")))</f>
        <v/>
      </c>
      <c r="H38" s="8"/>
      <c r="I38" s="8"/>
    </row>
    <row r="39" customFormat="false" ht="15" hidden="false" customHeight="false" outlineLevel="0" collapsed="false">
      <c r="A39" s="8"/>
      <c r="B39" s="8"/>
      <c r="C39" s="8"/>
      <c r="D39" s="8"/>
      <c r="E39" s="8"/>
      <c r="F39" s="17" t="str">
        <f aca="false">IF($A39="","",SUMPRODUCT(--ISNUMBER(SEARCH($A39,'Full Register'!$Y$6:$Y$279))))</f>
        <v/>
      </c>
      <c r="G39" s="17" t="str">
        <f aca="false">IF(F39="","",IF(F39&gt;=40,"High concentration",IF(F39&gt;=25,"Watch","")))</f>
        <v/>
      </c>
      <c r="H39" s="8"/>
      <c r="I39" s="8"/>
    </row>
    <row r="40" customFormat="false" ht="15" hidden="false" customHeight="false" outlineLevel="0" collapsed="false">
      <c r="A40" s="8"/>
      <c r="B40" s="8"/>
      <c r="C40" s="8"/>
      <c r="D40" s="8"/>
      <c r="E40" s="8"/>
      <c r="F40" s="17" t="str">
        <f aca="false">IF($A40="","",SUMPRODUCT(--ISNUMBER(SEARCH($A40,'Full Register'!$Y$6:$Y$279))))</f>
        <v/>
      </c>
      <c r="G40" s="17" t="str">
        <f aca="false">IF(F40="","",IF(F40&gt;=40,"High concentration",IF(F40&gt;=25,"Watch","")))</f>
        <v/>
      </c>
      <c r="H40" s="8"/>
      <c r="I40" s="8"/>
    </row>
    <row r="41" customFormat="false" ht="15" hidden="false" customHeight="false" outlineLevel="0" collapsed="false">
      <c r="A41" s="8"/>
      <c r="B41" s="8"/>
      <c r="C41" s="8"/>
      <c r="D41" s="8"/>
      <c r="E41" s="8"/>
      <c r="F41" s="17" t="str">
        <f aca="false">IF($A41="","",SUMPRODUCT(--ISNUMBER(SEARCH($A41,'Full Register'!$Y$6:$Y$279))))</f>
        <v/>
      </c>
      <c r="G41" s="17" t="str">
        <f aca="false">IF(F41="","",IF(F41&gt;=40,"High concentration",IF(F41&gt;=25,"Watch","")))</f>
        <v/>
      </c>
      <c r="H41" s="8"/>
      <c r="I41" s="8"/>
    </row>
    <row r="42" customFormat="false" ht="15" hidden="false" customHeight="false" outlineLevel="0" collapsed="false">
      <c r="A42" s="8"/>
      <c r="B42" s="8"/>
      <c r="C42" s="8"/>
      <c r="D42" s="8"/>
      <c r="E42" s="8"/>
      <c r="F42" s="17" t="str">
        <f aca="false">IF($A42="","",SUMPRODUCT(--ISNUMBER(SEARCH($A42,'Full Register'!$Y$6:$Y$279))))</f>
        <v/>
      </c>
      <c r="G42" s="17" t="str">
        <f aca="false">IF(F42="","",IF(F42&gt;=40,"High concentration",IF(F42&gt;=25,"Watch","")))</f>
        <v/>
      </c>
      <c r="H42" s="8"/>
      <c r="I42" s="8"/>
    </row>
    <row r="43" customFormat="false" ht="15" hidden="false" customHeight="false" outlineLevel="0" collapsed="false">
      <c r="A43" s="8"/>
      <c r="B43" s="8"/>
      <c r="C43" s="8"/>
      <c r="D43" s="8"/>
      <c r="E43" s="8"/>
      <c r="F43" s="17" t="str">
        <f aca="false">IF($A43="","",SUMPRODUCT(--ISNUMBER(SEARCH($A43,'Full Register'!$Y$6:$Y$279))))</f>
        <v/>
      </c>
      <c r="G43" s="17" t="str">
        <f aca="false">IF(F43="","",IF(F43&gt;=40,"High concentration",IF(F43&gt;=25,"Watch","")))</f>
        <v/>
      </c>
      <c r="H43" s="8"/>
      <c r="I43" s="8"/>
    </row>
    <row r="44" customFormat="false" ht="15" hidden="false" customHeight="false" outlineLevel="0" collapsed="false">
      <c r="A44" s="8"/>
      <c r="B44" s="8"/>
      <c r="C44" s="8"/>
      <c r="D44" s="8"/>
      <c r="E44" s="8"/>
      <c r="F44" s="17" t="str">
        <f aca="false">IF($A44="","",SUMPRODUCT(--ISNUMBER(SEARCH($A44,'Full Register'!$Y$6:$Y$279))))</f>
        <v/>
      </c>
      <c r="G44" s="17" t="str">
        <f aca="false">IF(F44="","",IF(F44&gt;=40,"High concentration",IF(F44&gt;=25,"Watch","")))</f>
        <v/>
      </c>
      <c r="H44" s="8"/>
      <c r="I44" s="8"/>
    </row>
    <row r="45" customFormat="false" ht="15" hidden="false" customHeight="false" outlineLevel="0" collapsed="false">
      <c r="A45" s="8"/>
      <c r="B45" s="8"/>
      <c r="C45" s="8"/>
      <c r="D45" s="8"/>
      <c r="E45" s="8"/>
      <c r="F45" s="17" t="str">
        <f aca="false">IF($A45="","",SUMPRODUCT(--ISNUMBER(SEARCH($A45,'Full Register'!$Y$6:$Y$279))))</f>
        <v/>
      </c>
      <c r="G45" s="17" t="str">
        <f aca="false">IF(F45="","",IF(F45&gt;=40,"High concentration",IF(F45&gt;=25,"Watch","")))</f>
        <v/>
      </c>
      <c r="H45" s="8"/>
      <c r="I45" s="8"/>
    </row>
    <row r="46" customFormat="false" ht="15" hidden="false" customHeight="false" outlineLevel="0" collapsed="false">
      <c r="A46" s="8"/>
      <c r="B46" s="8"/>
      <c r="C46" s="8"/>
      <c r="D46" s="8"/>
      <c r="E46" s="8"/>
      <c r="F46" s="17" t="str">
        <f aca="false">IF($A46="","",SUMPRODUCT(--ISNUMBER(SEARCH($A46,'Full Register'!$Y$6:$Y$279))))</f>
        <v/>
      </c>
      <c r="G46" s="17" t="str">
        <f aca="false">IF(F46="","",IF(F46&gt;=40,"High concentration",IF(F46&gt;=25,"Watch","")))</f>
        <v/>
      </c>
      <c r="H46" s="8"/>
      <c r="I46" s="8"/>
    </row>
    <row r="47" customFormat="false" ht="15" hidden="false" customHeight="false" outlineLevel="0" collapsed="false">
      <c r="A47" s="8"/>
      <c r="B47" s="8"/>
      <c r="C47" s="8"/>
      <c r="D47" s="8"/>
      <c r="E47" s="8"/>
      <c r="F47" s="17" t="str">
        <f aca="false">IF($A47="","",SUMPRODUCT(--ISNUMBER(SEARCH($A47,'Full Register'!$Y$6:$Y$279))))</f>
        <v/>
      </c>
      <c r="G47" s="17" t="str">
        <f aca="false">IF(F47="","",IF(F47&gt;=40,"High concentration",IF(F47&gt;=25,"Watch","")))</f>
        <v/>
      </c>
      <c r="H47" s="8"/>
      <c r="I47" s="8"/>
    </row>
    <row r="48" customFormat="false" ht="15" hidden="false" customHeight="false" outlineLevel="0" collapsed="false">
      <c r="A48" s="8"/>
      <c r="B48" s="8"/>
      <c r="C48" s="8"/>
      <c r="D48" s="8"/>
      <c r="E48" s="8"/>
      <c r="F48" s="17" t="str">
        <f aca="false">IF($A48="","",SUMPRODUCT(--ISNUMBER(SEARCH($A48,'Full Register'!$Y$6:$Y$279))))</f>
        <v/>
      </c>
      <c r="G48" s="17" t="str">
        <f aca="false">IF(F48="","",IF(F48&gt;=40,"High concentration",IF(F48&gt;=25,"Watch","")))</f>
        <v/>
      </c>
      <c r="H48" s="8"/>
      <c r="I48" s="8"/>
    </row>
    <row r="49" customFormat="false" ht="15" hidden="false" customHeight="false" outlineLevel="0" collapsed="false">
      <c r="A49" s="8"/>
      <c r="B49" s="8"/>
      <c r="C49" s="8"/>
      <c r="D49" s="8"/>
      <c r="E49" s="8"/>
      <c r="F49" s="17" t="str">
        <f aca="false">IF($A49="","",SUMPRODUCT(--ISNUMBER(SEARCH($A49,'Full Register'!$Y$6:$Y$279))))</f>
        <v/>
      </c>
      <c r="G49" s="17" t="str">
        <f aca="false">IF(F49="","",IF(F49&gt;=40,"High concentration",IF(F49&gt;=25,"Watch","")))</f>
        <v/>
      </c>
      <c r="H49" s="8"/>
      <c r="I49" s="8"/>
    </row>
    <row r="50" customFormat="false" ht="15" hidden="false" customHeight="false" outlineLevel="0" collapsed="false">
      <c r="A50" s="8"/>
      <c r="B50" s="8"/>
      <c r="C50" s="8"/>
      <c r="D50" s="8"/>
      <c r="E50" s="8"/>
      <c r="F50" s="17" t="str">
        <f aca="false">IF($A50="","",SUMPRODUCT(--ISNUMBER(SEARCH($A50,'Full Register'!$Y$6:$Y$279))))</f>
        <v/>
      </c>
      <c r="G50" s="17" t="str">
        <f aca="false">IF(F50="","",IF(F50&gt;=40,"High concentration",IF(F50&gt;=25,"Watch","")))</f>
        <v/>
      </c>
      <c r="H50" s="8"/>
      <c r="I50" s="8"/>
    </row>
    <row r="51" customFormat="false" ht="15" hidden="false" customHeight="false" outlineLevel="0" collapsed="false">
      <c r="A51" s="8"/>
      <c r="B51" s="8"/>
      <c r="C51" s="8"/>
      <c r="D51" s="8"/>
      <c r="E51" s="8"/>
      <c r="F51" s="17" t="str">
        <f aca="false">IF($A51="","",SUMPRODUCT(--ISNUMBER(SEARCH($A51,'Full Register'!$Y$6:$Y$279))))</f>
        <v/>
      </c>
      <c r="G51" s="17" t="str">
        <f aca="false">IF(F51="","",IF(F51&gt;=40,"High concentration",IF(F51&gt;=25,"Watch","")))</f>
        <v/>
      </c>
      <c r="H51" s="8"/>
      <c r="I51" s="8"/>
    </row>
    <row r="52" customFormat="false" ht="15" hidden="false" customHeight="false" outlineLevel="0" collapsed="false">
      <c r="A52" s="8"/>
      <c r="B52" s="8"/>
      <c r="C52" s="8"/>
      <c r="D52" s="8"/>
      <c r="E52" s="8"/>
      <c r="F52" s="17" t="str">
        <f aca="false">IF($A52="","",SUMPRODUCT(--ISNUMBER(SEARCH($A52,'Full Register'!$Y$6:$Y$279))))</f>
        <v/>
      </c>
      <c r="G52" s="17" t="str">
        <f aca="false">IF(F52="","",IF(F52&gt;=40,"High concentration",IF(F52&gt;=25,"Watch","")))</f>
        <v/>
      </c>
      <c r="H52" s="8"/>
      <c r="I52" s="8"/>
    </row>
    <row r="53" customFormat="false" ht="15" hidden="false" customHeight="false" outlineLevel="0" collapsed="false">
      <c r="A53" s="8"/>
      <c r="B53" s="8"/>
      <c r="C53" s="8"/>
      <c r="D53" s="8"/>
      <c r="E53" s="8"/>
      <c r="F53" s="17" t="str">
        <f aca="false">IF($A53="","",SUMPRODUCT(--ISNUMBER(SEARCH($A53,'Full Register'!$Y$6:$Y$279))))</f>
        <v/>
      </c>
      <c r="G53" s="17" t="str">
        <f aca="false">IF(F53="","",IF(F53&gt;=40,"High concentration",IF(F53&gt;=25,"Watch","")))</f>
        <v/>
      </c>
      <c r="H53" s="8"/>
      <c r="I53" s="8"/>
    </row>
    <row r="54" customFormat="false" ht="15" hidden="false" customHeight="false" outlineLevel="0" collapsed="false">
      <c r="A54" s="8"/>
      <c r="B54" s="8"/>
      <c r="C54" s="8"/>
      <c r="D54" s="8"/>
      <c r="E54" s="8"/>
      <c r="F54" s="17" t="str">
        <f aca="false">IF($A54="","",SUMPRODUCT(--ISNUMBER(SEARCH($A54,'Full Register'!$Y$6:$Y$279))))</f>
        <v/>
      </c>
      <c r="G54" s="17" t="str">
        <f aca="false">IF(F54="","",IF(F54&gt;=40,"High concentration",IF(F54&gt;=25,"Watch","")))</f>
        <v/>
      </c>
      <c r="H54" s="8"/>
      <c r="I54" s="8"/>
    </row>
    <row r="55" customFormat="false" ht="15" hidden="false" customHeight="false" outlineLevel="0" collapsed="false">
      <c r="A55" s="8"/>
      <c r="B55" s="8"/>
      <c r="C55" s="8"/>
      <c r="D55" s="8"/>
      <c r="E55" s="8"/>
      <c r="F55" s="17" t="str">
        <f aca="false">IF($A55="","",SUMPRODUCT(--ISNUMBER(SEARCH($A55,'Full Register'!$Y$6:$Y$279))))</f>
        <v/>
      </c>
      <c r="G55" s="17" t="str">
        <f aca="false">IF(F55="","",IF(F55&gt;=40,"High concentration",IF(F55&gt;=25,"Watch","")))</f>
        <v/>
      </c>
      <c r="H55" s="8"/>
      <c r="I55" s="8"/>
    </row>
  </sheetData>
  <dataValidations count="2">
    <dataValidation allowBlank="true" errorStyle="stop" operator="between" showDropDown="false" showErrorMessage="false" showInputMessage="false" sqref="H6:H55" type="list">
      <formula1>"Yes,No"</formula1>
      <formula2>0</formula2>
    </dataValidation>
    <dataValidation allowBlank="true" errorStyle="stop" operator="between" showDropDown="false" showErrorMessage="false" showInputMessage="false" sqref="C6:C55" type="list">
      <formula1>Lists!$J$3:$J$12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5" min="2" style="0" width="48"/>
  </cols>
  <sheetData>
    <row r="1" customFormat="false" ht="17.35" hidden="false" customHeight="false" outlineLevel="0" collapsed="false">
      <c r="A1" s="1" t="s">
        <v>707</v>
      </c>
    </row>
    <row r="2" customFormat="false" ht="15" hidden="false" customHeight="false" outlineLevel="0" collapsed="false">
      <c r="A2" s="4" t="s">
        <v>708</v>
      </c>
    </row>
    <row r="4" customFormat="false" ht="43.5" hidden="false" customHeight="true" outlineLevel="0" collapsed="false">
      <c r="A4" s="5" t="s">
        <v>709</v>
      </c>
      <c r="B4" s="5" t="s">
        <v>659</v>
      </c>
      <c r="C4" s="5" t="s">
        <v>710</v>
      </c>
      <c r="D4" s="5" t="s">
        <v>711</v>
      </c>
      <c r="E4" s="5" t="s">
        <v>712</v>
      </c>
    </row>
    <row r="5" customFormat="false" ht="57.75" hidden="false" customHeight="true" outlineLevel="0" collapsed="false">
      <c r="A5" s="19" t="s">
        <v>661</v>
      </c>
      <c r="B5" s="19" t="n">
        <v>0</v>
      </c>
      <c r="C5" s="19" t="s">
        <v>713</v>
      </c>
      <c r="D5" s="19" t="s">
        <v>714</v>
      </c>
      <c r="E5" s="19" t="s">
        <v>715</v>
      </c>
    </row>
    <row r="6" customFormat="false" ht="57.75" hidden="false" customHeight="true" outlineLevel="0" collapsed="false">
      <c r="A6" s="19" t="s">
        <v>666</v>
      </c>
      <c r="B6" s="19" t="n">
        <v>1</v>
      </c>
      <c r="C6" s="19" t="s">
        <v>716</v>
      </c>
      <c r="D6" s="19" t="s">
        <v>717</v>
      </c>
      <c r="E6" s="19" t="s">
        <v>718</v>
      </c>
    </row>
    <row r="7" customFormat="false" ht="57.75" hidden="false" customHeight="true" outlineLevel="0" collapsed="false">
      <c r="A7" s="19" t="s">
        <v>670</v>
      </c>
      <c r="B7" s="19" t="n">
        <v>2</v>
      </c>
      <c r="C7" s="19" t="s">
        <v>719</v>
      </c>
      <c r="D7" s="19" t="s">
        <v>720</v>
      </c>
      <c r="E7" s="19" t="s">
        <v>721</v>
      </c>
    </row>
    <row r="8" customFormat="false" ht="57.75" hidden="false" customHeight="true" outlineLevel="0" collapsed="false">
      <c r="A8" s="19" t="s">
        <v>675</v>
      </c>
      <c r="B8" s="19" t="n">
        <v>3</v>
      </c>
      <c r="C8" s="19" t="s">
        <v>722</v>
      </c>
      <c r="D8" s="19" t="s">
        <v>723</v>
      </c>
      <c r="E8" s="19" t="s">
        <v>724</v>
      </c>
    </row>
    <row r="9" customFormat="false" ht="57.75" hidden="false" customHeight="true" outlineLevel="0" collapsed="false">
      <c r="A9" s="19" t="s">
        <v>680</v>
      </c>
      <c r="B9" s="19" t="n">
        <v>4</v>
      </c>
      <c r="C9" s="19" t="s">
        <v>725</v>
      </c>
      <c r="D9" s="19" t="s">
        <v>726</v>
      </c>
      <c r="E9" s="19" t="s">
        <v>727</v>
      </c>
    </row>
    <row r="11" customFormat="false" ht="15" hidden="false" customHeight="false" outlineLevel="0" collapsed="false">
      <c r="A11" s="2" t="s">
        <v>728</v>
      </c>
    </row>
    <row r="12" customFormat="false" ht="30" hidden="false" customHeight="true" outlineLevel="0" collapsed="false">
      <c r="A12" s="15" t="s">
        <v>709</v>
      </c>
      <c r="B12" s="15" t="s">
        <v>659</v>
      </c>
      <c r="C12" s="15" t="s">
        <v>729</v>
      </c>
      <c r="D12" s="15" t="s">
        <v>730</v>
      </c>
      <c r="E12" s="15" t="s">
        <v>731</v>
      </c>
    </row>
    <row r="13" customFormat="false" ht="48" hidden="false" customHeight="true" outlineLevel="0" collapsed="false">
      <c r="A13" s="19" t="s">
        <v>664</v>
      </c>
      <c r="B13" s="19" t="n">
        <v>0</v>
      </c>
      <c r="C13" s="19" t="s">
        <v>732</v>
      </c>
      <c r="D13" s="19" t="s">
        <v>733</v>
      </c>
      <c r="E13" s="19" t="s">
        <v>734</v>
      </c>
    </row>
    <row r="14" customFormat="false" ht="48" hidden="false" customHeight="true" outlineLevel="0" collapsed="false">
      <c r="A14" s="19" t="s">
        <v>669</v>
      </c>
      <c r="B14" s="19" t="n">
        <v>1</v>
      </c>
      <c r="C14" s="19" t="s">
        <v>735</v>
      </c>
      <c r="D14" s="19" t="s">
        <v>736</v>
      </c>
      <c r="E14" s="19" t="s">
        <v>737</v>
      </c>
    </row>
    <row r="15" customFormat="false" ht="48" hidden="false" customHeight="true" outlineLevel="0" collapsed="false">
      <c r="A15" s="19" t="s">
        <v>673</v>
      </c>
      <c r="B15" s="19" t="n">
        <v>2</v>
      </c>
      <c r="C15" s="19" t="s">
        <v>738</v>
      </c>
      <c r="D15" s="19" t="s">
        <v>739</v>
      </c>
      <c r="E15" s="19" t="s">
        <v>740</v>
      </c>
    </row>
    <row r="16" customFormat="false" ht="48" hidden="false" customHeight="true" outlineLevel="0" collapsed="false">
      <c r="A16" s="19" t="s">
        <v>678</v>
      </c>
      <c r="B16" s="19" t="n">
        <v>3</v>
      </c>
      <c r="C16" s="19" t="s">
        <v>741</v>
      </c>
      <c r="D16" s="19" t="s">
        <v>742</v>
      </c>
      <c r="E16" s="19" t="s">
        <v>714</v>
      </c>
    </row>
    <row r="18" customFormat="false" ht="15" hidden="false" customHeight="false" outlineLevel="0" collapsed="false">
      <c r="A18" s="2" t="s">
        <v>743</v>
      </c>
    </row>
    <row r="19" customFormat="false" ht="30" hidden="false" customHeight="true" outlineLevel="0" collapsed="false">
      <c r="A19" s="3" t="s">
        <v>744</v>
      </c>
      <c r="B19" s="3"/>
      <c r="C19" s="3"/>
      <c r="D19" s="3"/>
      <c r="E19" s="3"/>
    </row>
    <row r="20" customFormat="false" ht="30" hidden="false" customHeight="true" outlineLevel="0" collapsed="false">
      <c r="A20" s="3" t="s">
        <v>745</v>
      </c>
      <c r="B20" s="3"/>
      <c r="C20" s="3"/>
      <c r="D20" s="3"/>
      <c r="E20" s="3"/>
    </row>
    <row r="21" customFormat="false" ht="30" hidden="false" customHeight="true" outlineLevel="0" collapsed="false">
      <c r="A21" s="3" t="s">
        <v>746</v>
      </c>
      <c r="B21" s="3"/>
      <c r="C21" s="3"/>
      <c r="D21" s="3"/>
      <c r="E21" s="3"/>
    </row>
    <row r="22" customFormat="false" ht="30" hidden="false" customHeight="true" outlineLevel="0" collapsed="false">
      <c r="A22" s="3" t="s">
        <v>747</v>
      </c>
      <c r="B22" s="3"/>
      <c r="C22" s="3"/>
      <c r="D22" s="3"/>
      <c r="E22" s="3"/>
    </row>
    <row r="23" customFormat="false" ht="30" hidden="false" customHeight="true" outlineLevel="0" collapsed="false">
      <c r="A23" s="3" t="s">
        <v>748</v>
      </c>
      <c r="B23" s="3"/>
      <c r="C23" s="3"/>
      <c r="D23" s="3"/>
      <c r="E23" s="3"/>
    </row>
    <row r="24" customFormat="false" ht="30" hidden="false" customHeight="true" outlineLevel="0" collapsed="false">
      <c r="A24" s="3" t="s">
        <v>749</v>
      </c>
      <c r="B24" s="3"/>
      <c r="C24" s="3"/>
      <c r="D24" s="3"/>
      <c r="E24" s="3"/>
    </row>
    <row r="26" customFormat="false" ht="15" hidden="false" customHeight="false" outlineLevel="0" collapsed="false">
      <c r="A26" s="2" t="s">
        <v>750</v>
      </c>
    </row>
    <row r="27" customFormat="false" ht="24" hidden="false" customHeight="true" outlineLevel="0" collapsed="false">
      <c r="A27" s="20" t="s">
        <v>751</v>
      </c>
      <c r="B27" s="20" t="s">
        <v>752</v>
      </c>
      <c r="C27" s="20" t="s">
        <v>753</v>
      </c>
    </row>
    <row r="28" customFormat="false" ht="42" hidden="false" customHeight="true" outlineLevel="0" collapsed="false">
      <c r="A28" s="19" t="s">
        <v>662</v>
      </c>
      <c r="B28" s="19" t="s">
        <v>754</v>
      </c>
      <c r="C28" s="19" t="s">
        <v>755</v>
      </c>
    </row>
    <row r="29" customFormat="false" ht="42" hidden="false" customHeight="true" outlineLevel="0" collapsed="false">
      <c r="A29" s="19" t="s">
        <v>667</v>
      </c>
      <c r="B29" s="19" t="s">
        <v>756</v>
      </c>
      <c r="C29" s="19" t="s">
        <v>755</v>
      </c>
    </row>
    <row r="30" customFormat="false" ht="42" hidden="false" customHeight="true" outlineLevel="0" collapsed="false">
      <c r="A30" s="19" t="s">
        <v>671</v>
      </c>
      <c r="B30" s="19" t="s">
        <v>757</v>
      </c>
      <c r="C30" s="19" t="s">
        <v>758</v>
      </c>
    </row>
    <row r="31" customFormat="false" ht="42" hidden="false" customHeight="true" outlineLevel="0" collapsed="false">
      <c r="A31" s="19" t="s">
        <v>676</v>
      </c>
      <c r="B31" s="19" t="s">
        <v>759</v>
      </c>
      <c r="C31" s="19" t="s">
        <v>760</v>
      </c>
    </row>
    <row r="32" customFormat="false" ht="42" hidden="false" customHeight="true" outlineLevel="0" collapsed="false">
      <c r="A32" s="19" t="s">
        <v>681</v>
      </c>
      <c r="B32" s="19" t="s">
        <v>761</v>
      </c>
      <c r="C32" s="19" t="s">
        <v>755</v>
      </c>
    </row>
  </sheetData>
  <mergeCells count="6">
    <mergeCell ref="A19:E19"/>
    <mergeCell ref="A20:E20"/>
    <mergeCell ref="A21:E21"/>
    <mergeCell ref="A22:E22"/>
    <mergeCell ref="A23:E23"/>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6" min="2" style="0" width="17"/>
  </cols>
  <sheetData>
    <row r="1" customFormat="false" ht="17.35" hidden="false" customHeight="false" outlineLevel="0" collapsed="false">
      <c r="A1" s="1" t="s">
        <v>762</v>
      </c>
    </row>
    <row r="2" customFormat="false" ht="15" hidden="false" customHeight="false" outlineLevel="0" collapsed="false">
      <c r="A2" s="4" t="s">
        <v>763</v>
      </c>
    </row>
    <row r="4" customFormat="false" ht="15" hidden="false" customHeight="false" outlineLevel="0" collapsed="false">
      <c r="A4" s="2" t="s">
        <v>764</v>
      </c>
    </row>
    <row r="5" customFormat="false" ht="18" hidden="false" customHeight="true" outlineLevel="0" collapsed="false">
      <c r="A5" s="20" t="s">
        <v>765</v>
      </c>
      <c r="B5" s="20" t="s">
        <v>766</v>
      </c>
    </row>
    <row r="6" customFormat="false" ht="15" hidden="false" customHeight="false" outlineLevel="0" collapsed="false">
      <c r="A6" s="19" t="s">
        <v>767</v>
      </c>
      <c r="B6" s="21" t="n">
        <f aca="false">COUNTA('Full Register'!$A$6:$A$279)</f>
        <v>274</v>
      </c>
    </row>
    <row r="7" customFormat="false" ht="15" hidden="false" customHeight="false" outlineLevel="0" collapsed="false">
      <c r="A7" s="19" t="s">
        <v>768</v>
      </c>
      <c r="B7" s="21" t="n">
        <f aca="false">COUNTIF('Full Register'!$G$6:$G$279,"Yes")</f>
        <v>44</v>
      </c>
    </row>
    <row r="8" customFormat="false" ht="15" hidden="false" customHeight="false" outlineLevel="0" collapsed="false">
      <c r="A8" s="19" t="s">
        <v>769</v>
      </c>
      <c r="B8" s="21" t="n">
        <f aca="false">COUNTIF('Full Register'!$G$6:$G$279,"No")</f>
        <v>230</v>
      </c>
    </row>
    <row r="9" customFormat="false" ht="15" hidden="false" customHeight="false" outlineLevel="0" collapsed="false">
      <c r="A9" s="19" t="s">
        <v>770</v>
      </c>
      <c r="B9" s="21" t="n">
        <f aca="false">COUNTA('Full Register'!$AN$6:$AN$279)-COUNTIF('Full Register'!$AN$6:$AN$279,"Not assessed")</f>
        <v>0</v>
      </c>
    </row>
    <row r="10" customFormat="false" ht="15" hidden="false" customHeight="false" outlineLevel="0" collapsed="false">
      <c r="A10" s="19" t="s">
        <v>771</v>
      </c>
      <c r="B10" s="21" t="n">
        <f aca="false">COUNTA('Full Register'!$A$6:$A$279)-COUNTA('Full Register'!$AN$6:$AN$279)+COUNTIF('Full Register'!$AN$6:$AN$279,"Not assessed")</f>
        <v>274</v>
      </c>
    </row>
    <row r="11" customFormat="false" ht="15" hidden="false" customHeight="false" outlineLevel="0" collapsed="false">
      <c r="A11" s="19" t="s">
        <v>772</v>
      </c>
      <c r="B11" s="22" t="n">
        <f aca="false">IFERROR((COUNTA('Full Register'!$AN$6:$AN$279)-COUNTIF('Full Register'!$AN$6:$AN$279,"Not assessed"))/COUNTA('Full Register'!$A$6:$A$279),0)</f>
        <v>0</v>
      </c>
    </row>
    <row r="13" customFormat="false" ht="15" hidden="false" customHeight="false" outlineLevel="0" collapsed="false">
      <c r="A13" s="2" t="s">
        <v>773</v>
      </c>
    </row>
    <row r="14" customFormat="false" ht="18" hidden="false" customHeight="true" outlineLevel="0" collapsed="false">
      <c r="A14" s="15" t="s">
        <v>765</v>
      </c>
      <c r="B14" s="15" t="s">
        <v>766</v>
      </c>
    </row>
    <row r="15" customFormat="false" ht="15" hidden="false" customHeight="false" outlineLevel="0" collapsed="false">
      <c r="A15" s="19" t="s">
        <v>774</v>
      </c>
      <c r="B15" s="21" t="n">
        <f aca="false">COUNTA('Full Register'!$A$6:$A$279)-COUNTIF('Full Register'!$Z$6:$Z$279,"&gt;0")</f>
        <v>274</v>
      </c>
    </row>
    <row r="16" customFormat="false" ht="15" hidden="false" customHeight="false" outlineLevel="0" collapsed="false">
      <c r="A16" s="19" t="s">
        <v>775</v>
      </c>
      <c r="B16" s="21" t="n">
        <f aca="false">COUNTIF('Full Register'!$G$6:$G$279,"Yes")-COUNTIFS('Full Register'!$G$6:$G$279,"Yes",'Full Register'!$Z$6:$Z$279,"&gt;0")</f>
        <v>44</v>
      </c>
    </row>
    <row r="17" customFormat="false" ht="15" hidden="false" customHeight="false" outlineLevel="0" collapsed="false">
      <c r="A17" s="19" t="s">
        <v>776</v>
      </c>
      <c r="B17" s="21" t="n">
        <f aca="false">COUNTIF('Full Register'!$Z$6:$Z$279,1)</f>
        <v>0</v>
      </c>
    </row>
    <row r="18" customFormat="false" ht="15" hidden="false" customHeight="false" outlineLevel="0" collapsed="false">
      <c r="A18" s="19" t="s">
        <v>775</v>
      </c>
      <c r="B18" s="21" t="n">
        <f aca="false">COUNTIFS('Full Register'!$G$6:$G$279,"Yes",'Full Register'!$Z$6:$Z$279,1)</f>
        <v>0</v>
      </c>
    </row>
    <row r="19" customFormat="false" ht="15" hidden="false" customHeight="false" outlineLevel="0" collapsed="false">
      <c r="A19" s="19" t="s">
        <v>777</v>
      </c>
      <c r="B19" s="21" t="n">
        <f aca="false">COUNTIFS('Full Register'!$Z$6:$Z$279,"&gt;0",'Full Register'!$AB$6:$AB$279,"&lt;&gt;Yes")</f>
        <v>0</v>
      </c>
    </row>
    <row r="20" customFormat="false" ht="15" hidden="false" customHeight="false" outlineLevel="0" collapsed="false">
      <c r="A20" s="19" t="s">
        <v>778</v>
      </c>
      <c r="B20" s="21" t="n">
        <f aca="false">COUNTIFS('Full Register'!$AF$6:$AF$279,"&gt;=3",'Full Register'!$Z$6:$Z$279,"")</f>
        <v>0</v>
      </c>
    </row>
    <row r="22" customFormat="false" ht="15" hidden="false" customHeight="false" outlineLevel="0" collapsed="false">
      <c r="A22" s="2" t="s">
        <v>779</v>
      </c>
    </row>
    <row r="23" customFormat="false" ht="18" hidden="false" customHeight="true" outlineLevel="0" collapsed="false">
      <c r="A23" s="20" t="s">
        <v>765</v>
      </c>
      <c r="B23" s="20" t="s">
        <v>766</v>
      </c>
    </row>
    <row r="24" customFormat="false" ht="15" hidden="false" customHeight="false" outlineLevel="0" collapsed="false">
      <c r="A24" s="19" t="s">
        <v>780</v>
      </c>
      <c r="B24" s="21" t="n">
        <f aca="false">COUNTIF('Full Register'!$G$6:$G$279,"Yes")-COUNTIFS('Full Register'!$G$6:$G$279,"Yes",'Full Register'!$AF$6:$AF$279,"&gt;=3")</f>
        <v>44</v>
      </c>
    </row>
    <row r="25" customFormat="false" ht="15" hidden="false" customHeight="false" outlineLevel="0" collapsed="false">
      <c r="A25" s="19" t="s">
        <v>781</v>
      </c>
      <c r="B25" s="21" t="n">
        <f aca="false">COUNTIFS('Full Register'!$G$6:$G$279,"Yes",'Full Register'!$AF$6:$AF$279,"&lt;3",'Full Register'!$AF$6:$AF$279,"&lt;&gt;")</f>
        <v>0</v>
      </c>
    </row>
    <row r="26" customFormat="false" ht="15" hidden="false" customHeight="false" outlineLevel="0" collapsed="false">
      <c r="A26" s="19" t="s">
        <v>782</v>
      </c>
      <c r="B26" s="21" t="n">
        <f aca="false">COUNTIF('Full Register'!$G$6:$G$279,"Yes")-COUNTIFS('Full Register'!$G$6:$G$279,"Yes",'Full Register'!$AE$6:$AE$279,"&lt;&gt;")</f>
        <v>44</v>
      </c>
    </row>
    <row r="27" customFormat="false" ht="15" hidden="false" customHeight="false" outlineLevel="0" collapsed="false">
      <c r="A27" s="19" t="s">
        <v>783</v>
      </c>
      <c r="B27" s="21" t="n">
        <f aca="false">COUNTIFS('Full Register'!$G$6:$G$279,"Yes",'Full Register'!$AN$6:$AN$279,"Gap - recommend tailoring")</f>
        <v>0</v>
      </c>
    </row>
    <row r="28" customFormat="false" ht="15" hidden="false" customHeight="false" outlineLevel="0" collapsed="false">
      <c r="A28" s="19" t="s">
        <v>784</v>
      </c>
      <c r="B28" s="21" t="n">
        <f aca="false">COUNTIFS('Full Register'!$AP$6:$AP$279,"&lt;&gt;OK",'Full Register'!$AP$6:$AP$279,"&lt;&gt;Not assessed")</f>
        <v>0</v>
      </c>
    </row>
    <row r="30" customFormat="false" ht="15" hidden="false" customHeight="false" outlineLevel="0" collapsed="false">
      <c r="A30" s="2" t="s">
        <v>785</v>
      </c>
    </row>
    <row r="31" customFormat="false" ht="18" hidden="false" customHeight="true" outlineLevel="0" collapsed="false">
      <c r="A31" s="15" t="s">
        <v>765</v>
      </c>
      <c r="B31" s="15" t="s">
        <v>766</v>
      </c>
    </row>
    <row r="32" customFormat="false" ht="15" hidden="false" customHeight="false" outlineLevel="0" collapsed="false">
      <c r="A32" s="19" t="s">
        <v>678</v>
      </c>
      <c r="B32" s="21" t="n">
        <f aca="false">COUNTIF('Full Register'!$AC$6:$AC$279,"Staffed and credentialed")</f>
        <v>0</v>
      </c>
    </row>
    <row r="33" customFormat="false" ht="15" hidden="false" customHeight="false" outlineLevel="0" collapsed="false">
      <c r="A33" s="19" t="s">
        <v>673</v>
      </c>
      <c r="B33" s="21" t="n">
        <f aca="false">COUNTIF('Full Register'!$AC$6:$AC$279,"Staffed, credential gap")</f>
        <v>0</v>
      </c>
    </row>
    <row r="34" customFormat="false" ht="15" hidden="false" customHeight="false" outlineLevel="0" collapsed="false">
      <c r="A34" s="19" t="s">
        <v>669</v>
      </c>
      <c r="B34" s="21" t="n">
        <f aca="false">COUNTIF('Full Register'!$AC$6:$AC$279,"Single point")</f>
        <v>0</v>
      </c>
    </row>
    <row r="35" customFormat="false" ht="15" hidden="false" customHeight="false" outlineLevel="0" collapsed="false">
      <c r="A35" s="19" t="s">
        <v>664</v>
      </c>
      <c r="B35" s="21" t="n">
        <f aca="false">COUNTIF('Full Register'!$AC$6:$AC$279,"Unassigned")</f>
        <v>0</v>
      </c>
    </row>
    <row r="36" customFormat="false" ht="15" hidden="false" customHeight="false" outlineLevel="0" collapsed="false">
      <c r="A36" s="19" t="s">
        <v>786</v>
      </c>
      <c r="B36" s="21" t="n">
        <f aca="false">COUNTA('Full Register'!$A$6:$A$279)-COUNT('Full Register'!$Z$6:$Z$279)</f>
        <v>274</v>
      </c>
    </row>
    <row r="38" customFormat="false" ht="15" hidden="false" customHeight="false" outlineLevel="0" collapsed="false">
      <c r="A38" s="2" t="s">
        <v>787</v>
      </c>
    </row>
    <row r="39" customFormat="false" ht="18" hidden="false" customHeight="true" outlineLevel="0" collapsed="false">
      <c r="A39" s="20" t="s">
        <v>765</v>
      </c>
      <c r="B39" s="20" t="s">
        <v>766</v>
      </c>
    </row>
    <row r="40" customFormat="false" ht="15" hidden="false" customHeight="false" outlineLevel="0" collapsed="false">
      <c r="A40" s="19" t="s">
        <v>680</v>
      </c>
      <c r="B40" s="21" t="n">
        <f aca="false">COUNTIF('Full Register'!$AE$6:$AE$279,"Effective")</f>
        <v>0</v>
      </c>
    </row>
    <row r="41" customFormat="false" ht="15" hidden="false" customHeight="false" outlineLevel="0" collapsed="false">
      <c r="A41" s="19" t="s">
        <v>675</v>
      </c>
      <c r="B41" s="21" t="n">
        <f aca="false">COUNTIF('Full Register'!$AE$6:$AE$279,"Operating")</f>
        <v>0</v>
      </c>
    </row>
    <row r="42" customFormat="false" ht="15" hidden="false" customHeight="false" outlineLevel="0" collapsed="false">
      <c r="A42" s="19" t="s">
        <v>670</v>
      </c>
      <c r="B42" s="21" t="n">
        <f aca="false">COUNTIF('Full Register'!$AE$6:$AE$279,"Deployed")</f>
        <v>0</v>
      </c>
    </row>
    <row r="43" customFormat="false" ht="15" hidden="false" customHeight="false" outlineLevel="0" collapsed="false">
      <c r="A43" s="19" t="s">
        <v>666</v>
      </c>
      <c r="B43" s="21" t="n">
        <f aca="false">COUNTIF('Full Register'!$AE$6:$AE$279,"Documented")</f>
        <v>0</v>
      </c>
    </row>
    <row r="44" customFormat="false" ht="15" hidden="false" customHeight="false" outlineLevel="0" collapsed="false">
      <c r="A44" s="19" t="s">
        <v>661</v>
      </c>
      <c r="B44" s="21" t="n">
        <f aca="false">COUNTIF('Full Register'!$AE$6:$AE$279,"Not demonstrated")</f>
        <v>0</v>
      </c>
    </row>
    <row r="45" customFormat="false" ht="15" hidden="false" customHeight="false" outlineLevel="0" collapsed="false">
      <c r="A45" s="19" t="s">
        <v>788</v>
      </c>
      <c r="B45" s="21" t="n">
        <f aca="false">COUNTBLANK('Full Register'!$AE$6:$AE$279)</f>
        <v>274</v>
      </c>
    </row>
    <row r="47" customFormat="false" ht="15" hidden="false" customHeight="false" outlineLevel="0" collapsed="false">
      <c r="A47" s="2" t="s">
        <v>789</v>
      </c>
    </row>
    <row r="48" customFormat="false" ht="18" hidden="false" customHeight="true" outlineLevel="0" collapsed="false">
      <c r="A48" s="20" t="s">
        <v>765</v>
      </c>
      <c r="B48" s="20" t="s">
        <v>766</v>
      </c>
    </row>
    <row r="49" customFormat="false" ht="15" hidden="false" customHeight="false" outlineLevel="0" collapsed="false">
      <c r="A49" s="19" t="s">
        <v>790</v>
      </c>
      <c r="B49" s="21" t="n">
        <f aca="false">COUNTIF('Full Register'!$L$6:$L$279,"Catastrophic (1)")-COUNTIFS('Full Register'!$L$6:$L$279,"Catastrophic (1)",'Full Register'!$AF$6:$AF$279,"&gt;=3")</f>
        <v>39</v>
      </c>
    </row>
    <row r="50" customFormat="false" ht="15" hidden="false" customHeight="false" outlineLevel="0" collapsed="false">
      <c r="A50" s="19" t="s">
        <v>791</v>
      </c>
      <c r="B50" s="21" t="n">
        <f aca="false">COUNTIF('Full Register'!$L$6:$L$279,"Severe (2)")-COUNTIFS('Full Register'!$L$6:$L$279,"Severe (2)",'Full Register'!$AF$6:$AF$279,"&gt;=3")</f>
        <v>5</v>
      </c>
    </row>
    <row r="51" customFormat="false" ht="15" hidden="false" customHeight="false" outlineLevel="0" collapsed="false">
      <c r="A51" s="19" t="s">
        <v>792</v>
      </c>
      <c r="B51" s="21" t="n">
        <f aca="false">COUNTIF('Full Register'!$L$6:$L$279,"Catastrophic (1)")-COUNTIFS('Full Register'!$L$6:$L$279,"Catastrophic (1)",'Full Register'!$Z$6:$Z$279,"&gt;0")</f>
        <v>39</v>
      </c>
    </row>
    <row r="53" customFormat="false" ht="15" hidden="false" customHeight="false" outlineLevel="0" collapsed="false">
      <c r="A53" s="2" t="s">
        <v>793</v>
      </c>
    </row>
    <row r="54" customFormat="false" ht="27.75" hidden="false" customHeight="true" outlineLevel="0" collapsed="false">
      <c r="A54" s="15" t="s">
        <v>660</v>
      </c>
      <c r="B54" s="15" t="s">
        <v>794</v>
      </c>
      <c r="C54" s="15" t="s">
        <v>795</v>
      </c>
      <c r="D54" s="15" t="s">
        <v>796</v>
      </c>
    </row>
    <row r="55" customFormat="false" ht="15" hidden="false" customHeight="false" outlineLevel="0" collapsed="false">
      <c r="A55" s="19" t="s">
        <v>665</v>
      </c>
      <c r="B55" s="21" t="n">
        <f aca="false">COUNTIF('Full Register'!$AA$6:$AA$279,A55)</f>
        <v>0</v>
      </c>
      <c r="C55" s="21" t="n">
        <f aca="false">COUNTIFS('Full Register'!$AA$6:$AA$279,A55,'Full Register'!$G$6:$G$279,"Yes")</f>
        <v>0</v>
      </c>
      <c r="D55" s="22" t="n">
        <f aca="false">IFERROR(B55/COUNTA('Full Register'!$A$6:$A$279),0)</f>
        <v>0</v>
      </c>
    </row>
    <row r="56" customFormat="false" ht="15" hidden="false" customHeight="false" outlineLevel="0" collapsed="false">
      <c r="A56" s="19" t="s">
        <v>152</v>
      </c>
      <c r="B56" s="21" t="n">
        <f aca="false">COUNTIF('Full Register'!$AA$6:$AA$279,A56)</f>
        <v>0</v>
      </c>
      <c r="C56" s="21" t="n">
        <f aca="false">COUNTIFS('Full Register'!$AA$6:$AA$279,A56,'Full Register'!$G$6:$G$279,"Yes")</f>
        <v>0</v>
      </c>
      <c r="D56" s="22" t="n">
        <f aca="false">IFERROR(B56/COUNTA('Full Register'!$A$6:$A$279),0)</f>
        <v>0</v>
      </c>
    </row>
    <row r="57" customFormat="false" ht="15" hidden="false" customHeight="false" outlineLevel="0" collapsed="false">
      <c r="A57" s="19" t="s">
        <v>674</v>
      </c>
      <c r="B57" s="21" t="n">
        <f aca="false">COUNTIF('Full Register'!$AA$6:$AA$279,A57)</f>
        <v>0</v>
      </c>
      <c r="C57" s="21" t="n">
        <f aca="false">COUNTIFS('Full Register'!$AA$6:$AA$279,A57,'Full Register'!$G$6:$G$279,"Yes")</f>
        <v>0</v>
      </c>
      <c r="D57" s="22" t="n">
        <f aca="false">IFERROR(B57/COUNTA('Full Register'!$A$6:$A$279),0)</f>
        <v>0</v>
      </c>
    </row>
    <row r="58" customFormat="false" ht="15" hidden="false" customHeight="false" outlineLevel="0" collapsed="false">
      <c r="A58" s="19" t="s">
        <v>679</v>
      </c>
      <c r="B58" s="21" t="n">
        <f aca="false">COUNTIF('Full Register'!$AA$6:$AA$279,A58)</f>
        <v>0</v>
      </c>
      <c r="C58" s="21" t="n">
        <f aca="false">COUNTIFS('Full Register'!$AA$6:$AA$279,A58,'Full Register'!$G$6:$G$279,"Yes")</f>
        <v>0</v>
      </c>
      <c r="D58" s="22" t="n">
        <f aca="false">IFERROR(B58/COUNTA('Full Register'!$A$6:$A$279),0)</f>
        <v>0</v>
      </c>
    </row>
    <row r="59" customFormat="false" ht="15" hidden="false" customHeight="false" outlineLevel="0" collapsed="false">
      <c r="A59" s="19" t="s">
        <v>683</v>
      </c>
      <c r="B59" s="21" t="n">
        <f aca="false">COUNTIF('Full Register'!$AA$6:$AA$279,A59)</f>
        <v>0</v>
      </c>
      <c r="C59" s="21" t="n">
        <f aca="false">COUNTIFS('Full Register'!$AA$6:$AA$279,A59,'Full Register'!$G$6:$G$279,"Yes")</f>
        <v>0</v>
      </c>
      <c r="D59" s="22" t="n">
        <f aca="false">IFERROR(B59/COUNTA('Full Register'!$A$6:$A$279),0)</f>
        <v>0</v>
      </c>
    </row>
    <row r="60" customFormat="false" ht="15" hidden="false" customHeight="false" outlineLevel="0" collapsed="false">
      <c r="A60" s="19" t="s">
        <v>686</v>
      </c>
      <c r="B60" s="21" t="n">
        <f aca="false">COUNTIF('Full Register'!$AA$6:$AA$279,A60)</f>
        <v>0</v>
      </c>
      <c r="C60" s="21" t="n">
        <f aca="false">COUNTIFS('Full Register'!$AA$6:$AA$279,A60,'Full Register'!$G$6:$G$279,"Yes")</f>
        <v>0</v>
      </c>
      <c r="D60" s="22" t="n">
        <f aca="false">IFERROR(B60/COUNTA('Full Register'!$A$6:$A$279),0)</f>
        <v>0</v>
      </c>
    </row>
    <row r="61" customFormat="false" ht="15" hidden="false" customHeight="false" outlineLevel="0" collapsed="false">
      <c r="A61" s="19" t="s">
        <v>689</v>
      </c>
      <c r="B61" s="21" t="n">
        <f aca="false">COUNTIF('Full Register'!$AA$6:$AA$279,A61)</f>
        <v>0</v>
      </c>
      <c r="C61" s="21" t="n">
        <f aca="false">COUNTIFS('Full Register'!$AA$6:$AA$279,A61,'Full Register'!$G$6:$G$279,"Yes")</f>
        <v>0</v>
      </c>
      <c r="D61" s="22" t="n">
        <f aca="false">IFERROR(B61/COUNTA('Full Register'!$A$6:$A$279),0)</f>
        <v>0</v>
      </c>
    </row>
    <row r="62" customFormat="false" ht="15" hidden="false" customHeight="false" outlineLevel="0" collapsed="false">
      <c r="A62" s="19" t="s">
        <v>691</v>
      </c>
      <c r="B62" s="21" t="n">
        <f aca="false">COUNTIF('Full Register'!$AA$6:$AA$279,A62)</f>
        <v>0</v>
      </c>
      <c r="C62" s="21" t="n">
        <f aca="false">COUNTIFS('Full Register'!$AA$6:$AA$279,A62,'Full Register'!$G$6:$G$279,"Yes")</f>
        <v>0</v>
      </c>
      <c r="D62" s="22" t="n">
        <f aca="false">IFERROR(B62/COUNTA('Full Register'!$A$6:$A$279),0)</f>
        <v>0</v>
      </c>
    </row>
    <row r="63" customFormat="false" ht="15" hidden="false" customHeight="false" outlineLevel="0" collapsed="false">
      <c r="A63" s="19" t="s">
        <v>692</v>
      </c>
      <c r="B63" s="21" t="n">
        <f aca="false">COUNTIF('Full Register'!$AA$6:$AA$279,A63)</f>
        <v>0</v>
      </c>
      <c r="C63" s="21" t="n">
        <f aca="false">COUNTIFS('Full Register'!$AA$6:$AA$279,A63,'Full Register'!$G$6:$G$279,"Yes")</f>
        <v>0</v>
      </c>
      <c r="D63" s="22" t="n">
        <f aca="false">IFERROR(B63/COUNTA('Full Register'!$A$6:$A$279),0)</f>
        <v>0</v>
      </c>
    </row>
    <row r="64" customFormat="false" ht="15" hidden="false" customHeight="false" outlineLevel="0" collapsed="false">
      <c r="A64" s="19" t="s">
        <v>664</v>
      </c>
      <c r="B64" s="21" t="n">
        <f aca="false">COUNTIF('Full Register'!$AA$6:$AA$279,A64)</f>
        <v>0</v>
      </c>
      <c r="C64" s="21" t="n">
        <f aca="false">COUNTIFS('Full Register'!$AA$6:$AA$279,A64,'Full Register'!$G$6:$G$279,"Yes")</f>
        <v>0</v>
      </c>
      <c r="D64" s="22" t="n">
        <f aca="false">IFERROR(B64/COUNTA('Full Register'!$A$6:$A$279),0)</f>
        <v>0</v>
      </c>
    </row>
    <row r="66" customFormat="false" ht="15" hidden="false" customHeight="false" outlineLevel="0" collapsed="false">
      <c r="A66" s="2" t="s">
        <v>797</v>
      </c>
    </row>
    <row r="67" customFormat="false" ht="27.75" hidden="false" customHeight="true" outlineLevel="0" collapsed="false">
      <c r="A67" s="20" t="s">
        <v>33</v>
      </c>
      <c r="B67" s="20" t="s">
        <v>798</v>
      </c>
      <c r="C67" s="20" t="s">
        <v>799</v>
      </c>
      <c r="D67" s="20" t="s">
        <v>800</v>
      </c>
      <c r="E67" s="20" t="s">
        <v>801</v>
      </c>
      <c r="F67" s="20" t="s">
        <v>802</v>
      </c>
    </row>
    <row r="68" customFormat="false" ht="15" hidden="false" customHeight="false" outlineLevel="0" collapsed="false">
      <c r="A68" s="19" t="s">
        <v>78</v>
      </c>
      <c r="B68" s="21" t="n">
        <f aca="false">COUNTIF('Full Register'!$B$6:$B$279,A68)</f>
        <v>4</v>
      </c>
      <c r="C68" s="21" t="n">
        <f aca="false">COUNTIFS('Full Register'!$B$6:$B$279,A68,'Full Register'!$G$6:$G$279,"Yes")</f>
        <v>2</v>
      </c>
      <c r="D68" s="21" t="n">
        <f aca="false">COUNTIFS('Full Register'!$B$6:$B$279,A68,'Full Register'!$AN$6:$AN$279,"&lt;&gt;")</f>
        <v>0</v>
      </c>
      <c r="E68" s="21" t="n">
        <f aca="false">COUNTIFS('Full Register'!$B$6:$B$279,A68,'Full Register'!$AF$6:$AF$279,"&gt;=3")</f>
        <v>0</v>
      </c>
      <c r="F68" s="21" t="n">
        <f aca="false">COUNTIF('Full Register'!$B$6:$B$279,A68)-COUNTIFS('Full Register'!$B$6:$B$279,A68,'Full Register'!$Z$6:$Z$279,"&gt;0")</f>
        <v>4</v>
      </c>
    </row>
    <row r="69" customFormat="false" ht="15" hidden="false" customHeight="false" outlineLevel="0" collapsed="false">
      <c r="A69" s="19" t="s">
        <v>109</v>
      </c>
      <c r="B69" s="21" t="n">
        <f aca="false">COUNTIF('Full Register'!$B$6:$B$279,A69)</f>
        <v>17</v>
      </c>
      <c r="C69" s="21" t="n">
        <f aca="false">COUNTIFS('Full Register'!$B$6:$B$279,A69,'Full Register'!$G$6:$G$279,"Yes")</f>
        <v>0</v>
      </c>
      <c r="D69" s="21" t="n">
        <f aca="false">COUNTIFS('Full Register'!$B$6:$B$279,A69,'Full Register'!$AN$6:$AN$279,"&lt;&gt;")</f>
        <v>0</v>
      </c>
      <c r="E69" s="21" t="n">
        <f aca="false">COUNTIFS('Full Register'!$B$6:$B$279,A69,'Full Register'!$AF$6:$AF$279,"&gt;=3")</f>
        <v>0</v>
      </c>
      <c r="F69" s="21" t="n">
        <f aca="false">COUNTIF('Full Register'!$B$6:$B$279,A69)-COUNTIFS('Full Register'!$B$6:$B$279,A69,'Full Register'!$Z$6:$Z$279,"&gt;0")</f>
        <v>17</v>
      </c>
    </row>
    <row r="70" customFormat="false" ht="15" hidden="false" customHeight="false" outlineLevel="0" collapsed="false">
      <c r="A70" s="19" t="s">
        <v>150</v>
      </c>
      <c r="B70" s="21" t="n">
        <f aca="false">COUNTIF('Full Register'!$B$6:$B$279,A70)</f>
        <v>70</v>
      </c>
      <c r="C70" s="21" t="n">
        <f aca="false">COUNTIFS('Full Register'!$B$6:$B$279,A70,'Full Register'!$G$6:$G$279,"Yes")</f>
        <v>6</v>
      </c>
      <c r="D70" s="21" t="n">
        <f aca="false">COUNTIFS('Full Register'!$B$6:$B$279,A70,'Full Register'!$AN$6:$AN$279,"&lt;&gt;")</f>
        <v>0</v>
      </c>
      <c r="E70" s="21" t="n">
        <f aca="false">COUNTIFS('Full Register'!$B$6:$B$279,A70,'Full Register'!$AF$6:$AF$279,"&gt;=3")</f>
        <v>0</v>
      </c>
      <c r="F70" s="21" t="n">
        <f aca="false">COUNTIF('Full Register'!$B$6:$B$279,A70)-COUNTIFS('Full Register'!$B$6:$B$279,A70,'Full Register'!$Z$6:$Z$279,"&gt;0")</f>
        <v>70</v>
      </c>
    </row>
    <row r="71" customFormat="false" ht="15" hidden="false" customHeight="false" outlineLevel="0" collapsed="false">
      <c r="A71" s="19" t="s">
        <v>288</v>
      </c>
      <c r="B71" s="21" t="n">
        <f aca="false">COUNTIF('Full Register'!$B$6:$B$279,A71)</f>
        <v>110</v>
      </c>
      <c r="C71" s="21" t="n">
        <f aca="false">COUNTIFS('Full Register'!$B$6:$B$279,A71,'Full Register'!$G$6:$G$279,"Yes")</f>
        <v>21</v>
      </c>
      <c r="D71" s="21" t="n">
        <f aca="false">COUNTIFS('Full Register'!$B$6:$B$279,A71,'Full Register'!$AN$6:$AN$279,"&lt;&gt;")</f>
        <v>0</v>
      </c>
      <c r="E71" s="21" t="n">
        <f aca="false">COUNTIFS('Full Register'!$B$6:$B$279,A71,'Full Register'!$AF$6:$AF$279,"&gt;=3")</f>
        <v>0</v>
      </c>
      <c r="F71" s="21" t="n">
        <f aca="false">COUNTIF('Full Register'!$B$6:$B$279,A71)-COUNTIFS('Full Register'!$B$6:$B$279,A71,'Full Register'!$Z$6:$Z$279,"&gt;0")</f>
        <v>110</v>
      </c>
    </row>
    <row r="72" customFormat="false" ht="15" hidden="false" customHeight="false" outlineLevel="0" collapsed="false">
      <c r="A72" s="19" t="s">
        <v>519</v>
      </c>
      <c r="B72" s="21" t="n">
        <f aca="false">COUNTIF('Full Register'!$B$6:$B$279,A72)</f>
        <v>20</v>
      </c>
      <c r="C72" s="21" t="n">
        <f aca="false">COUNTIFS('Full Register'!$B$6:$B$279,A72,'Full Register'!$G$6:$G$279,"Yes")</f>
        <v>8</v>
      </c>
      <c r="D72" s="21" t="n">
        <f aca="false">COUNTIFS('Full Register'!$B$6:$B$279,A72,'Full Register'!$AN$6:$AN$279,"&lt;&gt;")</f>
        <v>0</v>
      </c>
      <c r="E72" s="21" t="n">
        <f aca="false">COUNTIFS('Full Register'!$B$6:$B$279,A72,'Full Register'!$AF$6:$AF$279,"&gt;=3")</f>
        <v>0</v>
      </c>
      <c r="F72" s="21" t="n">
        <f aca="false">COUNTIF('Full Register'!$B$6:$B$279,A72)-COUNTIFS('Full Register'!$B$6:$B$279,A72,'Full Register'!$Z$6:$Z$279,"&gt;0")</f>
        <v>20</v>
      </c>
    </row>
    <row r="73" customFormat="false" ht="15" hidden="false" customHeight="false" outlineLevel="0" collapsed="false">
      <c r="A73" s="19" t="s">
        <v>574</v>
      </c>
      <c r="B73" s="21" t="n">
        <f aca="false">COUNTIF('Full Register'!$B$6:$B$279,A73)</f>
        <v>53</v>
      </c>
      <c r="C73" s="21" t="n">
        <f aca="false">COUNTIFS('Full Register'!$B$6:$B$279,A73,'Full Register'!$G$6:$G$279,"Yes")</f>
        <v>7</v>
      </c>
      <c r="D73" s="21" t="n">
        <f aca="false">COUNTIFS('Full Register'!$B$6:$B$279,A73,'Full Register'!$AN$6:$AN$279,"&lt;&gt;")</f>
        <v>0</v>
      </c>
      <c r="E73" s="21" t="n">
        <f aca="false">COUNTIFS('Full Register'!$B$6:$B$279,A73,'Full Register'!$AF$6:$AF$279,"&gt;=3")</f>
        <v>0</v>
      </c>
      <c r="F73" s="21" t="n">
        <f aca="false">COUNTIF('Full Register'!$B$6:$B$279,A73)-COUNTIFS('Full Register'!$B$6:$B$279,A73,'Full Register'!$Z$6:$Z$279,"&gt;0")</f>
        <v>53</v>
      </c>
    </row>
    <row r="75" customFormat="false" ht="15" hidden="false" customHeight="false" outlineLevel="0" collapsed="false">
      <c r="A75" s="2" t="s">
        <v>803</v>
      </c>
    </row>
    <row r="76" customFormat="false" ht="15" hidden="false" customHeight="true" outlineLevel="0" collapsed="false">
      <c r="A76" s="23" t="s">
        <v>804</v>
      </c>
      <c r="B76" s="23"/>
      <c r="C76" s="23"/>
      <c r="D76" s="23"/>
      <c r="E76" s="23"/>
      <c r="F76" s="23"/>
    </row>
    <row r="77" customFormat="false" ht="15" hidden="false" customHeight="false" outlineLevel="0" collapsed="false">
      <c r="A77" s="23"/>
      <c r="B77" s="23"/>
      <c r="C77" s="23"/>
      <c r="D77" s="23"/>
      <c r="E77" s="23"/>
      <c r="F77" s="23"/>
    </row>
    <row r="78" customFormat="false" ht="15" hidden="false" customHeight="false" outlineLevel="0" collapsed="false">
      <c r="A78" s="23"/>
      <c r="B78" s="23"/>
      <c r="C78" s="23"/>
      <c r="D78" s="23"/>
      <c r="E78" s="23"/>
      <c r="F78" s="23"/>
    </row>
  </sheetData>
  <mergeCells count="1">
    <mergeCell ref="A76:F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6"/>
    <col collapsed="false" customWidth="true" hidden="false" outlineLevel="0" max="4" min="4" style="0" width="30"/>
    <col collapsed="false" customWidth="true" hidden="false" outlineLevel="0" max="5" min="5" style="0" width="20"/>
    <col collapsed="false" customWidth="true" hidden="false" outlineLevel="0" max="6" min="6" style="0" width="56"/>
    <col collapsed="false" customWidth="true" hidden="false" outlineLevel="0" max="7" min="7" style="0" width="14"/>
    <col collapsed="false" customWidth="true" hidden="false" outlineLevel="0" max="8" min="8" style="0" width="18"/>
    <col collapsed="false" customWidth="true" hidden="false" outlineLevel="0" max="9" min="9" style="0" width="34"/>
    <col collapsed="false" customWidth="true" hidden="false" outlineLevel="0" max="10" min="10" style="0" width="16"/>
    <col collapsed="false" customWidth="true" hidden="false" outlineLevel="0" max="11" min="11" style="0" width="12"/>
    <col collapsed="false" customWidth="true" hidden="false" outlineLevel="0" max="12" min="12" style="0" width="14"/>
    <col collapsed="false" customWidth="true" hidden="false" outlineLevel="0" max="13" min="13" style="0" width="13"/>
    <col collapsed="false" customWidth="true" hidden="false" outlineLevel="0" max="14" min="14" style="0" width="11"/>
    <col collapsed="false" customWidth="true" hidden="false" outlineLevel="0" max="15" min="15" style="0" width="26"/>
    <col collapsed="false" customWidth="true" hidden="false" outlineLevel="0" max="16" min="16" style="0" width="22"/>
  </cols>
  <sheetData>
    <row r="1" customFormat="false" ht="17.35" hidden="false" customHeight="false" outlineLevel="0" collapsed="false">
      <c r="A1" s="1" t="s">
        <v>805</v>
      </c>
    </row>
    <row r="2" customFormat="false" ht="15" hidden="false" customHeight="false" outlineLevel="0" collapsed="false">
      <c r="A2" s="4" t="s">
        <v>806</v>
      </c>
    </row>
    <row r="4" customFormat="false" ht="43.5" hidden="false" customHeight="true" outlineLevel="0" collapsed="false">
      <c r="A4" s="5" t="s">
        <v>807</v>
      </c>
      <c r="B4" s="5" t="s">
        <v>32</v>
      </c>
      <c r="C4" s="5" t="s">
        <v>34</v>
      </c>
      <c r="D4" s="5" t="s">
        <v>33</v>
      </c>
      <c r="E4" s="5" t="s">
        <v>808</v>
      </c>
      <c r="F4" s="5" t="s">
        <v>809</v>
      </c>
      <c r="G4" s="5" t="s">
        <v>810</v>
      </c>
      <c r="H4" s="5" t="s">
        <v>811</v>
      </c>
      <c r="I4" s="5" t="s">
        <v>812</v>
      </c>
      <c r="J4" s="5" t="s">
        <v>813</v>
      </c>
      <c r="K4" s="5" t="s">
        <v>814</v>
      </c>
      <c r="L4" s="5" t="s">
        <v>815</v>
      </c>
      <c r="M4" s="5" t="s">
        <v>816</v>
      </c>
      <c r="N4" s="5" t="s">
        <v>817</v>
      </c>
      <c r="O4" s="5" t="s">
        <v>818</v>
      </c>
      <c r="P4" s="5" t="s">
        <v>819</v>
      </c>
    </row>
    <row r="5" customFormat="false" ht="22.35" hidden="false" customHeight="false" outlineLevel="0" collapsed="false">
      <c r="A5" s="24" t="s">
        <v>820</v>
      </c>
      <c r="B5" s="24" t="s">
        <v>347</v>
      </c>
      <c r="C5" s="24" t="s">
        <v>821</v>
      </c>
      <c r="D5" s="24" t="s">
        <v>288</v>
      </c>
      <c r="E5" s="24" t="s">
        <v>822</v>
      </c>
      <c r="F5" s="24" t="s">
        <v>823</v>
      </c>
      <c r="G5" s="24" t="s">
        <v>670</v>
      </c>
      <c r="H5" s="24" t="s">
        <v>669</v>
      </c>
      <c r="I5" s="24" t="s">
        <v>824</v>
      </c>
      <c r="J5" s="24" t="s">
        <v>93</v>
      </c>
      <c r="K5" s="24" t="s">
        <v>825</v>
      </c>
      <c r="L5" s="24" t="s">
        <v>826</v>
      </c>
      <c r="M5" s="24" t="s">
        <v>827</v>
      </c>
      <c r="N5" s="24" t="s">
        <v>828</v>
      </c>
      <c r="O5" s="24"/>
      <c r="P5" s="24"/>
    </row>
    <row r="7" customFormat="false" ht="15" hidden="false" customHeight="false" outlineLevel="0" collapsed="false">
      <c r="A7" s="4" t="s">
        <v>829</v>
      </c>
    </row>
  </sheetData>
  <dataValidations count="1">
    <dataValidation allowBlank="true" errorStyle="stop" operator="between" showDropDown="false" showErrorMessage="false" showInputMessage="false" sqref="E5:E400" type="list">
      <formula1>"Execution capacity,Process gap,Tool gap,Training gap,Evidence gap,Effectiveness gap"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6"/>
    <col collapsed="false" customWidth="true" hidden="false" outlineLevel="0" max="3" min="3" style="0" width="26"/>
    <col collapsed="false" customWidth="true" hidden="false" outlineLevel="0" max="4" min="4" style="0" width="18"/>
    <col collapsed="false" customWidth="true" hidden="false" outlineLevel="0" max="5" min="5" style="0" width="14"/>
  </cols>
  <sheetData>
    <row r="1" customFormat="false" ht="17.35" hidden="false" customHeight="false" outlineLevel="0" collapsed="false">
      <c r="A1" s="1" t="s">
        <v>830</v>
      </c>
    </row>
    <row r="2" customFormat="false" ht="15" hidden="false" customHeight="false" outlineLevel="0" collapsed="false">
      <c r="A2" s="4" t="s">
        <v>831</v>
      </c>
    </row>
    <row r="4" customFormat="false" ht="43.5" hidden="false" customHeight="true" outlineLevel="0" collapsed="false">
      <c r="A4" s="5" t="s">
        <v>832</v>
      </c>
      <c r="B4" s="5" t="s">
        <v>833</v>
      </c>
      <c r="C4" s="5" t="s">
        <v>834</v>
      </c>
      <c r="D4" s="5" t="s">
        <v>815</v>
      </c>
      <c r="E4" s="5" t="s">
        <v>835</v>
      </c>
    </row>
    <row r="5" customFormat="false" ht="51.75" hidden="false" customHeight="true" outlineLevel="0" collapsed="false">
      <c r="A5" s="19" t="s">
        <v>836</v>
      </c>
      <c r="B5" s="19" t="s">
        <v>837</v>
      </c>
      <c r="C5" s="19" t="s">
        <v>838</v>
      </c>
      <c r="D5" s="8"/>
      <c r="E5" s="8"/>
    </row>
    <row r="6" customFormat="false" ht="51.75" hidden="false" customHeight="true" outlineLevel="0" collapsed="false">
      <c r="A6" s="19" t="s">
        <v>839</v>
      </c>
      <c r="B6" s="19" t="s">
        <v>840</v>
      </c>
      <c r="C6" s="19" t="s">
        <v>841</v>
      </c>
      <c r="D6" s="8"/>
      <c r="E6" s="8"/>
    </row>
    <row r="7" customFormat="false" ht="51.75" hidden="false" customHeight="true" outlineLevel="0" collapsed="false">
      <c r="A7" s="19" t="s">
        <v>842</v>
      </c>
      <c r="B7" s="19" t="s">
        <v>843</v>
      </c>
      <c r="C7" s="19" t="s">
        <v>844</v>
      </c>
      <c r="D7" s="8"/>
      <c r="E7" s="8"/>
    </row>
    <row r="8" customFormat="false" ht="51.75" hidden="false" customHeight="true" outlineLevel="0" collapsed="false">
      <c r="A8" s="19" t="s">
        <v>845</v>
      </c>
      <c r="B8" s="19" t="s">
        <v>846</v>
      </c>
      <c r="C8" s="19" t="s">
        <v>847</v>
      </c>
      <c r="D8" s="8"/>
      <c r="E8" s="8"/>
    </row>
    <row r="9" customFormat="false" ht="51.75" hidden="false" customHeight="true" outlineLevel="0" collapsed="false">
      <c r="A9" s="19" t="s">
        <v>848</v>
      </c>
      <c r="B9" s="19" t="s">
        <v>849</v>
      </c>
      <c r="C9" s="19" t="s">
        <v>850</v>
      </c>
      <c r="D9" s="8"/>
      <c r="E9" s="8"/>
    </row>
    <row r="10" customFormat="false" ht="51.75" hidden="false" customHeight="true" outlineLevel="0" collapsed="false">
      <c r="A10" s="19" t="s">
        <v>851</v>
      </c>
      <c r="B10" s="19" t="s">
        <v>852</v>
      </c>
      <c r="C10" s="19" t="s">
        <v>853</v>
      </c>
      <c r="D10" s="8"/>
      <c r="E10" s="8"/>
    </row>
    <row r="11" customFormat="false" ht="51.75" hidden="false" customHeight="true" outlineLevel="0" collapsed="false">
      <c r="A11" s="19" t="s">
        <v>854</v>
      </c>
      <c r="B11" s="19" t="s">
        <v>855</v>
      </c>
      <c r="C11" s="19" t="s">
        <v>856</v>
      </c>
      <c r="D11" s="8"/>
      <c r="E11" s="8"/>
    </row>
    <row r="12" customFormat="false" ht="51.75" hidden="false" customHeight="true" outlineLevel="0" collapsed="false">
      <c r="A12" s="19" t="s">
        <v>857</v>
      </c>
      <c r="B12" s="19" t="s">
        <v>858</v>
      </c>
      <c r="C12" s="19" t="s">
        <v>856</v>
      </c>
      <c r="D12" s="8"/>
      <c r="E12" s="8"/>
    </row>
    <row r="13" customFormat="false" ht="51.75" hidden="false" customHeight="true" outlineLevel="0" collapsed="false">
      <c r="A13" s="19" t="s">
        <v>859</v>
      </c>
      <c r="B13" s="19" t="s">
        <v>860</v>
      </c>
      <c r="C13" s="19" t="s">
        <v>861</v>
      </c>
      <c r="D13" s="8"/>
      <c r="E13" s="8"/>
    </row>
    <row r="15" customFormat="false" ht="15" hidden="false" customHeight="false" outlineLevel="0" collapsed="false">
      <c r="A15" s="2" t="s">
        <v>862</v>
      </c>
    </row>
    <row r="16" customFormat="false" ht="15" hidden="false" customHeight="false" outlineLevel="0" collapsed="false">
      <c r="A16" s="14" t="s">
        <v>863</v>
      </c>
      <c r="B16" s="14" t="s">
        <v>864</v>
      </c>
    </row>
    <row r="17" customFormat="false" ht="15" hidden="false" customHeight="false" outlineLevel="0" collapsed="false">
      <c r="A17" s="14" t="s">
        <v>865</v>
      </c>
      <c r="B17" s="14" t="s">
        <v>866</v>
      </c>
    </row>
    <row r="18" customFormat="false" ht="15" hidden="false" customHeight="false" outlineLevel="0" collapsed="false">
      <c r="A18" s="14" t="s">
        <v>867</v>
      </c>
      <c r="B18" s="14" t="s">
        <v>868</v>
      </c>
    </row>
    <row r="19" customFormat="false" ht="15" hidden="false" customHeight="false" outlineLevel="0" collapsed="false">
      <c r="A19" s="14" t="s">
        <v>869</v>
      </c>
      <c r="B19" s="14" t="s">
        <v>870</v>
      </c>
    </row>
    <row r="20" customFormat="false" ht="15" hidden="false" customHeight="false" outlineLevel="0" collapsed="false">
      <c r="A20" s="14" t="s">
        <v>871</v>
      </c>
      <c r="B20" s="14" t="s">
        <v>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2026-08-13T14:04:00Z</dcterms:created>
  <dc:creator>openpyxl</dc:creator>
  <dc:description/>
  <dc:language>en-US</dc:language>
  <cp:lastModifiedBy/>
  <dcterms:modified xsi:type="dcterms:W3CDTF">2026-08-13T14:04:00Z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