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Full Register" sheetId="2" state="visible" r:id="rId4"/>
    <sheet name="Evidence Pulls" sheetId="3" state="visible" r:id="rId5"/>
    <sheet name="Lists" sheetId="4" state="visible" r:id="rId6"/>
    <sheet name="CM Team Roster" sheetId="5" state="visible" r:id="rId7"/>
    <sheet name="Dashboard" sheetId="6" state="visible" r:id="rId8"/>
    <sheet name="Findings Log" sheetId="7" state="visible" r:id="rId9"/>
    <sheet name="Scope Notes" sheetId="8" state="visible" r:id="rId10"/>
  </sheets>
  <definedNames>
    <definedName function="false" hidden="true" localSheetId="1" name="_xlnm._FilterDatabase" vbProcedure="false">'Full Register'!$A$5:$T$279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<sst xmlns="http://schemas.openxmlformats.org/spreadsheetml/2006/main" count="2463" uniqueCount="841">
  <si>
    <t xml:space="preserve">How to fill this workbook</t>
  </si>
  <si>
    <t xml:space="preserve">Two sheets take input. Nothing else. Each block below fits one slide.</t>
  </si>
  <si>
    <t xml:space="preserve">CHART 1 - Evidence Pulls sheet: one row per set of records</t>
  </si>
  <si>
    <t xml:space="preserve">A pull is a single body of evidence that answers one or more requirements. One pull of classified ECPs answers all 43 Major-change criteria rows. Fifty starter pulls are already seeded on the sheet, grouped by TDR group.</t>
  </si>
  <si>
    <t xml:space="preserve">Col</t>
  </si>
  <si>
    <t xml:space="preserve">Field</t>
  </si>
  <si>
    <t xml:space="preserve">What goes in it</t>
  </si>
  <si>
    <t xml:space="preserve">A</t>
  </si>
  <si>
    <t xml:space="preserve">Pull ID</t>
  </si>
  <si>
    <t xml:space="preserve">Pre-seeded. Convention is EP-&lt;group&gt;-&lt;short&gt;, e.g. EP-3-ECPCLASS. Keep the group number so four teams do not collide.</t>
  </si>
  <si>
    <t xml:space="preserve">B</t>
  </si>
  <si>
    <t xml:space="preserve">What it covers</t>
  </si>
  <si>
    <t xml:space="preserve">Which records, and roughly which clauses. Edit the seeded text as you split pulls.</t>
  </si>
  <si>
    <t xml:space="preserve">C</t>
  </si>
  <si>
    <t xml:space="preserve">Sample Class</t>
  </si>
  <si>
    <t xml:space="preserve">Transactional, Event or Artifact. This decides your sample for you: see the rule below.</t>
  </si>
  <si>
    <t xml:space="preserve">D</t>
  </si>
  <si>
    <t xml:space="preserve">Process / Command Media Ref</t>
  </si>
  <si>
    <t xml:space="preserve">Document number and revision.</t>
  </si>
  <si>
    <t xml:space="preserve">E</t>
  </si>
  <si>
    <t xml:space="preserve">Tool / System</t>
  </si>
  <si>
    <t xml:space="preserve">Where the activity is carried.</t>
  </si>
  <si>
    <t xml:space="preserve">F</t>
  </si>
  <si>
    <t xml:space="preserve">Training / Competency Ref</t>
  </si>
  <si>
    <t xml:space="preserve">Course or competency code. Blank means none exists, which is itself a finding.</t>
  </si>
  <si>
    <t xml:space="preserve">G</t>
  </si>
  <si>
    <t xml:space="preserve">Named Executor(s)</t>
  </si>
  <si>
    <t xml:space="preserve">Individual names, semicolons between them. Roles and team names count as zero.</t>
  </si>
  <si>
    <t xml:space="preserve">H</t>
  </si>
  <si>
    <t xml:space="preserve">Executor Function</t>
  </si>
  <si>
    <t xml:space="preserve">Pick from the list. This drives the concentration table.</t>
  </si>
  <si>
    <t xml:space="preserve">I</t>
  </si>
  <si>
    <t xml:space="preserve">Evidence Reference</t>
  </si>
  <si>
    <t xml:space="preserve">Where the records are. Query name, report ID, document revision, folder.</t>
  </si>
  <si>
    <t xml:space="preserve">J</t>
  </si>
  <si>
    <t xml:space="preserve">Sample Basis</t>
  </si>
  <si>
    <t xml:space="preserve">Population and period in one line, e.g. 'ECPs classified on [pgm] 2025-08 to 2026-07'.</t>
  </si>
  <si>
    <t xml:space="preserve">K</t>
  </si>
  <si>
    <t xml:space="preserve">Record Sample Size</t>
  </si>
  <si>
    <t xml:space="preserve">Records actually reviewed. Transactional and Event pulls only. Leave blank on Artifact pulls.</t>
  </si>
  <si>
    <t xml:space="preserve">L</t>
  </si>
  <si>
    <t xml:space="preserve">Records Conforming</t>
  </si>
  <si>
    <t xml:space="preserve">How many passed. Measures the RECORDS. Requirement coverage is computed separately in column U.</t>
  </si>
  <si>
    <t xml:space="preserve">M</t>
  </si>
  <si>
    <t xml:space="preserve">Assessor</t>
  </si>
  <si>
    <t xml:space="preserve">Who did the pull, and when.</t>
  </si>
  <si>
    <t xml:space="preserve">N</t>
  </si>
  <si>
    <t xml:space="preserve">Notes</t>
  </si>
  <si>
    <t xml:space="preserve">Only when you departed from the sample rule, and why.</t>
  </si>
  <si>
    <t xml:space="preserve">Split a pull whenever different records, different people, or a different tool answer the requirements.</t>
  </si>
  <si>
    <t xml:space="preserve">Sample rule - you do not choose a size, the class chooses it</t>
  </si>
  <si>
    <t xml:space="preserve">Class</t>
  </si>
  <si>
    <t xml:space="preserve">Population</t>
  </si>
  <si>
    <t xml:space="preserve">Size</t>
  </si>
  <si>
    <t xml:space="preserve">Transactional</t>
  </si>
  <si>
    <t xml:space="preserve">Records generated by an ongoing activity: ECPs, RFVs, NORs, release records, CSA entries. Trailing 12 months.</t>
  </si>
  <si>
    <t xml:space="preserve">10 records, or all if fewer than 10 exist.</t>
  </si>
  <si>
    <t xml:space="preserve">Event</t>
  </si>
  <si>
    <t xml:space="preserve">Occurrences of a scheduled activity: audits, technical reviews, ICWG meetings.</t>
  </si>
  <si>
    <t xml:space="preserve">Last 3 occurrences, or all if fewer than 3.</t>
  </si>
  <si>
    <t xml:space="preserve">Artifact</t>
  </si>
  <si>
    <t xml:space="preserve">A controlled document: the CM Plan, a baseline document, an ICD, a procedure.</t>
  </si>
  <si>
    <t xml:space="preserve">NO record sample. Leave columns K and L blank. Instead grade the document against every register row on the pull, one verdict per row.</t>
  </si>
  <si>
    <t xml:space="preserve">The assessor selects the records, not the process owner. A sample handed over by the owner is evidence of the best case, not of the population. Departing from the rule is allowed; say why in column N.</t>
  </si>
  <si>
    <t xml:space="preserve">Two different conformance numbers, and the second is the one that matters</t>
  </si>
  <si>
    <t xml:space="preserve">RECORD CONFORMANCE (column R) answers: of the records I pulled, how many followed the process. It is blank on Artifact pulls because a document is not a record population. REQUIREMENT COVERAGE (column U) answers: of the requirements this pull is supposed to answer, how many reached Operating or better. It is computed from the register rungs on every pull class, and it is the honest number. A CM Plan pull can be a controlled, current document and still cover one requirement out of eleven: record conformance would read blank, requirement coverage reads 9 percent. The same split catches the ECP classification case, where classification ran on every record but the rationale addressed only a few of the criteria.</t>
  </si>
  <si>
    <t xml:space="preserve">A pull is where you looked, not what you found</t>
  </si>
  <si>
    <t xml:space="preserve">If the CM Plan is required to address something and does not, the pull is still the CM Plan. Record EP-1-CMP on that register row, reference the CMP revision, and grade the rung Not demonstrated. Leaving the Pull ID blank makes a real finding look like unfinished work, and the dashboard will undercount your gaps. Every requirement gets a Pull ID once someone has looked at it.</t>
  </si>
  <si>
    <t xml:space="preserve">CHART 2 - Full Register sheet: two columns per requirement</t>
  </si>
  <si>
    <t xml:space="preserve">Evidence Pull ID</t>
  </si>
  <si>
    <t xml:space="preserve">REQUIRED. Which pull answers this requirement. Reuse the same ID across every requirement that pull covers.</t>
  </si>
  <si>
    <t xml:space="preserve">Health Rung</t>
  </si>
  <si>
    <t xml:space="preserve">REQUIRED. Pick one of five. Definitions below. When torn between two, pick the lower.</t>
  </si>
  <si>
    <t xml:space="preserve">Disposition Override</t>
  </si>
  <si>
    <t xml:space="preserve">Optional. Leave blank and the workbook sets Demonstrated at Operating or better, Gap - remediate below. Use only for a risk accept or a tailoring recommendation.</t>
  </si>
  <si>
    <t xml:space="preserve">Finding / RFA Ref</t>
  </si>
  <si>
    <t xml:space="preserve">Optional. Fill when a finding is raised.</t>
  </si>
  <si>
    <t xml:space="preserve">Rung rationale</t>
  </si>
  <si>
    <t xml:space="preserve">Required when you use column L. Otherwise only when this row grades differently from other rows on the same pull.</t>
  </si>
  <si>
    <t xml:space="preserve">The five health rungs</t>
  </si>
  <si>
    <t xml:space="preserve">Rung</t>
  </si>
  <si>
    <t xml:space="preserve">The test</t>
  </si>
  <si>
    <t xml:space="preserve">What does not satisfy it</t>
  </si>
  <si>
    <t xml:space="preserve">Not demonstrated</t>
  </si>
  <si>
    <t xml:space="preserve">Nothing located, or the only support is an assertion in interview.</t>
  </si>
  <si>
    <t xml:space="preserve">Someone's recollection that it happens.</t>
  </si>
  <si>
    <t xml:space="preserve">Documented</t>
  </si>
  <si>
    <t xml:space="preserve">A controlled process document or CMP section states the requirement is performed.</t>
  </si>
  <si>
    <t xml:space="preserve">A draft. An unreleased document. A slide deck.</t>
  </si>
  <si>
    <t xml:space="preserve">Deployed</t>
  </si>
  <si>
    <t xml:space="preserve">A tool or workflow exists and is configured, and a named individual performs it.</t>
  </si>
  <si>
    <t xml:space="preserve">A tool licensed but not configured. A vacant role.</t>
  </si>
  <si>
    <t xml:space="preserve">Operating</t>
  </si>
  <si>
    <t xml:space="preserve">Records show the activity ran across the sample basis. Full-depth rows need the sample.</t>
  </si>
  <si>
    <t xml:space="preserve">A single example record. One month, one program.</t>
  </si>
  <si>
    <t xml:space="preserve">Effective</t>
  </si>
  <si>
    <t xml:space="preserve">Records show the control catching real problems, each with a traceable disposition.</t>
  </si>
  <si>
    <t xml:space="preserve">A control that has never found anything, unexplained.</t>
  </si>
  <si>
    <t xml:space="preserve">Three rules that decide most arguments</t>
  </si>
  <si>
    <t xml:space="preserve">A claim with no records is Not demonstrated. Not Documented, not Deployed.</t>
  </si>
  <si>
    <t xml:space="preserve">A role with nobody in it is Unassigned. 'CM' and 'the release team' both count as zero executors.</t>
  </si>
  <si>
    <t xml:space="preserve">The 44 amber rows are MANDATORY FOR SAFETY. They are not tailorable, they are all Full depth, and no assessor may downgrade that status.</t>
  </si>
  <si>
    <t xml:space="preserve">Full-Scope TDR Register - EIA-649-1A</t>
  </si>
  <si>
    <t xml:space="preserve">Program: [enter]    |    Contract / SOW ref: [enter]    |    TDR Rev / Date: [enter]</t>
  </si>
  <si>
    <t xml:space="preserve">YOU FILL TWO COLUMNS: J (Evidence Pull ID) and K (Health Rung). Columns L, M and N are optional. Everything else is sourced or calculated. Blue (auto) columns are live formulas: nobody types in them. All process, tool, training, staffing and sample detail lives on the Evidence Pulls sheet.</t>
  </si>
  <si>
    <t xml:space="preserve">Column F is intentionally empty: EIA-649-1A is copyrighted SAE material under a no-reproduction licence, so requirement text is not transcribed here. The clause reference in columns C and E is the authoritative pointer. Amber rows are MANDATORY FOR SAFETY.</t>
  </si>
  <si>
    <t xml:space="preserve">Item ID</t>
  </si>
  <si>
    <t xml:space="preserve">Section</t>
  </si>
  <si>
    <t xml:space="preserve">Clause</t>
  </si>
  <si>
    <t xml:space="preserve">Clause Title</t>
  </si>
  <si>
    <t xml:space="preserve">Sub-Ref</t>
  </si>
  <si>
    <t xml:space="preserve">Requirement text (paste from your licensed copy)</t>
  </si>
  <si>
    <t xml:space="preserve">Mandatory for Safety?</t>
  </si>
  <si>
    <t xml:space="preserve">Depth</t>
  </si>
  <si>
    <t xml:space="preserve">TDR Group</t>
  </si>
  <si>
    <t xml:space="preserve">Rung rationale (only if this row differs from its pull)</t>
  </si>
  <si>
    <t xml:space="preserve">(auto) Rung Score</t>
  </si>
  <si>
    <t xml:space="preserve">(auto) Executor Count</t>
  </si>
  <si>
    <t xml:space="preserve">(auto) Executor Function</t>
  </si>
  <si>
    <t xml:space="preserve">(auto) Staffing Rung</t>
  </si>
  <si>
    <t xml:space="preserve">(auto) Disposition</t>
  </si>
  <si>
    <t xml:space="preserve">(auto) Validation Flag</t>
  </si>
  <si>
    <t xml:space="preserve">FS-001</t>
  </si>
  <si>
    <t xml:space="preserve">3. Configuration Management Requirements</t>
  </si>
  <si>
    <t xml:space="preserve">3.</t>
  </si>
  <si>
    <t xml:space="preserve">Configuration Management Requirements</t>
  </si>
  <si>
    <t xml:space="preserve">(1)</t>
  </si>
  <si>
    <t xml:space="preserve">Screen</t>
  </si>
  <si>
    <t xml:space="preserve">1. Management and Planning</t>
  </si>
  <si>
    <t xml:space="preserve">FS-002</t>
  </si>
  <si>
    <t xml:space="preserve">(2)</t>
  </si>
  <si>
    <t xml:space="preserve">MANDATORY</t>
  </si>
  <si>
    <t xml:space="preserve">Full</t>
  </si>
  <si>
    <t xml:space="preserve">FS-003</t>
  </si>
  <si>
    <t xml:space="preserve">(3)</t>
  </si>
  <si>
    <t xml:space="preserve">FS-004</t>
  </si>
  <si>
    <t xml:space="preserve">(4)</t>
  </si>
  <si>
    <t xml:space="preserve">FS-005</t>
  </si>
  <si>
    <t xml:space="preserve">3.1 Planning and Management</t>
  </si>
  <si>
    <t xml:space="preserve">3.1</t>
  </si>
  <si>
    <t xml:space="preserve">Planning and Management</t>
  </si>
  <si>
    <t xml:space="preserve">(1)(a)</t>
  </si>
  <si>
    <t xml:space="preserve">FS-006</t>
  </si>
  <si>
    <t xml:space="preserve">(1)(b)</t>
  </si>
  <si>
    <t xml:space="preserve">FS-007</t>
  </si>
  <si>
    <t xml:space="preserve">(1)(c)</t>
  </si>
  <si>
    <t xml:space="preserve">FS-008</t>
  </si>
  <si>
    <t xml:space="preserve">(1)(d)</t>
  </si>
  <si>
    <t xml:space="preserve">FS-009</t>
  </si>
  <si>
    <t xml:space="preserve">(1)(e)</t>
  </si>
  <si>
    <t xml:space="preserve">FS-010</t>
  </si>
  <si>
    <t xml:space="preserve">(1)(f)</t>
  </si>
  <si>
    <t xml:space="preserve">FS-011</t>
  </si>
  <si>
    <t xml:space="preserve">(1)(g)</t>
  </si>
  <si>
    <t xml:space="preserve">FS-012</t>
  </si>
  <si>
    <t xml:space="preserve">(1)(h)</t>
  </si>
  <si>
    <t xml:space="preserve">FS-013</t>
  </si>
  <si>
    <t xml:space="preserve">(1)(i)</t>
  </si>
  <si>
    <t xml:space="preserve">FS-014</t>
  </si>
  <si>
    <t xml:space="preserve">(1)(j)</t>
  </si>
  <si>
    <t xml:space="preserve">FS-015</t>
  </si>
  <si>
    <t xml:space="preserve">(1)(k)</t>
  </si>
  <si>
    <t xml:space="preserve">FS-016</t>
  </si>
  <si>
    <t xml:space="preserve">3.1.1</t>
  </si>
  <si>
    <t xml:space="preserve">Monitoring Configuration Management Performance</t>
  </si>
  <si>
    <t xml:space="preserve">FS-017</t>
  </si>
  <si>
    <t xml:space="preserve">FS-018</t>
  </si>
  <si>
    <t xml:space="preserve">3.1.2</t>
  </si>
  <si>
    <t xml:space="preserve">Supplier's Configuration Management Plan</t>
  </si>
  <si>
    <t xml:space="preserve">FS-019</t>
  </si>
  <si>
    <t xml:space="preserve">3.1.3</t>
  </si>
  <si>
    <t xml:space="preserve">Technical Reviews</t>
  </si>
  <si>
    <t xml:space="preserve">FS-020</t>
  </si>
  <si>
    <t xml:space="preserve">3.1.4</t>
  </si>
  <si>
    <t xml:space="preserve">Product Configuration Documentation Processes</t>
  </si>
  <si>
    <t xml:space="preserve">FS-021</t>
  </si>
  <si>
    <t xml:space="preserve">FS-022</t>
  </si>
  <si>
    <t xml:space="preserve">3.2 Configuration Identification</t>
  </si>
  <si>
    <t xml:space="preserve">3.2</t>
  </si>
  <si>
    <t xml:space="preserve">Configuration Identification</t>
  </si>
  <si>
    <t xml:space="preserve">2. Configuration Identification</t>
  </si>
  <si>
    <t xml:space="preserve">FS-023</t>
  </si>
  <si>
    <t xml:space="preserve">(2)(a)</t>
  </si>
  <si>
    <t xml:space="preserve">FS-024</t>
  </si>
  <si>
    <t xml:space="preserve">(2)(b)</t>
  </si>
  <si>
    <t xml:space="preserve">FS-025</t>
  </si>
  <si>
    <t xml:space="preserve">(2)(c)</t>
  </si>
  <si>
    <t xml:space="preserve">FS-026</t>
  </si>
  <si>
    <t xml:space="preserve">(2)(d)</t>
  </si>
  <si>
    <t xml:space="preserve">FS-027</t>
  </si>
  <si>
    <t xml:space="preserve">(2)(e)</t>
  </si>
  <si>
    <t xml:space="preserve">FS-028</t>
  </si>
  <si>
    <t xml:space="preserve">(2)(f)</t>
  </si>
  <si>
    <t xml:space="preserve">FS-029</t>
  </si>
  <si>
    <t xml:space="preserve">(2)(g)</t>
  </si>
  <si>
    <t xml:space="preserve">FS-030</t>
  </si>
  <si>
    <t xml:space="preserve">(2)(h)</t>
  </si>
  <si>
    <t xml:space="preserve">FS-031</t>
  </si>
  <si>
    <t xml:space="preserve">(2)(i)</t>
  </si>
  <si>
    <t xml:space="preserve">FS-032</t>
  </si>
  <si>
    <t xml:space="preserve">(2)(j)</t>
  </si>
  <si>
    <t xml:space="preserve">FS-033</t>
  </si>
  <si>
    <t xml:space="preserve">(2)(k)</t>
  </si>
  <si>
    <t xml:space="preserve">FS-034</t>
  </si>
  <si>
    <t xml:space="preserve">(3)(a)</t>
  </si>
  <si>
    <t xml:space="preserve">FS-035</t>
  </si>
  <si>
    <t xml:space="preserve">(3)(b)</t>
  </si>
  <si>
    <t xml:space="preserve">FS-036</t>
  </si>
  <si>
    <t xml:space="preserve">(3)(c)</t>
  </si>
  <si>
    <t xml:space="preserve">FS-037</t>
  </si>
  <si>
    <t xml:space="preserve">(3)(d)</t>
  </si>
  <si>
    <t xml:space="preserve">FS-038</t>
  </si>
  <si>
    <t xml:space="preserve">3.2.1</t>
  </si>
  <si>
    <t xml:space="preserve">Configuration Item Selection</t>
  </si>
  <si>
    <t xml:space="preserve">FS-039</t>
  </si>
  <si>
    <t xml:space="preserve">FS-040</t>
  </si>
  <si>
    <t xml:space="preserve">FS-041</t>
  </si>
  <si>
    <t xml:space="preserve">FS-042</t>
  </si>
  <si>
    <t xml:space="preserve">FS-043</t>
  </si>
  <si>
    <t xml:space="preserve">FS-044</t>
  </si>
  <si>
    <t xml:space="preserve">FS-045</t>
  </si>
  <si>
    <t xml:space="preserve">FS-046</t>
  </si>
  <si>
    <t xml:space="preserve">3.2.2</t>
  </si>
  <si>
    <t xml:space="preserve">Engineering Release System</t>
  </si>
  <si>
    <t xml:space="preserve">FS-047</t>
  </si>
  <si>
    <t xml:space="preserve">FS-048</t>
  </si>
  <si>
    <t xml:space="preserve">FS-049</t>
  </si>
  <si>
    <t xml:space="preserve">FS-050</t>
  </si>
  <si>
    <t xml:space="preserve">(5)</t>
  </si>
  <si>
    <t xml:space="preserve">FS-051</t>
  </si>
  <si>
    <t xml:space="preserve">3.2.3.1</t>
  </si>
  <si>
    <t xml:space="preserve">Configuration Baselines and Their Configuration Documentation</t>
  </si>
  <si>
    <t xml:space="preserve">FS-052</t>
  </si>
  <si>
    <t xml:space="preserve">FS-053</t>
  </si>
  <si>
    <t xml:space="preserve">3.2.3.2</t>
  </si>
  <si>
    <t xml:space="preserve">Functional Configuration Documentation (FCD)</t>
  </si>
  <si>
    <t xml:space="preserve">FS-054</t>
  </si>
  <si>
    <t xml:space="preserve">FS-055</t>
  </si>
  <si>
    <t xml:space="preserve">FS-056</t>
  </si>
  <si>
    <t xml:space="preserve">3.2.3.2.1</t>
  </si>
  <si>
    <t xml:space="preserve">Allocated Configuration Documentation (ACD)</t>
  </si>
  <si>
    <t xml:space="preserve">FS-057</t>
  </si>
  <si>
    <t xml:space="preserve">FS-058</t>
  </si>
  <si>
    <t xml:space="preserve">FS-059</t>
  </si>
  <si>
    <t xml:space="preserve">3.2.3.2.2</t>
  </si>
  <si>
    <t xml:space="preserve">Product Configuration Documentation (PCD)</t>
  </si>
  <si>
    <t xml:space="preserve">FS-060</t>
  </si>
  <si>
    <t xml:space="preserve">FS-061</t>
  </si>
  <si>
    <t xml:space="preserve">FS-062</t>
  </si>
  <si>
    <t xml:space="preserve">FS-063</t>
  </si>
  <si>
    <t xml:space="preserve">FS-064</t>
  </si>
  <si>
    <t xml:space="preserve">FS-065</t>
  </si>
  <si>
    <t xml:space="preserve">FS-066</t>
  </si>
  <si>
    <t xml:space="preserve">FS-067</t>
  </si>
  <si>
    <t xml:space="preserve">FS-068</t>
  </si>
  <si>
    <t xml:space="preserve">FS-069</t>
  </si>
  <si>
    <t xml:space="preserve">3.2.3.3</t>
  </si>
  <si>
    <t xml:space="preserve">Maintenance of Product Configuration Documentation</t>
  </si>
  <si>
    <t xml:space="preserve">FS-070</t>
  </si>
  <si>
    <t xml:space="preserve">3.2.4</t>
  </si>
  <si>
    <t xml:space="preserve">Configuration Identifiers</t>
  </si>
  <si>
    <t xml:space="preserve">FS-071</t>
  </si>
  <si>
    <t xml:space="preserve">FS-072</t>
  </si>
  <si>
    <t xml:space="preserve">FS-073</t>
  </si>
  <si>
    <t xml:space="preserve">FS-074</t>
  </si>
  <si>
    <t xml:space="preserve">3.2.4.1</t>
  </si>
  <si>
    <t xml:space="preserve">Product Identification / Marking</t>
  </si>
  <si>
    <t xml:space="preserve">FS-075</t>
  </si>
  <si>
    <t xml:space="preserve">FS-076</t>
  </si>
  <si>
    <t xml:space="preserve">FS-077</t>
  </si>
  <si>
    <t xml:space="preserve">FS-078</t>
  </si>
  <si>
    <t xml:space="preserve">3.2.4.2</t>
  </si>
  <si>
    <t xml:space="preserve">Software Marking and Labeling</t>
  </si>
  <si>
    <t xml:space="preserve">FS-079</t>
  </si>
  <si>
    <t xml:space="preserve">FS-080</t>
  </si>
  <si>
    <t xml:space="preserve">FS-081</t>
  </si>
  <si>
    <t xml:space="preserve">FS-082</t>
  </si>
  <si>
    <t xml:space="preserve">FS-083</t>
  </si>
  <si>
    <t xml:space="preserve">3.2.5.1</t>
  </si>
  <si>
    <t xml:space="preserve">Interface Identification</t>
  </si>
  <si>
    <t xml:space="preserve">FS-084</t>
  </si>
  <si>
    <t xml:space="preserve">FS-085</t>
  </si>
  <si>
    <t xml:space="preserve">FS-086</t>
  </si>
  <si>
    <t xml:space="preserve">FS-087</t>
  </si>
  <si>
    <t xml:space="preserve">3.2.5.2</t>
  </si>
  <si>
    <t xml:space="preserve">Interface Control Working Group (ICWG) Membership</t>
  </si>
  <si>
    <t xml:space="preserve">FS-088</t>
  </si>
  <si>
    <t xml:space="preserve">FS-089</t>
  </si>
  <si>
    <t xml:space="preserve">FS-090</t>
  </si>
  <si>
    <t xml:space="preserve">FS-091</t>
  </si>
  <si>
    <t xml:space="preserve">FS-092</t>
  </si>
  <si>
    <t xml:space="preserve">3.3 Configuration Change Management</t>
  </si>
  <si>
    <t xml:space="preserve">3.3</t>
  </si>
  <si>
    <t xml:space="preserve">Configuration Change Management</t>
  </si>
  <si>
    <t xml:space="preserve">3. Change and Variance Management</t>
  </si>
  <si>
    <t xml:space="preserve">FS-093</t>
  </si>
  <si>
    <t xml:space="preserve">FS-094</t>
  </si>
  <si>
    <t xml:space="preserve">FS-095</t>
  </si>
  <si>
    <t xml:space="preserve">FS-096</t>
  </si>
  <si>
    <t xml:space="preserve">FS-097</t>
  </si>
  <si>
    <t xml:space="preserve">FS-098</t>
  </si>
  <si>
    <t xml:space="preserve">FS-099</t>
  </si>
  <si>
    <t xml:space="preserve">FS-100</t>
  </si>
  <si>
    <t xml:space="preserve">FS-101</t>
  </si>
  <si>
    <t xml:space="preserve">3.3.1</t>
  </si>
  <si>
    <t xml:space="preserve">Engineering Change Proposal (ECP)</t>
  </si>
  <si>
    <t xml:space="preserve">FS-102</t>
  </si>
  <si>
    <t xml:space="preserve">3.3.1.1</t>
  </si>
  <si>
    <t xml:space="preserve">Engineering Change Process</t>
  </si>
  <si>
    <t xml:space="preserve">FS-103</t>
  </si>
  <si>
    <t xml:space="preserve">FS-104</t>
  </si>
  <si>
    <t xml:space="preserve">FS-105</t>
  </si>
  <si>
    <t xml:space="preserve">FS-106</t>
  </si>
  <si>
    <t xml:space="preserve">FS-107</t>
  </si>
  <si>
    <t xml:space="preserve">FS-108</t>
  </si>
  <si>
    <t xml:space="preserve">FS-109</t>
  </si>
  <si>
    <t xml:space="preserve">FS-110</t>
  </si>
  <si>
    <t xml:space="preserve">FS-111</t>
  </si>
  <si>
    <t xml:space="preserve">FS-112</t>
  </si>
  <si>
    <t xml:space="preserve">FS-113</t>
  </si>
  <si>
    <t xml:space="preserve">(1)(l)</t>
  </si>
  <si>
    <t xml:space="preserve">FS-114</t>
  </si>
  <si>
    <t xml:space="preserve">3.3.1.2</t>
  </si>
  <si>
    <t xml:space="preserve">Classification and Authority of ECP</t>
  </si>
  <si>
    <t xml:space="preserve">FS-115</t>
  </si>
  <si>
    <t xml:space="preserve">FS-116</t>
  </si>
  <si>
    <t xml:space="preserve">FS-117</t>
  </si>
  <si>
    <t xml:space="preserve">FS-118</t>
  </si>
  <si>
    <t xml:space="preserve">FS-119</t>
  </si>
  <si>
    <t xml:space="preserve">FS-120</t>
  </si>
  <si>
    <t xml:space="preserve">FS-121</t>
  </si>
  <si>
    <t xml:space="preserve">FS-122</t>
  </si>
  <si>
    <t xml:space="preserve">FS-123</t>
  </si>
  <si>
    <t xml:space="preserve">FS-124</t>
  </si>
  <si>
    <t xml:space="preserve">FS-125</t>
  </si>
  <si>
    <t xml:space="preserve">(2)(l)</t>
  </si>
  <si>
    <t xml:space="preserve">FS-126</t>
  </si>
  <si>
    <t xml:space="preserve">(2)(m)</t>
  </si>
  <si>
    <t xml:space="preserve">FS-127</t>
  </si>
  <si>
    <t xml:space="preserve">(2)(n)</t>
  </si>
  <si>
    <t xml:space="preserve">FS-128</t>
  </si>
  <si>
    <t xml:space="preserve">(2)(o)</t>
  </si>
  <si>
    <t xml:space="preserve">FS-129</t>
  </si>
  <si>
    <t xml:space="preserve">(2)(p)</t>
  </si>
  <si>
    <t xml:space="preserve">FS-130</t>
  </si>
  <si>
    <t xml:space="preserve">(2)(q)</t>
  </si>
  <si>
    <t xml:space="preserve">FS-131</t>
  </si>
  <si>
    <t xml:space="preserve">(2)(r)</t>
  </si>
  <si>
    <t xml:space="preserve">FS-132</t>
  </si>
  <si>
    <t xml:space="preserve">(2)(s)</t>
  </si>
  <si>
    <t xml:space="preserve">FS-133</t>
  </si>
  <si>
    <t xml:space="preserve">(2)(t)</t>
  </si>
  <si>
    <t xml:space="preserve">FS-134</t>
  </si>
  <si>
    <t xml:space="preserve">(2)(u)</t>
  </si>
  <si>
    <t xml:space="preserve">FS-135</t>
  </si>
  <si>
    <t xml:space="preserve">(2)(v)</t>
  </si>
  <si>
    <t xml:space="preserve">FS-136</t>
  </si>
  <si>
    <t xml:space="preserve">(2)(w)</t>
  </si>
  <si>
    <t xml:space="preserve">FS-137</t>
  </si>
  <si>
    <t xml:space="preserve">(2)(x)</t>
  </si>
  <si>
    <t xml:space="preserve">FS-138</t>
  </si>
  <si>
    <t xml:space="preserve">(2)(y)</t>
  </si>
  <si>
    <t xml:space="preserve">FS-139</t>
  </si>
  <si>
    <t xml:space="preserve">(2)(z)</t>
  </si>
  <si>
    <t xml:space="preserve">FS-140</t>
  </si>
  <si>
    <t xml:space="preserve">(2)(aa)</t>
  </si>
  <si>
    <t xml:space="preserve">FS-141</t>
  </si>
  <si>
    <t xml:space="preserve">(2)(bb)</t>
  </si>
  <si>
    <t xml:space="preserve">FS-142</t>
  </si>
  <si>
    <t xml:space="preserve">(2)(cc)</t>
  </si>
  <si>
    <t xml:space="preserve">FS-143</t>
  </si>
  <si>
    <t xml:space="preserve">(2)(dd)</t>
  </si>
  <si>
    <t xml:space="preserve">FS-144</t>
  </si>
  <si>
    <t xml:space="preserve">(2)(ee)</t>
  </si>
  <si>
    <t xml:space="preserve">FS-145</t>
  </si>
  <si>
    <t xml:space="preserve">(2)(ff)</t>
  </si>
  <si>
    <t xml:space="preserve">FS-146</t>
  </si>
  <si>
    <t xml:space="preserve">(2)(e)(1)</t>
  </si>
  <si>
    <t xml:space="preserve">FS-147</t>
  </si>
  <si>
    <t xml:space="preserve">(2)(e)(2)</t>
  </si>
  <si>
    <t xml:space="preserve">FS-148</t>
  </si>
  <si>
    <t xml:space="preserve">(2)(e)(3)</t>
  </si>
  <si>
    <t xml:space="preserve">FS-149</t>
  </si>
  <si>
    <t xml:space="preserve">(2)(e)(4)</t>
  </si>
  <si>
    <t xml:space="preserve">FS-150</t>
  </si>
  <si>
    <t xml:space="preserve">(2)(e)(5)</t>
  </si>
  <si>
    <t xml:space="preserve">FS-151</t>
  </si>
  <si>
    <t xml:space="preserve">(2)(e)(6)(a)</t>
  </si>
  <si>
    <t xml:space="preserve">FS-152</t>
  </si>
  <si>
    <t xml:space="preserve">(2)(e)(6)(b)</t>
  </si>
  <si>
    <t xml:space="preserve">FS-153</t>
  </si>
  <si>
    <t xml:space="preserve">(2)(e)(6)(c)</t>
  </si>
  <si>
    <t xml:space="preserve">FS-154</t>
  </si>
  <si>
    <t xml:space="preserve">(2)(e)(6)(d)</t>
  </si>
  <si>
    <t xml:space="preserve">FS-155</t>
  </si>
  <si>
    <t xml:space="preserve">(2)(e)(6)(e)</t>
  </si>
  <si>
    <t xml:space="preserve">FS-156</t>
  </si>
  <si>
    <t xml:space="preserve">(2)(e)(6)(f)</t>
  </si>
  <si>
    <t xml:space="preserve">FS-157</t>
  </si>
  <si>
    <t xml:space="preserve">(2)(e)(6)(g)</t>
  </si>
  <si>
    <t xml:space="preserve">FS-158</t>
  </si>
  <si>
    <t xml:space="preserve">FS-159</t>
  </si>
  <si>
    <t xml:space="preserve">FS-160</t>
  </si>
  <si>
    <t xml:space="preserve">3.3.1.3</t>
  </si>
  <si>
    <t xml:space="preserve">ECP Format</t>
  </si>
  <si>
    <t xml:space="preserve">FS-161</t>
  </si>
  <si>
    <t xml:space="preserve">FS-162</t>
  </si>
  <si>
    <t xml:space="preserve">3.3.1.4</t>
  </si>
  <si>
    <t xml:space="preserve">Supporting Data</t>
  </si>
  <si>
    <t xml:space="preserve">FS-163</t>
  </si>
  <si>
    <t xml:space="preserve">FS-164</t>
  </si>
  <si>
    <t xml:space="preserve">FS-165</t>
  </si>
  <si>
    <t xml:space="preserve">FS-166</t>
  </si>
  <si>
    <t xml:space="preserve">3.3.1.6</t>
  </si>
  <si>
    <t xml:space="preserve">Engineering Change Priorities</t>
  </si>
  <si>
    <t xml:space="preserve">FS-167</t>
  </si>
  <si>
    <t xml:space="preserve">3.3.1.7.1</t>
  </si>
  <si>
    <t xml:space="preserve">Related Engineering Changes - Single Prime, Single Procuring Activity</t>
  </si>
  <si>
    <t xml:space="preserve">FS-168</t>
  </si>
  <si>
    <t xml:space="preserve">3.3.1.7.2</t>
  </si>
  <si>
    <t xml:space="preserve">Related Engineering Changes - Single Prime, Multiple Procuring Activities</t>
  </si>
  <si>
    <t xml:space="preserve">FS-169</t>
  </si>
  <si>
    <t xml:space="preserve">FS-170</t>
  </si>
  <si>
    <t xml:space="preserve">3.3.1.7.3</t>
  </si>
  <si>
    <t xml:space="preserve">Related Engineering Changes - Separate Primes</t>
  </si>
  <si>
    <t xml:space="preserve">FS-171</t>
  </si>
  <si>
    <t xml:space="preserve">FS-172</t>
  </si>
  <si>
    <t xml:space="preserve">FS-173</t>
  </si>
  <si>
    <t xml:space="preserve">FS-174</t>
  </si>
  <si>
    <t xml:space="preserve">3.3.1.8</t>
  </si>
  <si>
    <t xml:space="preserve">Minor (Class II) ECP</t>
  </si>
  <si>
    <t xml:space="preserve">FS-175</t>
  </si>
  <si>
    <t xml:space="preserve">3.3.1.8.1</t>
  </si>
  <si>
    <t xml:space="preserve">Concurrence of Classification</t>
  </si>
  <si>
    <t xml:space="preserve">FS-176</t>
  </si>
  <si>
    <t xml:space="preserve">FS-177</t>
  </si>
  <si>
    <t xml:space="preserve">FS-178</t>
  </si>
  <si>
    <t xml:space="preserve">3.3.1.8.2</t>
  </si>
  <si>
    <t xml:space="preserve">Approval of Minor (Class II) Changes</t>
  </si>
  <si>
    <t xml:space="preserve">FS-179</t>
  </si>
  <si>
    <t xml:space="preserve">3.3.2</t>
  </si>
  <si>
    <t xml:space="preserve">Requests for Variance (RFV)</t>
  </si>
  <si>
    <t xml:space="preserve">FS-180</t>
  </si>
  <si>
    <t xml:space="preserve">FS-181</t>
  </si>
  <si>
    <t xml:space="preserve">FS-182</t>
  </si>
  <si>
    <t xml:space="preserve">FS-183</t>
  </si>
  <si>
    <t xml:space="preserve">(4)(a)</t>
  </si>
  <si>
    <t xml:space="preserve">FS-184</t>
  </si>
  <si>
    <t xml:space="preserve">(4)(b)</t>
  </si>
  <si>
    <t xml:space="preserve">FS-185</t>
  </si>
  <si>
    <t xml:space="preserve">(4)(c)</t>
  </si>
  <si>
    <t xml:space="preserve">FS-186</t>
  </si>
  <si>
    <t xml:space="preserve">(4)(d)</t>
  </si>
  <si>
    <t xml:space="preserve">FS-187</t>
  </si>
  <si>
    <t xml:space="preserve">FS-188</t>
  </si>
  <si>
    <t xml:space="preserve">3.3.2.1</t>
  </si>
  <si>
    <t xml:space="preserve">Recurring Variances</t>
  </si>
  <si>
    <t xml:space="preserve">FS-189</t>
  </si>
  <si>
    <t xml:space="preserve">FS-190</t>
  </si>
  <si>
    <t xml:space="preserve">3.3.2.2</t>
  </si>
  <si>
    <t xml:space="preserve">Classification of Variances</t>
  </si>
  <si>
    <t xml:space="preserve">FS-191</t>
  </si>
  <si>
    <t xml:space="preserve">FS-192</t>
  </si>
  <si>
    <t xml:space="preserve">FS-193</t>
  </si>
  <si>
    <t xml:space="preserve">FS-194</t>
  </si>
  <si>
    <t xml:space="preserve">FS-195</t>
  </si>
  <si>
    <t xml:space="preserve">3.3.2.3</t>
  </si>
  <si>
    <t xml:space="preserve">RFV Decisions</t>
  </si>
  <si>
    <t xml:space="preserve">FS-196</t>
  </si>
  <si>
    <t xml:space="preserve">FS-197</t>
  </si>
  <si>
    <t xml:space="preserve">3.3.2.4</t>
  </si>
  <si>
    <t xml:space="preserve">Minor RFVs</t>
  </si>
  <si>
    <t xml:space="preserve">FS-198</t>
  </si>
  <si>
    <t xml:space="preserve">3.3.3</t>
  </si>
  <si>
    <t xml:space="preserve">Specification Change Notice (SCN)</t>
  </si>
  <si>
    <t xml:space="preserve">FS-199</t>
  </si>
  <si>
    <t xml:space="preserve">FS-200</t>
  </si>
  <si>
    <t xml:space="preserve">3.3.4</t>
  </si>
  <si>
    <t xml:space="preserve">Notices of Revision (NORs)</t>
  </si>
  <si>
    <t xml:space="preserve">FS-201</t>
  </si>
  <si>
    <t xml:space="preserve">FS-202</t>
  </si>
  <si>
    <t xml:space="preserve">3.4 Configuration Status Accounting</t>
  </si>
  <si>
    <t xml:space="preserve">3.4</t>
  </si>
  <si>
    <t xml:space="preserve">Configuration Status Accounting (CSA)</t>
  </si>
  <si>
    <t xml:space="preserve">4. CSA and Verification</t>
  </si>
  <si>
    <t xml:space="preserve">FS-203</t>
  </si>
  <si>
    <t xml:space="preserve">FS-204</t>
  </si>
  <si>
    <t xml:space="preserve">3.4.1</t>
  </si>
  <si>
    <t xml:space="preserve">Supplier CSA System</t>
  </si>
  <si>
    <t xml:space="preserve">FS-205</t>
  </si>
  <si>
    <t xml:space="preserve">FS-206</t>
  </si>
  <si>
    <t xml:space="preserve">FS-207</t>
  </si>
  <si>
    <t xml:space="preserve">FS-208</t>
  </si>
  <si>
    <t xml:space="preserve">FS-209</t>
  </si>
  <si>
    <t xml:space="preserve">FS-210</t>
  </si>
  <si>
    <t xml:space="preserve">(3)(e)</t>
  </si>
  <si>
    <t xml:space="preserve">FS-211</t>
  </si>
  <si>
    <t xml:space="preserve">(3)(f)</t>
  </si>
  <si>
    <t xml:space="preserve">FS-212</t>
  </si>
  <si>
    <t xml:space="preserve">(3)(g)</t>
  </si>
  <si>
    <t xml:space="preserve">FS-213</t>
  </si>
  <si>
    <t xml:space="preserve">(3)(h)</t>
  </si>
  <si>
    <t xml:space="preserve">FS-214</t>
  </si>
  <si>
    <t xml:space="preserve">(3)(i)</t>
  </si>
  <si>
    <t xml:space="preserve">FS-215</t>
  </si>
  <si>
    <t xml:space="preserve">(3)(j)</t>
  </si>
  <si>
    <t xml:space="preserve">FS-216</t>
  </si>
  <si>
    <t xml:space="preserve">FS-217</t>
  </si>
  <si>
    <t xml:space="preserve">FS-218</t>
  </si>
  <si>
    <t xml:space="preserve">FS-219</t>
  </si>
  <si>
    <t xml:space="preserve">FS-220</t>
  </si>
  <si>
    <t xml:space="preserve">(6)</t>
  </si>
  <si>
    <t xml:space="preserve">FS-221</t>
  </si>
  <si>
    <t xml:space="preserve">3.4.2</t>
  </si>
  <si>
    <t xml:space="preserve">CSA Analysis Requirements</t>
  </si>
  <si>
    <t xml:space="preserve">FS-222</t>
  </si>
  <si>
    <t xml:space="preserve">3.5 Configuration Verification and Audits</t>
  </si>
  <si>
    <t xml:space="preserve">3.5.1</t>
  </si>
  <si>
    <t xml:space="preserve">Common Supplier Audit Responsibilities</t>
  </si>
  <si>
    <t xml:space="preserve">FS-223</t>
  </si>
  <si>
    <t xml:space="preserve">FS-224</t>
  </si>
  <si>
    <t xml:space="preserve">FS-225</t>
  </si>
  <si>
    <t xml:space="preserve">FS-226</t>
  </si>
  <si>
    <t xml:space="preserve">FS-227</t>
  </si>
  <si>
    <t xml:space="preserve">FS-228</t>
  </si>
  <si>
    <t xml:space="preserve">FS-229</t>
  </si>
  <si>
    <t xml:space="preserve">FS-230</t>
  </si>
  <si>
    <t xml:space="preserve">FS-231</t>
  </si>
  <si>
    <t xml:space="preserve">FS-232</t>
  </si>
  <si>
    <t xml:space="preserve">FS-233</t>
  </si>
  <si>
    <t xml:space="preserve">FS-234</t>
  </si>
  <si>
    <t xml:space="preserve">(1)(m)</t>
  </si>
  <si>
    <t xml:space="preserve">FS-235</t>
  </si>
  <si>
    <t xml:space="preserve">(1)(n)</t>
  </si>
  <si>
    <t xml:space="preserve">FS-236</t>
  </si>
  <si>
    <t xml:space="preserve">FS-237</t>
  </si>
  <si>
    <t xml:space="preserve">FS-238</t>
  </si>
  <si>
    <t xml:space="preserve">3.5.2</t>
  </si>
  <si>
    <t xml:space="preserve">Functional Configuration Audit (FCA)</t>
  </si>
  <si>
    <t xml:space="preserve">FS-239</t>
  </si>
  <si>
    <t xml:space="preserve">FS-240</t>
  </si>
  <si>
    <t xml:space="preserve">FS-241</t>
  </si>
  <si>
    <t xml:space="preserve">FS-242</t>
  </si>
  <si>
    <t xml:space="preserve">FS-243</t>
  </si>
  <si>
    <t xml:space="preserve">3.5.2.1</t>
  </si>
  <si>
    <t xml:space="preserve">Supplier FCA Responsibilities</t>
  </si>
  <si>
    <t xml:space="preserve">FS-244</t>
  </si>
  <si>
    <t xml:space="preserve">FS-245</t>
  </si>
  <si>
    <t xml:space="preserve">FS-246</t>
  </si>
  <si>
    <t xml:space="preserve">FS-247</t>
  </si>
  <si>
    <t xml:space="preserve">FS-248</t>
  </si>
  <si>
    <t xml:space="preserve">FS-249</t>
  </si>
  <si>
    <t xml:space="preserve">FS-250</t>
  </si>
  <si>
    <t xml:space="preserve">FS-251</t>
  </si>
  <si>
    <t xml:space="preserve">FS-252</t>
  </si>
  <si>
    <t xml:space="preserve">FS-253</t>
  </si>
  <si>
    <t xml:space="preserve">FS-254</t>
  </si>
  <si>
    <t xml:space="preserve">FS-255</t>
  </si>
  <si>
    <t xml:space="preserve">FS-256</t>
  </si>
  <si>
    <t xml:space="preserve">FS-257</t>
  </si>
  <si>
    <t xml:space="preserve">3.5.3</t>
  </si>
  <si>
    <t xml:space="preserve">Physical Configuration Audit (PCA)</t>
  </si>
  <si>
    <t xml:space="preserve">FS-258</t>
  </si>
  <si>
    <t xml:space="preserve">FS-259</t>
  </si>
  <si>
    <t xml:space="preserve">FS-260</t>
  </si>
  <si>
    <t xml:space="preserve">FS-261</t>
  </si>
  <si>
    <t xml:space="preserve">FS-262</t>
  </si>
  <si>
    <t xml:space="preserve">FS-263</t>
  </si>
  <si>
    <t xml:space="preserve">3.5.3.1</t>
  </si>
  <si>
    <t xml:space="preserve">Supplier PCA Responsibilities</t>
  </si>
  <si>
    <t xml:space="preserve">FS-264</t>
  </si>
  <si>
    <t xml:space="preserve">FS-265</t>
  </si>
  <si>
    <t xml:space="preserve">FS-266</t>
  </si>
  <si>
    <t xml:space="preserve">FS-267</t>
  </si>
  <si>
    <t xml:space="preserve">FS-268</t>
  </si>
  <si>
    <t xml:space="preserve">FS-269</t>
  </si>
  <si>
    <t xml:space="preserve">FS-270</t>
  </si>
  <si>
    <t xml:space="preserve">FS-271</t>
  </si>
  <si>
    <t xml:space="preserve">3.5.4</t>
  </si>
  <si>
    <t xml:space="preserve">Post-Audit Action</t>
  </si>
  <si>
    <t xml:space="preserve">FS-272</t>
  </si>
  <si>
    <t xml:space="preserve">3.5.5</t>
  </si>
  <si>
    <t xml:space="preserve">Configuration Audit Summary</t>
  </si>
  <si>
    <t xml:space="preserve">FS-273</t>
  </si>
  <si>
    <t xml:space="preserve">FS-274</t>
  </si>
  <si>
    <t xml:space="preserve">Evidence Pulls</t>
  </si>
  <si>
    <t xml:space="preserve">ONE ROW PER SET OF RECORDS. A pull is WHERE YOU LOOKED, not what you found. If a document is required to cover something and does not, the pull is still that document and the register row still carries the Pull ID. Leaving it blank makes a real finding look like unfinished work.</t>
  </si>
  <si>
    <t xml:space="preserve">Rows 6 to 55 are seeded starter pulls, one set per TDR group. Split, rename or delete them freely. Keep the EP-&lt;group&gt;-&lt;short&gt; prefix so four groups working in parallel do not collide. Add new pulls below the seeds. Sample size and conforming are needed only where column T reads Full.</t>
  </si>
  <si>
    <t xml:space="preserve">Named Executor(s) - semicolon separated</t>
  </si>
  <si>
    <t xml:space="preserve">Sample Basis (population and period)</t>
  </si>
  <si>
    <t xml:space="preserve">Record Sample Size (Transactional / Event only)</t>
  </si>
  <si>
    <t xml:space="preserve">Records Conforming (Transactional / Event only)</t>
  </si>
  <si>
    <t xml:space="preserve">Assessor (name / date)</t>
  </si>
  <si>
    <t xml:space="preserve">(auto) What sample is required</t>
  </si>
  <si>
    <t xml:space="preserve">(auto) Record conformance %</t>
  </si>
  <si>
    <t xml:space="preserve">(auto) Requirements covered</t>
  </si>
  <si>
    <t xml:space="preserve">(auto) Requirements met</t>
  </si>
  <si>
    <t xml:space="preserve">(auto) Requirement coverage %</t>
  </si>
  <si>
    <t xml:space="preserve">(auto) Rows not yet graded</t>
  </si>
  <si>
    <t xml:space="preserve">(auto) Sample needed?</t>
  </si>
  <si>
    <t xml:space="preserve">(auto) Flag</t>
  </si>
  <si>
    <t xml:space="preserve">EP-1-CMPROC</t>
  </si>
  <si>
    <t xml:space="preserve">CM process control over all configuration documentation, 3.(1) and 3.(3)</t>
  </si>
  <si>
    <t xml:space="preserve">EP-1-CMP</t>
  </si>
  <si>
    <t xml:space="preserve">CM Plan content and Acquirer approval, 3.1(1)(a) to (k) and 3.1.2</t>
  </si>
  <si>
    <t xml:space="preserve">EP-1-PERF</t>
  </si>
  <si>
    <t xml:space="preserve">CM performance metric generation and reporting to the Acquirer, 3.1.1</t>
  </si>
  <si>
    <t xml:space="preserve">EP-1-REVIEW</t>
  </si>
  <si>
    <t xml:space="preserve">Configuration documentation supporting each technical review, 3.1.3</t>
  </si>
  <si>
    <t xml:space="preserve">EP-1-DATAMGT</t>
  </si>
  <si>
    <t xml:space="preserve">Product configuration documentation handling, retention, security, 3.1.4</t>
  </si>
  <si>
    <t xml:space="preserve">EP-1-FLOWDOWN</t>
  </si>
  <si>
    <t xml:space="preserve">Sub-supplier CM requirement flowdown, 3.(2)</t>
  </si>
  <si>
    <t xml:space="preserve">EP-1-AUDITSUP</t>
  </si>
  <si>
    <t xml:space="preserve">Acquirer audit support records, 3.(4)</t>
  </si>
  <si>
    <t xml:space="preserve">EP-2-CISEL</t>
  </si>
  <si>
    <t xml:space="preserve">CI selection criteria and Acquirer concurrence, 3.2.1</t>
  </si>
  <si>
    <t xml:space="preserve">EP-2-CISTRUCT</t>
  </si>
  <si>
    <t xml:space="preserve">CI structure, hierarchy and documentation selection, 3.2(2)(b) and (c)</t>
  </si>
  <si>
    <t xml:space="preserve">EP-2-RELEASE</t>
  </si>
  <si>
    <t xml:space="preserve">Engineering release system and release records, 3.2.2</t>
  </si>
  <si>
    <t xml:space="preserve">EP-2-FBL</t>
  </si>
  <si>
    <t xml:space="preserve">Functional baseline and FCD content, 3.2.3.2</t>
  </si>
  <si>
    <t xml:space="preserve">EP-2-ABL</t>
  </si>
  <si>
    <t xml:space="preserve">Allocated baseline and ACD content, 3.2.3.2.1</t>
  </si>
  <si>
    <t xml:space="preserve">EP-2-PBL</t>
  </si>
  <si>
    <t xml:space="preserve">Product baseline and PCD content, 3.2.3.2.2</t>
  </si>
  <si>
    <t xml:space="preserve">EP-2-BLTRACE</t>
  </si>
  <si>
    <t xml:space="preserve">Baseline generation and traceability between baselines, 3.2.3.1</t>
  </si>
  <si>
    <t xml:space="preserve">EP-2-DOCREV</t>
  </si>
  <si>
    <t xml:space="preserve">Documentation revision after change approval, 3.2.3.3</t>
  </si>
  <si>
    <t xml:space="preserve">EP-2-IDENT</t>
  </si>
  <si>
    <t xml:space="preserve">Identifier assignment: PN, PIN, CAGE, document identifiers, 3.2.4 and 3.2(2)(e) to (g)</t>
  </si>
  <si>
    <t xml:space="preserve">EP-2-MARK</t>
  </si>
  <si>
    <t xml:space="preserve">Product marking, serialization and IUID registry checks, 3.2.4.1</t>
  </si>
  <si>
    <t xml:space="preserve">EP-2-SWID</t>
  </si>
  <si>
    <t xml:space="preserve">Software identification, marking and labeling, 3.2(3) and 3.2.4.2</t>
  </si>
  <si>
    <t xml:space="preserve">EP-2-ICD</t>
  </si>
  <si>
    <t xml:space="preserve">Interface identification and interface control documentation, 3.2.5.1</t>
  </si>
  <si>
    <t xml:space="preserve">EP-2-ICWG</t>
  </si>
  <si>
    <t xml:space="preserve">ICWG participation and membership duties, 3.2.5.2</t>
  </si>
  <si>
    <t xml:space="preserve">EP-2-NOMEN</t>
  </si>
  <si>
    <t xml:space="preserve">Type designation and nomenclature approval, 3.2(2)(k)</t>
  </si>
  <si>
    <t xml:space="preserve">EP-3-CHGCTRL</t>
  </si>
  <si>
    <t xml:space="preserve">General change control over CIs and their documentation, 3.3(1) and 3.3(2)</t>
  </si>
  <si>
    <t xml:space="preserve">EP-3-CCB</t>
  </si>
  <si>
    <t xml:space="preserve">CCB operation and joint Acquirer/Supplier board support, 3.3(3)</t>
  </si>
  <si>
    <t xml:space="preserve">EP-3-ECPPROC</t>
  </si>
  <si>
    <t xml:space="preserve">ECP preparation process steps, 3.3.1 and 3.3.1.1</t>
  </si>
  <si>
    <t xml:space="preserve">EP-3-ECPCLASS</t>
  </si>
  <si>
    <t xml:space="preserve">Change classification rationale against the Major-change criteria, 3.3.1.2</t>
  </si>
  <si>
    <t xml:space="preserve">EP-3-ECPFORM</t>
  </si>
  <si>
    <t xml:space="preserve">ECP format and DD 1692 information content, 3.3.1.3</t>
  </si>
  <si>
    <t xml:space="preserve">EP-3-ECPDATA</t>
  </si>
  <si>
    <t xml:space="preserve">ECP supporting data and impact assessment, 3.3.1.4</t>
  </si>
  <si>
    <t xml:space="preserve">EP-3-ECPPRI</t>
  </si>
  <si>
    <t xml:space="preserve">Engineering change priority assignment, 3.3.1.6</t>
  </si>
  <si>
    <t xml:space="preserve">EP-3-RELCHG</t>
  </si>
  <si>
    <t xml:space="preserve">Related engineering changes across primes and procuring activities, 3.3.1.7.x</t>
  </si>
  <si>
    <t xml:space="preserve">EP-3-MINOR</t>
  </si>
  <si>
    <t xml:space="preserve">Minor (Class II) classification, concurrence and approval, 3.3.1.8 to 3.3.1.8.2</t>
  </si>
  <si>
    <t xml:space="preserve">EP-3-RFV</t>
  </si>
  <si>
    <t xml:space="preserve">Request for Variance processing and recurring variances, 3.3.2 and 3.3.2.1</t>
  </si>
  <si>
    <t xml:space="preserve">EP-3-RFVCLASS</t>
  </si>
  <si>
    <t xml:space="preserve">Variance classification against DD 1694 content, 3.3.2.2</t>
  </si>
  <si>
    <t xml:space="preserve">EP-3-RFVDEC</t>
  </si>
  <si>
    <t xml:space="preserve">RFV decisions and minor RFVs, 3.3.2.3 and 3.3.2.4</t>
  </si>
  <si>
    <t xml:space="preserve">EP-3-SCN</t>
  </si>
  <si>
    <t xml:space="preserve">Specification Change Notices, 3.3.3</t>
  </si>
  <si>
    <t xml:space="preserve">EP-3-NOR</t>
  </si>
  <si>
    <t xml:space="preserve">Notices of Revision, 3.3.4</t>
  </si>
  <si>
    <t xml:space="preserve">EP-4-CSASYS</t>
  </si>
  <si>
    <t xml:space="preserve">CSA system and its linkage to the data repository, 3.4(1) and 3.4.1(1)</t>
  </si>
  <si>
    <t xml:space="preserve">EP-4-CSAREC</t>
  </si>
  <si>
    <t xml:space="preserve">CSA record content: current, historical and sub-tier configuration, 3.4.1(2) and (3)(a) to (d), (j)</t>
  </si>
  <si>
    <t xml:space="preserve">EP-4-CSARPT</t>
  </si>
  <si>
    <t xml:space="preserve">CSA reporting of proposed and approved changes and variances, 3.4.1(3)(e) to (g)</t>
  </si>
  <si>
    <t xml:space="preserve">EP-4-CSAAUD</t>
  </si>
  <si>
    <t xml:space="preserve">CSA recording of audit planning, results and discrepancy disposition, 3.4.1(3)(h)</t>
  </si>
  <si>
    <t xml:space="preserve">EP-4-CSAMETRIC</t>
  </si>
  <si>
    <t xml:space="preserve">CSA performance metrics on the CM process, 3.4.1(3)(i)</t>
  </si>
  <si>
    <t xml:space="preserve">EP-4-CSAACCESS</t>
  </si>
  <si>
    <t xml:space="preserve">Acquirer access, safeguarding and digital delivery of CSA data, 3.4.1(4) and (5)</t>
  </si>
  <si>
    <t xml:space="preserve">EP-4-CSAANLY</t>
  </si>
  <si>
    <t xml:space="preserve">CSA trend analysis and corrective action verification, 3.4(2) and 3.4.2</t>
  </si>
  <si>
    <t xml:space="preserve">EP-4-RETRO</t>
  </si>
  <si>
    <t xml:space="preserve">Retrofit incorporation and installation completion records, 3.4.1(6)</t>
  </si>
  <si>
    <t xml:space="preserve">EP-4-AUDPLAN</t>
  </si>
  <si>
    <t xml:space="preserve">Audit planning, scheduling, agendas and entry/exit criteria, 3.5.1(1)(a) to (g), (2), (3)</t>
  </si>
  <si>
    <t xml:space="preserve">EP-4-AUDCOND</t>
  </si>
  <si>
    <t xml:space="preserve">Audit conduct, participation, minutes and discrepancy processing, 3.5.1(1)(h) to (n)</t>
  </si>
  <si>
    <t xml:space="preserve">EP-4-FCA</t>
  </si>
  <si>
    <t xml:space="preserve">FCA conduct and non-compliance documentation, 3.5.2</t>
  </si>
  <si>
    <t xml:space="preserve">EP-4-FCADATA</t>
  </si>
  <si>
    <t xml:space="preserve">FCA supporting information and requirements-to-test traceability, 3.5.2.1</t>
  </si>
  <si>
    <t xml:space="preserve">EP-4-PCA</t>
  </si>
  <si>
    <t xml:space="preserve">PCA conduct, PPSL confirmation and non-compliance documentation, 3.5.3</t>
  </si>
  <si>
    <t xml:space="preserve">EP-4-PCADATA</t>
  </si>
  <si>
    <t xml:space="preserve">PCA supporting information and responsibilities, 3.5.3.1</t>
  </si>
  <si>
    <t xml:space="preserve">EP-4-AUDPOST</t>
  </si>
  <si>
    <t xml:space="preserve">Post-audit actions and configuration audit summary reports, 3.5.4 and 3.5.5</t>
  </si>
  <si>
    <t xml:space="preserve">Validation lists</t>
  </si>
  <si>
    <t xml:space="preserve">Score</t>
  </si>
  <si>
    <t xml:space="preserve">Gap - risk accept</t>
  </si>
  <si>
    <t xml:space="preserve">Planning and Governance</t>
  </si>
  <si>
    <t xml:space="preserve">Gap - recommend tailoring</t>
  </si>
  <si>
    <t xml:space="preserve">Demonstrated</t>
  </si>
  <si>
    <t xml:space="preserve">Change Board Admin</t>
  </si>
  <si>
    <t xml:space="preserve">Engineering Release</t>
  </si>
  <si>
    <t xml:space="preserve">Override only. Leave the register's column O blank on normal rows and the disposition sets itself. Gap - recommend tailoring is invalid on HSSB rows and the workbook flags it.</t>
  </si>
  <si>
    <t xml:space="preserve">CSA / Data Management</t>
  </si>
  <si>
    <t xml:space="preserve">Configuration Audit and Verification</t>
  </si>
  <si>
    <t xml:space="preserve">Supplier / Sub-tier CM</t>
  </si>
  <si>
    <t xml:space="preserve">Shared with Engineering</t>
  </si>
  <si>
    <t xml:space="preserve">Shared with Quality</t>
  </si>
  <si>
    <t xml:space="preserve">Shared with Manufacturing</t>
  </si>
  <si>
    <t xml:space="preserve">Contracts</t>
  </si>
  <si>
    <t xml:space="preserve">Data / Systems Administration</t>
  </si>
  <si>
    <t xml:space="preserve">Unassigned</t>
  </si>
  <si>
    <t xml:space="preserve">Edit this list to match your own CM function breakdown. It drives the concentration table.</t>
  </si>
  <si>
    <t xml:space="preserve">CM Team Roster and Load</t>
  </si>
  <si>
    <t xml:space="preserve">Names must match the Evidence Pulls sheet exactly. Columns E to G calculate load by weighting each pull by how many requirements it answers, so a person on one pull covering 32 criteria carries 32.</t>
  </si>
  <si>
    <t xml:space="preserve">Name</t>
  </si>
  <si>
    <t xml:space="preserve">Role title</t>
  </si>
  <si>
    <t xml:space="preserve">CM function</t>
  </si>
  <si>
    <t xml:space="preserve">FTE on this program</t>
  </si>
  <si>
    <t xml:space="preserve">Requirements covered</t>
  </si>
  <si>
    <t xml:space="preserve">Requirements per FTE</t>
  </si>
  <si>
    <t xml:space="preserve">Sole executor on</t>
  </si>
  <si>
    <t xml:space="preserve">Load flag</t>
  </si>
  <si>
    <t xml:space="preserve">[example] A. Rivera</t>
  </si>
  <si>
    <t xml:space="preserve">CM Analyst II</t>
  </si>
  <si>
    <t xml:space="preserve">Example row - delete before use</t>
  </si>
  <si>
    <t xml:space="preserve">Full-Scope TDR Dashboard</t>
  </si>
  <si>
    <t xml:space="preserve">Calculated. Do not overwrite column B.</t>
  </si>
  <si>
    <t xml:space="preserve">Scope and progress</t>
  </si>
  <si>
    <t xml:space="preserve">Measure</t>
  </si>
  <si>
    <t xml:space="preserve">Value</t>
  </si>
  <si>
    <t xml:space="preserve">Requirements in scope (full standard)</t>
  </si>
  <si>
    <t xml:space="preserve">Mandatory for safety</t>
  </si>
  <si>
    <t xml:space="preserve">Rows at Full depth (sample required)</t>
  </si>
  <si>
    <t xml:space="preserve">Evidence pulls in use</t>
  </si>
  <si>
    <t xml:space="preserve">Evidence pulls not started</t>
  </si>
  <si>
    <t xml:space="preserve">Evidence pulls flagged</t>
  </si>
  <si>
    <t xml:space="preserve">Requirements with a pull assigned</t>
  </si>
  <si>
    <t xml:space="preserve">Requirements graded</t>
  </si>
  <si>
    <t xml:space="preserve">Completion %</t>
  </si>
  <si>
    <t xml:space="preserve">Execution capacity gates - target is zero</t>
  </si>
  <si>
    <t xml:space="preserve">Requirements with NO named executor</t>
  </si>
  <si>
    <t xml:space="preserve">   of which: mandatory for safety</t>
  </si>
  <si>
    <t xml:space="preserve">Requirements resting on a single individual</t>
  </si>
  <si>
    <t xml:space="preserve">Compliance hard gates - target is zero</t>
  </si>
  <si>
    <t xml:space="preserve">Safety-mandatory NOT at Operating or better (incl. ungraded)</t>
  </si>
  <si>
    <t xml:space="preserve">   of which: graded below Operating</t>
  </si>
  <si>
    <t xml:space="preserve">   of which: not yet graded</t>
  </si>
  <si>
    <t xml:space="preserve">Invalid tailoring claims on safety-mandatory rows</t>
  </si>
  <si>
    <t xml:space="preserve">Rows flagged by validation</t>
  </si>
  <si>
    <t xml:space="preserve">Health rung distribution</t>
  </si>
  <si>
    <t xml:space="preserve">Not yet graded</t>
  </si>
  <si>
    <t xml:space="preserve">Disposition</t>
  </si>
  <si>
    <t xml:space="preserve">Gap - remediate</t>
  </si>
  <si>
    <t xml:space="preserve">Concentration by executor function</t>
  </si>
  <si>
    <t xml:space="preserve">Requirements</t>
  </si>
  <si>
    <t xml:space="preserve">HSSB</t>
  </si>
  <si>
    <t xml:space="preserve">% of register</t>
  </si>
  <si>
    <t xml:space="preserve">By TDR group</t>
  </si>
  <si>
    <t xml:space="preserve">In scope</t>
  </si>
  <si>
    <t xml:space="preserve">Safety-mandatory</t>
  </si>
  <si>
    <t xml:space="preserve">Graded</t>
  </si>
  <si>
    <t xml:space="preserve">At Operating or better</t>
  </si>
  <si>
    <t xml:space="preserve">Unstaffed</t>
  </si>
  <si>
    <t xml:space="preserve">Reading rule</t>
  </si>
  <si>
    <t xml:space="preserve">Read the two gate blocks before any distribution. A high completion percentage with a nonzero safety gate is a fail. A requirement graded Operating with no named executor is not operating; it is a record of work someone did once. Forecast against evidence pulls, not requirement rows. This register covers the full standard, so incomplete rows are the exposure.</t>
  </si>
  <si>
    <t xml:space="preserve">Findings Log</t>
  </si>
  <si>
    <t xml:space="preserve">Route every finding into the existing RFA mechanism. Do not maintain a parallel TDR tracker.</t>
  </si>
  <si>
    <t xml:space="preserve">Finding ID</t>
  </si>
  <si>
    <t xml:space="preserve">Item ID or Pull ID</t>
  </si>
  <si>
    <t xml:space="preserve">Finding type</t>
  </si>
  <si>
    <t xml:space="preserve">Finding statement</t>
  </si>
  <si>
    <t xml:space="preserve">Root cause (clause ref if upstream)</t>
  </si>
  <si>
    <t xml:space="preserve">Severity</t>
  </si>
  <si>
    <t xml:space="preserve">RFA Ref</t>
  </si>
  <si>
    <t xml:space="preserve">Owner</t>
  </si>
  <si>
    <t xml:space="preserve">Target date</t>
  </si>
  <si>
    <t xml:space="preserve">Status</t>
  </si>
  <si>
    <t xml:space="preserve">Closure evidence</t>
  </si>
  <si>
    <t xml:space="preserve">TDR-0001</t>
  </si>
  <si>
    <t xml:space="preserve">EP-RELEASE</t>
  </si>
  <si>
    <t xml:space="preserve">3.3.1.1(1)(f)</t>
  </si>
  <si>
    <t xml:space="preserve">Execution capacity</t>
  </si>
  <si>
    <t xml:space="preserve">Release record creation names one CM analyst at 0.8 FTE who covers 61 requirements across four pulls. No second name.</t>
  </si>
  <si>
    <t xml:space="preserve">3.1(1)(e) CM resource planning does not allocate release staffing</t>
  </si>
  <si>
    <t xml:space="preserve">Catastrophic (1)</t>
  </si>
  <si>
    <t xml:space="preserve">RFA-0142</t>
  </si>
  <si>
    <t xml:space="preserve">[name]</t>
  </si>
  <si>
    <t xml:space="preserve">2026-11-30</t>
  </si>
  <si>
    <t xml:space="preserve">Open</t>
  </si>
  <si>
    <t xml:space="preserve">Row 5 is an illustrative example. Delete it before use.</t>
  </si>
  <si>
    <t xml:space="preserve">Scope Notes and Open Questions</t>
  </si>
  <si>
    <t xml:space="preserve">Resolve before the register is baselined. Several change the requirement count.</t>
  </si>
  <si>
    <t xml:space="preserve">Item</t>
  </si>
  <si>
    <t xml:space="preserve">Note</t>
  </si>
  <si>
    <t xml:space="preserve">Effect</t>
  </si>
  <si>
    <t xml:space="preserve">Resolved?</t>
  </si>
  <si>
    <t xml:space="preserve">Enumeration basis</t>
  </si>
  <si>
    <t xml:space="preserve">Requirements are enumerated from the body text of EIA-649-1A, not the Annex A tailoring worksheet, which does not reconcile to the body. Keep this basis fixed across the review.</t>
  </si>
  <si>
    <t xml:space="preserve">Baseline decision</t>
  </si>
  <si>
    <t xml:space="preserve">Clauses with no numbered requirement</t>
  </si>
  <si>
    <t xml:space="preserve">3.2.3, 3.2.5, 3.3.1.5, 3.3.1.7 and 3.5 carry principles and narrative only. Excluded, and listed below so the exclusion is visible rather than assumed.</t>
  </si>
  <si>
    <t xml:space="preserve">-5 clause headings</t>
  </si>
  <si>
    <t xml:space="preserve">3.1.1(2) suggested metrics (a) to (h)</t>
  </si>
  <si>
    <t xml:space="preserve">Body text presents these as suggested. Excluded as non-normative.</t>
  </si>
  <si>
    <t xml:space="preserve">+8 if treated as requirements</t>
  </si>
  <si>
    <t xml:space="preserve">3.1.3(1) review list (a) to (i)</t>
  </si>
  <si>
    <t xml:space="preserve">Body text presents these as reviews that may be included. Excluded as non-normative.</t>
  </si>
  <si>
    <t xml:space="preserve">+9 if treated as requirements</t>
  </si>
  <si>
    <t xml:space="preserve">3.3.1.2(2)(d) sub-items</t>
  </si>
  <si>
    <t xml:space="preserve">Held as a single row. Split if the body enumerates beneath it.</t>
  </si>
  <si>
    <t xml:space="preserve">+1 or more</t>
  </si>
  <si>
    <t xml:space="preserve">3.5.2.1(2)(i) software sub-items</t>
  </si>
  <si>
    <t xml:space="preserve">Body indicates numbered sub-items for Computer Software Configuration Items. Held as one row pending confirmation.</t>
  </si>
  <si>
    <t xml:space="preserve">+n</t>
  </si>
  <si>
    <t xml:space="preserve">Columns removed pending baselines</t>
  </si>
  <si>
    <t xml:space="preserve">Owner Tier, Owner Code, Minimum Credential, Support Codes and Credential Minimum Met were removed because those baselines do not exist yet. Add them to the Evidence Pulls sheet, not the register, once the credential model is baselined.</t>
  </si>
  <si>
    <t xml:space="preserve">Reduces input burden</t>
  </si>
  <si>
    <t xml:space="preserve">Safety mandate traceability</t>
  </si>
  <si>
    <t xml:space="preserve">Barrier IDs, SM-0001 hazard references and pre-anchored severity are held in the enterprise CM register, not here. This workbook carries only the binary Mandatory for Safety flag on the same 44 requirements. Pull the barrier and severity detail from the enterprise register when a finding needs it.</t>
  </si>
  <si>
    <t xml:space="preserve">None</t>
  </si>
  <si>
    <t xml:space="preserve">Requirement text column</t>
  </si>
  <si>
    <t xml:space="preserve">Register column F is deliberately empty. EIA-649-1A is copyrighted SAE material under a no-reproduction licence. Populate from your own licensed copy only if that licence permits internal transcription.</t>
  </si>
  <si>
    <t xml:space="preserve">Clauses excluded as narrative only</t>
  </si>
  <si>
    <t xml:space="preserve">3.2.3</t>
  </si>
  <si>
    <t xml:space="preserve">Configuration Baselines Types</t>
  </si>
  <si>
    <t xml:space="preserve">3.2.5</t>
  </si>
  <si>
    <t xml:space="preserve">Interface Management</t>
  </si>
  <si>
    <t xml:space="preserve">3.3.1.5</t>
  </si>
  <si>
    <t xml:space="preserve">ECP Decisions</t>
  </si>
  <si>
    <t xml:space="preserve">3.3.1.7</t>
  </si>
  <si>
    <t xml:space="preserve">Related Engineering Changes</t>
  </si>
  <si>
    <t xml:space="preserve">3.5</t>
  </si>
  <si>
    <t xml:space="preserve">Configuration Verification and Audits</t>
  </si>
</sst>
</file>

<file path=xl/styles.xml><?xml version="1.0" encoding="utf-8"?>
<styleSheet xmlns="http://schemas.openxmlformats.org/spreadsheetml/2006/main">
  <numFmts count="4">
    <numFmt numFmtId="164" formatCode="General"/>
    <numFmt numFmtId="165" formatCode="0.0%"/>
    <numFmt numFmtId="166" formatCode="0.0"/>
    <numFmt numFmtId="167"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9"/>
      <name val="Arial"/>
      <family val="0"/>
      <charset val="1"/>
    </font>
    <font>
      <b val="true"/>
      <sz val="9"/>
      <color rgb="FFFFFFFF"/>
      <name val="Arial"/>
      <family val="0"/>
      <charset val="1"/>
    </font>
    <font>
      <b val="true"/>
      <sz val="9"/>
      <name val="Arial"/>
      <family val="0"/>
      <charset val="1"/>
    </font>
    <font>
      <b val="true"/>
      <sz val="12"/>
      <color rgb="FF1F3864"/>
      <name val="Arial"/>
      <family val="0"/>
      <charset val="1"/>
    </font>
    <font>
      <i val="true"/>
      <sz val="9"/>
      <color rgb="FF808080"/>
      <name val="Arial"/>
      <family val="0"/>
      <charset val="1"/>
    </font>
  </fonts>
  <fills count="11">
    <fill>
      <patternFill patternType="none"/>
    </fill>
    <fill>
      <patternFill patternType="gray125"/>
    </fill>
    <fill>
      <patternFill patternType="solid">
        <fgColor rgb="FF2F5597"/>
        <bgColor rgb="FF1F3864"/>
      </patternFill>
    </fill>
    <fill>
      <patternFill patternType="solid">
        <fgColor rgb="FF7B3F00"/>
        <bgColor rgb="FF993366"/>
      </patternFill>
    </fill>
    <fill>
      <patternFill patternType="solid">
        <fgColor rgb="FFFCE4D6"/>
        <bgColor rgb="FFFFF2CC"/>
      </patternFill>
    </fill>
    <fill>
      <patternFill patternType="solid">
        <fgColor rgb="FF1F3864"/>
        <bgColor rgb="FF333333"/>
      </patternFill>
    </fill>
    <fill>
      <patternFill patternType="solid">
        <fgColor rgb="FFE7E6E6"/>
        <bgColor rgb="FFEDEDED"/>
      </patternFill>
    </fill>
    <fill>
      <patternFill patternType="solid">
        <fgColor rgb="FFEDEDED"/>
        <bgColor rgb="FFE7E6E6"/>
      </patternFill>
    </fill>
    <fill>
      <patternFill patternType="solid">
        <fgColor rgb="FFFFF2CC"/>
        <bgColor rgb="FFFCE4D6"/>
      </patternFill>
    </fill>
    <fill>
      <patternFill patternType="solid">
        <fgColor rgb="FFDDEBF7"/>
        <bgColor rgb="FFE7E6E6"/>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6" fontId="9" fillId="9"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7" fontId="9" fillId="9" borderId="1" xfId="0" applyFont="true" applyBorder="true" applyAlignment="true" applyProtection="false">
      <alignment horizontal="center" vertical="bottom" textRotation="0" wrapText="false" indent="0" shrinkToFit="false"/>
      <protection locked="true" hidden="false"/>
    </xf>
    <xf numFmtId="165" fontId="9" fillId="9"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E7E6E6"/>
          <bgColor rgb="FF000000"/>
        </patternFill>
      </fill>
    </dxf>
    <dxf>
      <fill>
        <patternFill patternType="solid">
          <fgColor rgb="FFFFE699"/>
          <bgColor rgb="FF000000"/>
        </patternFill>
      </fill>
    </dxf>
    <dxf>
      <fill>
        <patternFill patternType="solid">
          <fgColor rgb="FFFFFFFF"/>
          <bgColor rgb="FF000000"/>
        </patternFill>
      </fill>
    </dxf>
    <dxf>
      <fill>
        <patternFill patternType="solid">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7E6E6"/>
      <rgbColor rgb="FFFFE699"/>
      <rgbColor rgb="FF99CCFF"/>
      <rgbColor rgb="FFFF99CC"/>
      <rgbColor rgb="FFCC99FF"/>
      <rgbColor rgb="FFFCE4D6"/>
      <rgbColor rgb="FF3366FF"/>
      <rgbColor rgb="FF33CCCC"/>
      <rgbColor rgb="FF99CC00"/>
      <rgbColor rgb="FFFFCC00"/>
      <rgbColor rgb="FFFF9900"/>
      <rgbColor rgb="FFFF6600"/>
      <rgbColor rgb="FF555555"/>
      <rgbColor rgb="FF969696"/>
      <rgbColor rgb="FF1F3864"/>
      <rgbColor rgb="FF339966"/>
      <rgbColor rgb="FF003300"/>
      <rgbColor rgb="FF333300"/>
      <rgbColor rgb="FF7B3F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8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4"/>
      <c r="C5" s="4"/>
    </row>
    <row r="6" customFormat="false" ht="19.5" hidden="false" customHeight="true" outlineLevel="0" collapsed="false">
      <c r="A6" s="5" t="s">
        <v>4</v>
      </c>
      <c r="B6" s="5" t="s">
        <v>5</v>
      </c>
      <c r="C6" s="5" t="s">
        <v>6</v>
      </c>
    </row>
    <row r="7" customFormat="false" ht="24" hidden="false" customHeight="true" outlineLevel="0" collapsed="false">
      <c r="A7" s="6" t="s">
        <v>7</v>
      </c>
      <c r="B7" s="7" t="s">
        <v>8</v>
      </c>
      <c r="C7" s="6" t="s">
        <v>9</v>
      </c>
    </row>
    <row r="8" customFormat="false" ht="24" hidden="false" customHeight="true" outlineLevel="0" collapsed="false">
      <c r="A8" s="6" t="s">
        <v>10</v>
      </c>
      <c r="B8" s="7" t="s">
        <v>11</v>
      </c>
      <c r="C8" s="6" t="s">
        <v>12</v>
      </c>
    </row>
    <row r="9" customFormat="false" ht="24" hidden="false" customHeight="true" outlineLevel="0" collapsed="false">
      <c r="A9" s="6" t="s">
        <v>13</v>
      </c>
      <c r="B9" s="7" t="s">
        <v>14</v>
      </c>
      <c r="C9" s="6" t="s">
        <v>15</v>
      </c>
    </row>
    <row r="10" customFormat="false" ht="24" hidden="false" customHeight="true" outlineLevel="0" collapsed="false">
      <c r="A10" s="6" t="s">
        <v>16</v>
      </c>
      <c r="B10" s="7" t="s">
        <v>17</v>
      </c>
      <c r="C10" s="6" t="s">
        <v>18</v>
      </c>
    </row>
    <row r="11" customFormat="false" ht="24" hidden="false" customHeight="true" outlineLevel="0" collapsed="false">
      <c r="A11" s="6" t="s">
        <v>19</v>
      </c>
      <c r="B11" s="7" t="s">
        <v>20</v>
      </c>
      <c r="C11" s="6" t="s">
        <v>21</v>
      </c>
    </row>
    <row r="12" customFormat="false" ht="24" hidden="false" customHeight="true" outlineLevel="0" collapsed="false">
      <c r="A12" s="6" t="s">
        <v>22</v>
      </c>
      <c r="B12" s="7" t="s">
        <v>23</v>
      </c>
      <c r="C12" s="6" t="s">
        <v>24</v>
      </c>
    </row>
    <row r="13" customFormat="false" ht="24" hidden="false" customHeight="true" outlineLevel="0" collapsed="false">
      <c r="A13" s="6" t="s">
        <v>25</v>
      </c>
      <c r="B13" s="7" t="s">
        <v>26</v>
      </c>
      <c r="C13" s="6" t="s">
        <v>27</v>
      </c>
    </row>
    <row r="14" customFormat="false" ht="24" hidden="false" customHeight="true" outlineLevel="0" collapsed="false">
      <c r="A14" s="6" t="s">
        <v>28</v>
      </c>
      <c r="B14" s="7" t="s">
        <v>29</v>
      </c>
      <c r="C14" s="6" t="s">
        <v>30</v>
      </c>
    </row>
    <row r="15" customFormat="false" ht="24" hidden="false" customHeight="true" outlineLevel="0" collapsed="false">
      <c r="A15" s="6" t="s">
        <v>31</v>
      </c>
      <c r="B15" s="7" t="s">
        <v>32</v>
      </c>
      <c r="C15" s="6" t="s">
        <v>33</v>
      </c>
    </row>
    <row r="16" customFormat="false" ht="24" hidden="false" customHeight="true" outlineLevel="0" collapsed="false">
      <c r="A16" s="6" t="s">
        <v>34</v>
      </c>
      <c r="B16" s="7" t="s">
        <v>35</v>
      </c>
      <c r="C16" s="6" t="s">
        <v>36</v>
      </c>
    </row>
    <row r="17" customFormat="false" ht="24" hidden="false" customHeight="true" outlineLevel="0" collapsed="false">
      <c r="A17" s="6" t="s">
        <v>37</v>
      </c>
      <c r="B17" s="7" t="s">
        <v>38</v>
      </c>
      <c r="C17" s="6" t="s">
        <v>39</v>
      </c>
    </row>
    <row r="18" customFormat="false" ht="24" hidden="false" customHeight="true" outlineLevel="0" collapsed="false">
      <c r="A18" s="6" t="s">
        <v>40</v>
      </c>
      <c r="B18" s="7" t="s">
        <v>41</v>
      </c>
      <c r="C18" s="6" t="s">
        <v>42</v>
      </c>
    </row>
    <row r="19" customFormat="false" ht="24" hidden="false" customHeight="true" outlineLevel="0" collapsed="false">
      <c r="A19" s="6" t="s">
        <v>43</v>
      </c>
      <c r="B19" s="7" t="s">
        <v>44</v>
      </c>
      <c r="C19" s="6" t="s">
        <v>45</v>
      </c>
    </row>
    <row r="20" customFormat="false" ht="24" hidden="false" customHeight="true" outlineLevel="0" collapsed="false">
      <c r="A20" s="6" t="s">
        <v>46</v>
      </c>
      <c r="B20" s="7" t="s">
        <v>47</v>
      </c>
      <c r="C20" s="6" t="s">
        <v>48</v>
      </c>
    </row>
    <row r="21" customFormat="false" ht="15" hidden="false" customHeight="false" outlineLevel="0" collapsed="false">
      <c r="A21" s="2" t="s">
        <v>49</v>
      </c>
    </row>
    <row r="22" customFormat="false" ht="15" hidden="false" customHeight="false" outlineLevel="0" collapsed="false">
      <c r="A22" s="3" t="s">
        <v>50</v>
      </c>
    </row>
    <row r="23" customFormat="false" ht="19.5" hidden="false" customHeight="true" outlineLevel="0" collapsed="false">
      <c r="A23" s="8" t="s">
        <v>51</v>
      </c>
      <c r="B23" s="8" t="s">
        <v>52</v>
      </c>
      <c r="C23" s="8" t="s">
        <v>53</v>
      </c>
    </row>
    <row r="24" customFormat="false" ht="31.5" hidden="false" customHeight="true" outlineLevel="0" collapsed="false">
      <c r="A24" s="7" t="s">
        <v>54</v>
      </c>
      <c r="B24" s="6" t="s">
        <v>55</v>
      </c>
      <c r="C24" s="6" t="s">
        <v>56</v>
      </c>
    </row>
    <row r="25" customFormat="false" ht="31.5" hidden="false" customHeight="true" outlineLevel="0" collapsed="false">
      <c r="A25" s="7" t="s">
        <v>57</v>
      </c>
      <c r="B25" s="6" t="s">
        <v>58</v>
      </c>
      <c r="C25" s="6" t="s">
        <v>59</v>
      </c>
    </row>
    <row r="26" customFormat="false" ht="31.5" hidden="false" customHeight="true" outlineLevel="0" collapsed="false">
      <c r="A26" s="7" t="s">
        <v>60</v>
      </c>
      <c r="B26" s="6" t="s">
        <v>61</v>
      </c>
      <c r="C26" s="6" t="s">
        <v>62</v>
      </c>
    </row>
    <row r="28" customFormat="false" ht="15" hidden="false" customHeight="false" outlineLevel="0" collapsed="false">
      <c r="A28" s="9" t="s">
        <v>63</v>
      </c>
      <c r="B28" s="9"/>
      <c r="C28" s="9"/>
    </row>
    <row r="29" customFormat="false" ht="15" hidden="false" customHeight="false" outlineLevel="0" collapsed="false">
      <c r="A29" s="3" t="s">
        <v>64</v>
      </c>
    </row>
    <row r="30" customFormat="false" ht="24" hidden="false" customHeight="true" outlineLevel="0" collapsed="false">
      <c r="A30" s="10" t="s">
        <v>65</v>
      </c>
      <c r="B30" s="10"/>
      <c r="C30" s="10"/>
    </row>
    <row r="31" customFormat="false" ht="15" hidden="false" customHeight="false" outlineLevel="0" collapsed="false">
      <c r="A31" s="10"/>
      <c r="B31" s="10"/>
      <c r="C31" s="10"/>
    </row>
    <row r="32" customFormat="false" ht="15" hidden="false" customHeight="false" outlineLevel="0" collapsed="false">
      <c r="A32" s="10"/>
      <c r="B32" s="10"/>
      <c r="C32" s="10"/>
    </row>
    <row r="34" customFormat="false" ht="15" hidden="false" customHeight="false" outlineLevel="0" collapsed="false">
      <c r="A34" s="3" t="s">
        <v>66</v>
      </c>
    </row>
    <row r="35" customFormat="false" ht="24" hidden="false" customHeight="true" outlineLevel="0" collapsed="false">
      <c r="A35" s="10" t="s">
        <v>67</v>
      </c>
      <c r="B35" s="10"/>
      <c r="C35" s="10"/>
    </row>
    <row r="36" customFormat="false" ht="15" hidden="false" customHeight="false" outlineLevel="0" collapsed="false">
      <c r="A36" s="10"/>
      <c r="B36" s="10"/>
      <c r="C36" s="10"/>
    </row>
    <row r="38" customFormat="false" ht="15" hidden="false" customHeight="false" outlineLevel="0" collapsed="false">
      <c r="A38" s="3" t="s">
        <v>68</v>
      </c>
    </row>
    <row r="39" customFormat="false" ht="19.5" hidden="false" customHeight="true" outlineLevel="0" collapsed="false">
      <c r="A39" s="5" t="s">
        <v>4</v>
      </c>
      <c r="B39" s="5" t="s">
        <v>5</v>
      </c>
      <c r="C39" s="5" t="s">
        <v>6</v>
      </c>
    </row>
    <row r="40" customFormat="false" ht="31.5" hidden="false" customHeight="true" outlineLevel="0" collapsed="false">
      <c r="A40" s="6" t="s">
        <v>34</v>
      </c>
      <c r="B40" s="7" t="s">
        <v>69</v>
      </c>
      <c r="C40" s="6" t="s">
        <v>70</v>
      </c>
    </row>
    <row r="41" customFormat="false" ht="31.5" hidden="false" customHeight="true" outlineLevel="0" collapsed="false">
      <c r="A41" s="6" t="s">
        <v>37</v>
      </c>
      <c r="B41" s="7" t="s">
        <v>71</v>
      </c>
      <c r="C41" s="6" t="s">
        <v>72</v>
      </c>
    </row>
    <row r="42" customFormat="false" ht="31.5" hidden="false" customHeight="true" outlineLevel="0" collapsed="false">
      <c r="A42" s="6" t="s">
        <v>40</v>
      </c>
      <c r="B42" s="7" t="s">
        <v>73</v>
      </c>
      <c r="C42" s="6" t="s">
        <v>74</v>
      </c>
    </row>
    <row r="43" customFormat="false" ht="31.5" hidden="false" customHeight="true" outlineLevel="0" collapsed="false">
      <c r="A43" s="6" t="s">
        <v>43</v>
      </c>
      <c r="B43" s="7" t="s">
        <v>75</v>
      </c>
      <c r="C43" s="6" t="s">
        <v>76</v>
      </c>
    </row>
    <row r="44" customFormat="false" ht="31.5" hidden="false" customHeight="true" outlineLevel="0" collapsed="false">
      <c r="A44" s="6" t="s">
        <v>46</v>
      </c>
      <c r="B44" s="7" t="s">
        <v>77</v>
      </c>
      <c r="C44" s="6" t="s">
        <v>78</v>
      </c>
    </row>
    <row r="46" customFormat="false" ht="15" hidden="false" customHeight="false" outlineLevel="0" collapsed="false">
      <c r="A46" s="3" t="s">
        <v>79</v>
      </c>
    </row>
    <row r="47" customFormat="false" ht="19.5" hidden="false" customHeight="true" outlineLevel="0" collapsed="false">
      <c r="A47" s="8" t="s">
        <v>80</v>
      </c>
      <c r="B47" s="8" t="s">
        <v>81</v>
      </c>
      <c r="C47" s="8" t="s">
        <v>82</v>
      </c>
    </row>
    <row r="48" customFormat="false" ht="30" hidden="false" customHeight="true" outlineLevel="0" collapsed="false">
      <c r="A48" s="7" t="s">
        <v>83</v>
      </c>
      <c r="B48" s="6" t="s">
        <v>84</v>
      </c>
      <c r="C48" s="6" t="s">
        <v>85</v>
      </c>
    </row>
    <row r="49" customFormat="false" ht="30" hidden="false" customHeight="true" outlineLevel="0" collapsed="false">
      <c r="A49" s="7" t="s">
        <v>86</v>
      </c>
      <c r="B49" s="6" t="s">
        <v>87</v>
      </c>
      <c r="C49" s="6" t="s">
        <v>88</v>
      </c>
    </row>
    <row r="50" customFormat="false" ht="30" hidden="false" customHeight="true" outlineLevel="0" collapsed="false">
      <c r="A50" s="7" t="s">
        <v>89</v>
      </c>
      <c r="B50" s="6" t="s">
        <v>90</v>
      </c>
      <c r="C50" s="6" t="s">
        <v>91</v>
      </c>
    </row>
    <row r="51" customFormat="false" ht="30" hidden="false" customHeight="true" outlineLevel="0" collapsed="false">
      <c r="A51" s="7" t="s">
        <v>92</v>
      </c>
      <c r="B51" s="6" t="s">
        <v>93</v>
      </c>
      <c r="C51" s="6" t="s">
        <v>94</v>
      </c>
    </row>
    <row r="52" customFormat="false" ht="30" hidden="false" customHeight="true" outlineLevel="0" collapsed="false">
      <c r="A52" s="7" t="s">
        <v>95</v>
      </c>
      <c r="B52" s="6" t="s">
        <v>96</v>
      </c>
      <c r="C52" s="6" t="s">
        <v>97</v>
      </c>
    </row>
    <row r="54" customFormat="false" ht="15" hidden="false" customHeight="false" outlineLevel="0" collapsed="false">
      <c r="A54" s="3" t="s">
        <v>98</v>
      </c>
    </row>
    <row r="55" customFormat="false" ht="25.5" hidden="false" customHeight="true" outlineLevel="0" collapsed="false">
      <c r="A55" s="11" t="s">
        <v>99</v>
      </c>
      <c r="B55" s="11"/>
      <c r="C55" s="11"/>
    </row>
    <row r="56" customFormat="false" ht="25.5" hidden="false" customHeight="true" outlineLevel="0" collapsed="false">
      <c r="A56" s="11" t="s">
        <v>100</v>
      </c>
      <c r="B56" s="11"/>
      <c r="C56" s="11"/>
    </row>
    <row r="57" customFormat="false" ht="25.5" hidden="false" customHeight="true" outlineLevel="0" collapsed="false">
      <c r="A57" s="11" t="s">
        <v>101</v>
      </c>
      <c r="B57" s="11"/>
      <c r="C57" s="11"/>
    </row>
  </sheetData>
  <mergeCells count="7">
    <mergeCell ref="A5:C5"/>
    <mergeCell ref="A28:C28"/>
    <mergeCell ref="A30:C32"/>
    <mergeCell ref="A35:C36"/>
    <mergeCell ref="A55:C55"/>
    <mergeCell ref="A56:C56"/>
    <mergeCell ref="A57:C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2"/>
    <col collapsed="false" customWidth="true" hidden="false" outlineLevel="0" max="4" min="4" style="0" width="34"/>
    <col collapsed="false" customWidth="true" hidden="false" outlineLevel="0" max="5" min="5" style="0" width="14"/>
    <col collapsed="false" customWidth="true" hidden="false" outlineLevel="0" max="6" min="6" style="0" width="50"/>
    <col collapsed="false" customWidth="true" hidden="false" outlineLevel="0" max="7" min="7" style="0" width="16"/>
    <col collapsed="false" customWidth="true" hidden="false" outlineLevel="0" max="8" min="8" style="0" width="9"/>
    <col collapsed="false" customWidth="true" hidden="false" outlineLevel="0" max="9" min="9" style="0" width="24"/>
    <col collapsed="false" customWidth="true" hidden="false" outlineLevel="0" max="10" min="10" style="0" width="20"/>
    <col collapsed="false" customWidth="true" hidden="false" outlineLevel="0" max="11" min="11" style="0" width="17"/>
    <col collapsed="false" customWidth="true" hidden="false" outlineLevel="0" max="12" min="12" style="0" width="22"/>
    <col collapsed="false" customWidth="true" hidden="false" outlineLevel="0" max="13" min="13" style="0" width="15"/>
    <col collapsed="false" customWidth="true" hidden="false" outlineLevel="0" max="14" min="14" style="0" width="30"/>
    <col collapsed="false" customWidth="true" hidden="false" outlineLevel="0" max="15" min="15" style="0" width="9"/>
    <col collapsed="false" customWidth="true" hidden="false" outlineLevel="0" max="16" min="16" style="0" width="10"/>
    <col collapsed="false" customWidth="true" hidden="false" outlineLevel="0" max="17" min="17" style="0" width="24"/>
    <col collapsed="false" customWidth="true" hidden="false" outlineLevel="0" max="18" min="18" style="0" width="14"/>
    <col collapsed="false" customWidth="true" hidden="false" outlineLevel="0" max="19" min="19" style="0" width="20"/>
    <col collapsed="false" customWidth="true" hidden="false" outlineLevel="0" max="20" min="20" style="0" width="30"/>
  </cols>
  <sheetData>
    <row r="1" customFormat="false" ht="17.35" hidden="false" customHeight="false" outlineLevel="0" collapsed="false">
      <c r="A1" s="1" t="s">
        <v>102</v>
      </c>
    </row>
    <row r="2" customFormat="false" ht="15" hidden="false" customHeight="false" outlineLevel="0" collapsed="false">
      <c r="A2" s="2" t="s">
        <v>103</v>
      </c>
    </row>
    <row r="3" customFormat="false" ht="15" hidden="false" customHeight="false" outlineLevel="0" collapsed="false">
      <c r="A3" s="12" t="s">
        <v>104</v>
      </c>
    </row>
    <row r="4" customFormat="false" ht="15" hidden="false" customHeight="false" outlineLevel="0" collapsed="false">
      <c r="A4" s="2" t="s">
        <v>105</v>
      </c>
    </row>
    <row r="5" customFormat="false" ht="39.75" hidden="false" customHeight="true" outlineLevel="0" collapsed="false">
      <c r="A5" s="13" t="s">
        <v>106</v>
      </c>
      <c r="B5" s="13" t="s">
        <v>107</v>
      </c>
      <c r="C5" s="13" t="s">
        <v>108</v>
      </c>
      <c r="D5" s="13" t="s">
        <v>109</v>
      </c>
      <c r="E5" s="13" t="s">
        <v>110</v>
      </c>
      <c r="F5" s="13" t="s">
        <v>111</v>
      </c>
      <c r="G5" s="13" t="s">
        <v>112</v>
      </c>
      <c r="H5" s="13" t="s">
        <v>113</v>
      </c>
      <c r="I5" s="13" t="s">
        <v>114</v>
      </c>
      <c r="J5" s="13" t="s">
        <v>69</v>
      </c>
      <c r="K5" s="13" t="s">
        <v>71</v>
      </c>
      <c r="L5" s="13" t="s">
        <v>73</v>
      </c>
      <c r="M5" s="13" t="s">
        <v>75</v>
      </c>
      <c r="N5" s="13" t="s">
        <v>115</v>
      </c>
      <c r="O5" s="13" t="s">
        <v>116</v>
      </c>
      <c r="P5" s="13" t="s">
        <v>117</v>
      </c>
      <c r="Q5" s="13" t="s">
        <v>118</v>
      </c>
      <c r="R5" s="13" t="s">
        <v>119</v>
      </c>
      <c r="S5" s="13" t="s">
        <v>120</v>
      </c>
      <c r="T5" s="13" t="s">
        <v>121</v>
      </c>
    </row>
    <row r="6" customFormat="false" ht="22.35" hidden="false" customHeight="false" outlineLevel="0" collapsed="false">
      <c r="A6" s="14" t="s">
        <v>122</v>
      </c>
      <c r="B6" s="14" t="s">
        <v>123</v>
      </c>
      <c r="C6" s="14" t="s">
        <v>124</v>
      </c>
      <c r="D6" s="14" t="s">
        <v>125</v>
      </c>
      <c r="E6" s="14" t="s">
        <v>126</v>
      </c>
      <c r="F6" s="15"/>
      <c r="G6" s="14"/>
      <c r="H6" s="14" t="s">
        <v>127</v>
      </c>
      <c r="I6" s="14" t="s">
        <v>128</v>
      </c>
      <c r="J6" s="16"/>
      <c r="K6" s="16"/>
      <c r="L6" s="16"/>
      <c r="M6" s="16"/>
      <c r="N6" s="16"/>
      <c r="O6" s="17" t="str">
        <f aca="false">IFERROR(INDEX(Lists!$B$3:$B$7,MATCH(K6,Lists!$A$3:$A$7,0)),"")</f>
        <v/>
      </c>
      <c r="P6" s="17" t="str">
        <f aca="false">IFERROR(INDEX('Evidence Pulls'!$P$6:$P$125,MATCH($J6,'Evidence Pulls'!$A$6:$A$125,0)),"")</f>
        <v/>
      </c>
      <c r="Q6" s="17" t="str">
        <f aca="false">IFERROR(INDEX('Evidence Pulls'!$H$6:$H$125,MATCH($J6,'Evidence Pulls'!$A$6:$A$125,0)),"")</f>
        <v/>
      </c>
      <c r="R6" s="17" t="str">
        <f aca="false">IFERROR(INDEX('Evidence Pulls'!$Q$6:$Q$125,MATCH($J6,'Evidence Pulls'!$A$6:$A$125,0)),"")</f>
        <v/>
      </c>
      <c r="S6" s="17" t="str">
        <f aca="false">IF(L6&lt;&gt;"",L6,IF(K6="","Not assessed",IF(N(O6)&gt;=3,"Demonstrated","Gap - remediate")))</f>
        <v>Not assessed</v>
      </c>
      <c r="T6" s="17" t="str">
        <f aca="false">IF(J6="","No evidence pull assigned",IF(COUNTIF('Evidence Pulls'!$A$6:$A$125,J6)=0,"Pull ID not on Evidence Pulls sheet",IF(K6="","Not graded",IF(AND(G6="MANDATORY",L6="Gap - recommend tailoring"),"INVALID: safety-mandatory, not tailorable",IF(OR(P6="",P6=0),"NO NAMED EXECUTOR",IF(AND(H6="Full",IFERROR(INDEX('Evidence Pulls'!$C$6:$C$125,MATCH($J6,'Evidence Pulls'!$A$6:$A$125,0)),"")&lt;&gt;"Artifact",N(O6)&gt;=3,N(IFERROR(INDEX('Evidence Pulls'!$K$6:$K$125,MATCH($J6,'Evidence Pulls'!$A$6:$A$125,0)),""))=0),"Operating claimed with no sample",IF(AND(N(O6)&gt;=3,P6=1),"Operating rests on one individual",IF(AND(L6&lt;&gt;"",N6=""),"Override with no rationale in column N",IF(AND(G6="MANDATORY",N(O6)&lt;3),"SAFETY GATE: below Operating","OK")))))))))</f>
        <v>No evidence pull assigned</v>
      </c>
    </row>
    <row r="7" customFormat="false" ht="22.35" hidden="false" customHeight="false" outlineLevel="0" collapsed="false">
      <c r="A7" s="18" t="s">
        <v>129</v>
      </c>
      <c r="B7" s="18" t="s">
        <v>123</v>
      </c>
      <c r="C7" s="18" t="s">
        <v>124</v>
      </c>
      <c r="D7" s="18" t="s">
        <v>125</v>
      </c>
      <c r="E7" s="18" t="s">
        <v>130</v>
      </c>
      <c r="F7" s="18"/>
      <c r="G7" s="19" t="s">
        <v>131</v>
      </c>
      <c r="H7" s="19" t="s">
        <v>132</v>
      </c>
      <c r="I7" s="18" t="s">
        <v>128</v>
      </c>
      <c r="J7" s="16"/>
      <c r="K7" s="16"/>
      <c r="L7" s="16"/>
      <c r="M7" s="16"/>
      <c r="N7" s="16"/>
      <c r="O7" s="17" t="str">
        <f aca="false">IFERROR(INDEX(Lists!$B$3:$B$7,MATCH(K7,Lists!$A$3:$A$7,0)),"")</f>
        <v/>
      </c>
      <c r="P7" s="17" t="str">
        <f aca="false">IFERROR(INDEX('Evidence Pulls'!$P$6:$P$125,MATCH($J7,'Evidence Pulls'!$A$6:$A$125,0)),"")</f>
        <v/>
      </c>
      <c r="Q7" s="17" t="str">
        <f aca="false">IFERROR(INDEX('Evidence Pulls'!$H$6:$H$125,MATCH($J7,'Evidence Pulls'!$A$6:$A$125,0)),"")</f>
        <v/>
      </c>
      <c r="R7" s="17" t="str">
        <f aca="false">IFERROR(INDEX('Evidence Pulls'!$Q$6:$Q$125,MATCH($J7,'Evidence Pulls'!$A$6:$A$125,0)),"")</f>
        <v/>
      </c>
      <c r="S7" s="17" t="str">
        <f aca="false">IF(L7&lt;&gt;"",L7,IF(K7="","Not assessed",IF(N(O7)&gt;=3,"Demonstrated","Gap - remediate")))</f>
        <v>Not assessed</v>
      </c>
      <c r="T7" s="17" t="str">
        <f aca="false">IF(J7="","No evidence pull assigned",IF(COUNTIF('Evidence Pulls'!$A$6:$A$125,J7)=0,"Pull ID not on Evidence Pulls sheet",IF(K7="","Not graded",IF(AND(G7="MANDATORY",L7="Gap - recommend tailoring"),"INVALID: safety-mandatory, not tailorable",IF(OR(P7="",P7=0),"NO NAMED EXECUTOR",IF(AND(H7="Full",IFERROR(INDEX('Evidence Pulls'!$C$6:$C$125,MATCH($J7,'Evidence Pulls'!$A$6:$A$125,0)),"")&lt;&gt;"Artifact",N(O7)&gt;=3,N(IFERROR(INDEX('Evidence Pulls'!$K$6:$K$125,MATCH($J7,'Evidence Pulls'!$A$6:$A$125,0)),""))=0),"Operating claimed with no sample",IF(AND(N(O7)&gt;=3,P7=1),"Operating rests on one individual",IF(AND(L7&lt;&gt;"",N7=""),"Override with no rationale in column N",IF(AND(G7="MANDATORY",N(O7)&lt;3),"SAFETY GATE: below Operating","OK")))))))))</f>
        <v>No evidence pull assigned</v>
      </c>
    </row>
    <row r="8" customFormat="false" ht="22.35" hidden="false" customHeight="false" outlineLevel="0" collapsed="false">
      <c r="A8" s="14" t="s">
        <v>133</v>
      </c>
      <c r="B8" s="14" t="s">
        <v>123</v>
      </c>
      <c r="C8" s="14" t="s">
        <v>124</v>
      </c>
      <c r="D8" s="14" t="s">
        <v>125</v>
      </c>
      <c r="E8" s="14" t="s">
        <v>134</v>
      </c>
      <c r="F8" s="15"/>
      <c r="G8" s="14"/>
      <c r="H8" s="14" t="s">
        <v>127</v>
      </c>
      <c r="I8" s="14" t="s">
        <v>128</v>
      </c>
      <c r="J8" s="16"/>
      <c r="K8" s="16"/>
      <c r="L8" s="16"/>
      <c r="M8" s="16"/>
      <c r="N8" s="16"/>
      <c r="O8" s="17" t="str">
        <f aca="false">IFERROR(INDEX(Lists!$B$3:$B$7,MATCH(K8,Lists!$A$3:$A$7,0)),"")</f>
        <v/>
      </c>
      <c r="P8" s="17" t="str">
        <f aca="false">IFERROR(INDEX('Evidence Pulls'!$P$6:$P$125,MATCH($J8,'Evidence Pulls'!$A$6:$A$125,0)),"")</f>
        <v/>
      </c>
      <c r="Q8" s="17" t="str">
        <f aca="false">IFERROR(INDEX('Evidence Pulls'!$H$6:$H$125,MATCH($J8,'Evidence Pulls'!$A$6:$A$125,0)),"")</f>
        <v/>
      </c>
      <c r="R8" s="17" t="str">
        <f aca="false">IFERROR(INDEX('Evidence Pulls'!$Q$6:$Q$125,MATCH($J8,'Evidence Pulls'!$A$6:$A$125,0)),"")</f>
        <v/>
      </c>
      <c r="S8" s="17" t="str">
        <f aca="false">IF(L8&lt;&gt;"",L8,IF(K8="","Not assessed",IF(N(O8)&gt;=3,"Demonstrated","Gap - remediate")))</f>
        <v>Not assessed</v>
      </c>
      <c r="T8" s="17" t="str">
        <f aca="false">IF(J8="","No evidence pull assigned",IF(COUNTIF('Evidence Pulls'!$A$6:$A$125,J8)=0,"Pull ID not on Evidence Pulls sheet",IF(K8="","Not graded",IF(AND(G8="MANDATORY",L8="Gap - recommend tailoring"),"INVALID: safety-mandatory, not tailorable",IF(OR(P8="",P8=0),"NO NAMED EXECUTOR",IF(AND(H8="Full",IFERROR(INDEX('Evidence Pulls'!$C$6:$C$125,MATCH($J8,'Evidence Pulls'!$A$6:$A$125,0)),"")&lt;&gt;"Artifact",N(O8)&gt;=3,N(IFERROR(INDEX('Evidence Pulls'!$K$6:$K$125,MATCH($J8,'Evidence Pulls'!$A$6:$A$125,0)),""))=0),"Operating claimed with no sample",IF(AND(N(O8)&gt;=3,P8=1),"Operating rests on one individual",IF(AND(L8&lt;&gt;"",N8=""),"Override with no rationale in column N",IF(AND(G8="MANDATORY",N(O8)&lt;3),"SAFETY GATE: below Operating","OK")))))))))</f>
        <v>No evidence pull assigned</v>
      </c>
    </row>
    <row r="9" customFormat="false" ht="22.35" hidden="false" customHeight="false" outlineLevel="0" collapsed="false">
      <c r="A9" s="18" t="s">
        <v>135</v>
      </c>
      <c r="B9" s="18" t="s">
        <v>123</v>
      </c>
      <c r="C9" s="18" t="s">
        <v>124</v>
      </c>
      <c r="D9" s="18" t="s">
        <v>125</v>
      </c>
      <c r="E9" s="18" t="s">
        <v>136</v>
      </c>
      <c r="F9" s="18"/>
      <c r="G9" s="19" t="s">
        <v>131</v>
      </c>
      <c r="H9" s="19" t="s">
        <v>132</v>
      </c>
      <c r="I9" s="18" t="s">
        <v>128</v>
      </c>
      <c r="J9" s="16"/>
      <c r="K9" s="16"/>
      <c r="L9" s="16"/>
      <c r="M9" s="16"/>
      <c r="N9" s="16"/>
      <c r="O9" s="17" t="str">
        <f aca="false">IFERROR(INDEX(Lists!$B$3:$B$7,MATCH(K9,Lists!$A$3:$A$7,0)),"")</f>
        <v/>
      </c>
      <c r="P9" s="17" t="str">
        <f aca="false">IFERROR(INDEX('Evidence Pulls'!$P$6:$P$125,MATCH($J9,'Evidence Pulls'!$A$6:$A$125,0)),"")</f>
        <v/>
      </c>
      <c r="Q9" s="17" t="str">
        <f aca="false">IFERROR(INDEX('Evidence Pulls'!$H$6:$H$125,MATCH($J9,'Evidence Pulls'!$A$6:$A$125,0)),"")</f>
        <v/>
      </c>
      <c r="R9" s="17" t="str">
        <f aca="false">IFERROR(INDEX('Evidence Pulls'!$Q$6:$Q$125,MATCH($J9,'Evidence Pulls'!$A$6:$A$125,0)),"")</f>
        <v/>
      </c>
      <c r="S9" s="17" t="str">
        <f aca="false">IF(L9&lt;&gt;"",L9,IF(K9="","Not assessed",IF(N(O9)&gt;=3,"Demonstrated","Gap - remediate")))</f>
        <v>Not assessed</v>
      </c>
      <c r="T9" s="17" t="str">
        <f aca="false">IF(J9="","No evidence pull assigned",IF(COUNTIF('Evidence Pulls'!$A$6:$A$125,J9)=0,"Pull ID not on Evidence Pulls sheet",IF(K9="","Not graded",IF(AND(G9="MANDATORY",L9="Gap - recommend tailoring"),"INVALID: safety-mandatory, not tailorable",IF(OR(P9="",P9=0),"NO NAMED EXECUTOR",IF(AND(H9="Full",IFERROR(INDEX('Evidence Pulls'!$C$6:$C$125,MATCH($J9,'Evidence Pulls'!$A$6:$A$125,0)),"")&lt;&gt;"Artifact",N(O9)&gt;=3,N(IFERROR(INDEX('Evidence Pulls'!$K$6:$K$125,MATCH($J9,'Evidence Pulls'!$A$6:$A$125,0)),""))=0),"Operating claimed with no sample",IF(AND(N(O9)&gt;=3,P9=1),"Operating rests on one individual",IF(AND(L9&lt;&gt;"",N9=""),"Override with no rationale in column N",IF(AND(G9="MANDATORY",N(O9)&lt;3),"SAFETY GATE: below Operating","OK")))))))))</f>
        <v>No evidence pull assigned</v>
      </c>
    </row>
    <row r="10" customFormat="false" ht="15" hidden="false" customHeight="false" outlineLevel="0" collapsed="false">
      <c r="A10" s="14" t="s">
        <v>137</v>
      </c>
      <c r="B10" s="14" t="s">
        <v>138</v>
      </c>
      <c r="C10" s="14" t="s">
        <v>139</v>
      </c>
      <c r="D10" s="14" t="s">
        <v>140</v>
      </c>
      <c r="E10" s="14" t="s">
        <v>141</v>
      </c>
      <c r="F10" s="15"/>
      <c r="G10" s="14"/>
      <c r="H10" s="14" t="s">
        <v>127</v>
      </c>
      <c r="I10" s="14" t="s">
        <v>128</v>
      </c>
      <c r="J10" s="16"/>
      <c r="K10" s="16"/>
      <c r="L10" s="16"/>
      <c r="M10" s="16"/>
      <c r="N10" s="16"/>
      <c r="O10" s="17" t="str">
        <f aca="false">IFERROR(INDEX(Lists!$B$3:$B$7,MATCH(K10,Lists!$A$3:$A$7,0)),"")</f>
        <v/>
      </c>
      <c r="P10" s="17" t="str">
        <f aca="false">IFERROR(INDEX('Evidence Pulls'!$P$6:$P$125,MATCH($J10,'Evidence Pulls'!$A$6:$A$125,0)),"")</f>
        <v/>
      </c>
      <c r="Q10" s="17" t="str">
        <f aca="false">IFERROR(INDEX('Evidence Pulls'!$H$6:$H$125,MATCH($J10,'Evidence Pulls'!$A$6:$A$125,0)),"")</f>
        <v/>
      </c>
      <c r="R10" s="17" t="str">
        <f aca="false">IFERROR(INDEX('Evidence Pulls'!$Q$6:$Q$125,MATCH($J10,'Evidence Pulls'!$A$6:$A$125,0)),"")</f>
        <v/>
      </c>
      <c r="S10" s="17" t="str">
        <f aca="false">IF(L10&lt;&gt;"",L10,IF(K10="","Not assessed",IF(N(O10)&gt;=3,"Demonstrated","Gap - remediate")))</f>
        <v>Not assessed</v>
      </c>
      <c r="T10" s="17" t="str">
        <f aca="false">IF(J10="","No evidence pull assigned",IF(COUNTIF('Evidence Pulls'!$A$6:$A$125,J10)=0,"Pull ID not on Evidence Pulls sheet",IF(K10="","Not graded",IF(AND(G10="MANDATORY",L10="Gap - recommend tailoring"),"INVALID: safety-mandatory, not tailorable",IF(OR(P10="",P10=0),"NO NAMED EXECUTOR",IF(AND(H10="Full",IFERROR(INDEX('Evidence Pulls'!$C$6:$C$125,MATCH($J10,'Evidence Pulls'!$A$6:$A$125,0)),"")&lt;&gt;"Artifact",N(O10)&gt;=3,N(IFERROR(INDEX('Evidence Pulls'!$K$6:$K$125,MATCH($J10,'Evidence Pulls'!$A$6:$A$125,0)),""))=0),"Operating claimed with no sample",IF(AND(N(O10)&gt;=3,P10=1),"Operating rests on one individual",IF(AND(L10&lt;&gt;"",N10=""),"Override with no rationale in column N",IF(AND(G10="MANDATORY",N(O10)&lt;3),"SAFETY GATE: below Operating","OK")))))))))</f>
        <v>No evidence pull assigned</v>
      </c>
    </row>
    <row r="11" customFormat="false" ht="15" hidden="false" customHeight="false" outlineLevel="0" collapsed="false">
      <c r="A11" s="14" t="s">
        <v>142</v>
      </c>
      <c r="B11" s="14" t="s">
        <v>138</v>
      </c>
      <c r="C11" s="14" t="s">
        <v>139</v>
      </c>
      <c r="D11" s="14" t="s">
        <v>140</v>
      </c>
      <c r="E11" s="14" t="s">
        <v>143</v>
      </c>
      <c r="F11" s="15"/>
      <c r="G11" s="14"/>
      <c r="H11" s="14" t="s">
        <v>127</v>
      </c>
      <c r="I11" s="14" t="s">
        <v>128</v>
      </c>
      <c r="J11" s="16"/>
      <c r="K11" s="16"/>
      <c r="L11" s="16"/>
      <c r="M11" s="16"/>
      <c r="N11" s="16"/>
      <c r="O11" s="17" t="str">
        <f aca="false">IFERROR(INDEX(Lists!$B$3:$B$7,MATCH(K11,Lists!$A$3:$A$7,0)),"")</f>
        <v/>
      </c>
      <c r="P11" s="17" t="str">
        <f aca="false">IFERROR(INDEX('Evidence Pulls'!$P$6:$P$125,MATCH($J11,'Evidence Pulls'!$A$6:$A$125,0)),"")</f>
        <v/>
      </c>
      <c r="Q11" s="17" t="str">
        <f aca="false">IFERROR(INDEX('Evidence Pulls'!$H$6:$H$125,MATCH($J11,'Evidence Pulls'!$A$6:$A$125,0)),"")</f>
        <v/>
      </c>
      <c r="R11" s="17" t="str">
        <f aca="false">IFERROR(INDEX('Evidence Pulls'!$Q$6:$Q$125,MATCH($J11,'Evidence Pulls'!$A$6:$A$125,0)),"")</f>
        <v/>
      </c>
      <c r="S11" s="17" t="str">
        <f aca="false">IF(L11&lt;&gt;"",L11,IF(K11="","Not assessed",IF(N(O11)&gt;=3,"Demonstrated","Gap - remediate")))</f>
        <v>Not assessed</v>
      </c>
      <c r="T11" s="17" t="str">
        <f aca="false">IF(J11="","No evidence pull assigned",IF(COUNTIF('Evidence Pulls'!$A$6:$A$125,J11)=0,"Pull ID not on Evidence Pulls sheet",IF(K11="","Not graded",IF(AND(G11="MANDATORY",L11="Gap - recommend tailoring"),"INVALID: safety-mandatory, not tailorable",IF(OR(P11="",P11=0),"NO NAMED EXECUTOR",IF(AND(H11="Full",IFERROR(INDEX('Evidence Pulls'!$C$6:$C$125,MATCH($J11,'Evidence Pulls'!$A$6:$A$125,0)),"")&lt;&gt;"Artifact",N(O11)&gt;=3,N(IFERROR(INDEX('Evidence Pulls'!$K$6:$K$125,MATCH($J11,'Evidence Pulls'!$A$6:$A$125,0)),""))=0),"Operating claimed with no sample",IF(AND(N(O11)&gt;=3,P11=1),"Operating rests on one individual",IF(AND(L11&lt;&gt;"",N11=""),"Override with no rationale in column N",IF(AND(G11="MANDATORY",N(O11)&lt;3),"SAFETY GATE: below Operating","OK")))))))))</f>
        <v>No evidence pull assigned</v>
      </c>
    </row>
    <row r="12" customFormat="false" ht="15" hidden="false" customHeight="false" outlineLevel="0" collapsed="false">
      <c r="A12" s="14" t="s">
        <v>144</v>
      </c>
      <c r="B12" s="14" t="s">
        <v>138</v>
      </c>
      <c r="C12" s="14" t="s">
        <v>139</v>
      </c>
      <c r="D12" s="14" t="s">
        <v>140</v>
      </c>
      <c r="E12" s="14" t="s">
        <v>145</v>
      </c>
      <c r="F12" s="15"/>
      <c r="G12" s="14"/>
      <c r="H12" s="14" t="s">
        <v>127</v>
      </c>
      <c r="I12" s="14" t="s">
        <v>128</v>
      </c>
      <c r="J12" s="16"/>
      <c r="K12" s="16"/>
      <c r="L12" s="16"/>
      <c r="M12" s="16"/>
      <c r="N12" s="16"/>
      <c r="O12" s="17" t="str">
        <f aca="false">IFERROR(INDEX(Lists!$B$3:$B$7,MATCH(K12,Lists!$A$3:$A$7,0)),"")</f>
        <v/>
      </c>
      <c r="P12" s="17" t="str">
        <f aca="false">IFERROR(INDEX('Evidence Pulls'!$P$6:$P$125,MATCH($J12,'Evidence Pulls'!$A$6:$A$125,0)),"")</f>
        <v/>
      </c>
      <c r="Q12" s="17" t="str">
        <f aca="false">IFERROR(INDEX('Evidence Pulls'!$H$6:$H$125,MATCH($J12,'Evidence Pulls'!$A$6:$A$125,0)),"")</f>
        <v/>
      </c>
      <c r="R12" s="17" t="str">
        <f aca="false">IFERROR(INDEX('Evidence Pulls'!$Q$6:$Q$125,MATCH($J12,'Evidence Pulls'!$A$6:$A$125,0)),"")</f>
        <v/>
      </c>
      <c r="S12" s="17" t="str">
        <f aca="false">IF(L12&lt;&gt;"",L12,IF(K12="","Not assessed",IF(N(O12)&gt;=3,"Demonstrated","Gap - remediate")))</f>
        <v>Not assessed</v>
      </c>
      <c r="T12" s="17" t="str">
        <f aca="false">IF(J12="","No evidence pull assigned",IF(COUNTIF('Evidence Pulls'!$A$6:$A$125,J12)=0,"Pull ID not on Evidence Pulls sheet",IF(K12="","Not graded",IF(AND(G12="MANDATORY",L12="Gap - recommend tailoring"),"INVALID: safety-mandatory, not tailorable",IF(OR(P12="",P12=0),"NO NAMED EXECUTOR",IF(AND(H12="Full",IFERROR(INDEX('Evidence Pulls'!$C$6:$C$125,MATCH($J12,'Evidence Pulls'!$A$6:$A$125,0)),"")&lt;&gt;"Artifact",N(O12)&gt;=3,N(IFERROR(INDEX('Evidence Pulls'!$K$6:$K$125,MATCH($J12,'Evidence Pulls'!$A$6:$A$125,0)),""))=0),"Operating claimed with no sample",IF(AND(N(O12)&gt;=3,P12=1),"Operating rests on one individual",IF(AND(L12&lt;&gt;"",N12=""),"Override with no rationale in column N",IF(AND(G12="MANDATORY",N(O12)&lt;3),"SAFETY GATE: below Operating","OK")))))))))</f>
        <v>No evidence pull assigned</v>
      </c>
    </row>
    <row r="13" customFormat="false" ht="15" hidden="false" customHeight="false" outlineLevel="0" collapsed="false">
      <c r="A13" s="14" t="s">
        <v>146</v>
      </c>
      <c r="B13" s="14" t="s">
        <v>138</v>
      </c>
      <c r="C13" s="14" t="s">
        <v>139</v>
      </c>
      <c r="D13" s="14" t="s">
        <v>140</v>
      </c>
      <c r="E13" s="14" t="s">
        <v>147</v>
      </c>
      <c r="F13" s="15"/>
      <c r="G13" s="14"/>
      <c r="H13" s="14" t="s">
        <v>127</v>
      </c>
      <c r="I13" s="14" t="s">
        <v>128</v>
      </c>
      <c r="J13" s="16"/>
      <c r="K13" s="16"/>
      <c r="L13" s="16"/>
      <c r="M13" s="16"/>
      <c r="N13" s="16"/>
      <c r="O13" s="17" t="str">
        <f aca="false">IFERROR(INDEX(Lists!$B$3:$B$7,MATCH(K13,Lists!$A$3:$A$7,0)),"")</f>
        <v/>
      </c>
      <c r="P13" s="17" t="str">
        <f aca="false">IFERROR(INDEX('Evidence Pulls'!$P$6:$P$125,MATCH($J13,'Evidence Pulls'!$A$6:$A$125,0)),"")</f>
        <v/>
      </c>
      <c r="Q13" s="17" t="str">
        <f aca="false">IFERROR(INDEX('Evidence Pulls'!$H$6:$H$125,MATCH($J13,'Evidence Pulls'!$A$6:$A$125,0)),"")</f>
        <v/>
      </c>
      <c r="R13" s="17" t="str">
        <f aca="false">IFERROR(INDEX('Evidence Pulls'!$Q$6:$Q$125,MATCH($J13,'Evidence Pulls'!$A$6:$A$125,0)),"")</f>
        <v/>
      </c>
      <c r="S13" s="17" t="str">
        <f aca="false">IF(L13&lt;&gt;"",L13,IF(K13="","Not assessed",IF(N(O13)&gt;=3,"Demonstrated","Gap - remediate")))</f>
        <v>Not assessed</v>
      </c>
      <c r="T13" s="17" t="str">
        <f aca="false">IF(J13="","No evidence pull assigned",IF(COUNTIF('Evidence Pulls'!$A$6:$A$125,J13)=0,"Pull ID not on Evidence Pulls sheet",IF(K13="","Not graded",IF(AND(G13="MANDATORY",L13="Gap - recommend tailoring"),"INVALID: safety-mandatory, not tailorable",IF(OR(P13="",P13=0),"NO NAMED EXECUTOR",IF(AND(H13="Full",IFERROR(INDEX('Evidence Pulls'!$C$6:$C$125,MATCH($J13,'Evidence Pulls'!$A$6:$A$125,0)),"")&lt;&gt;"Artifact",N(O13)&gt;=3,N(IFERROR(INDEX('Evidence Pulls'!$K$6:$K$125,MATCH($J13,'Evidence Pulls'!$A$6:$A$125,0)),""))=0),"Operating claimed with no sample",IF(AND(N(O13)&gt;=3,P13=1),"Operating rests on one individual",IF(AND(L13&lt;&gt;"",N13=""),"Override with no rationale in column N",IF(AND(G13="MANDATORY",N(O13)&lt;3),"SAFETY GATE: below Operating","OK")))))))))</f>
        <v>No evidence pull assigned</v>
      </c>
    </row>
    <row r="14" customFormat="false" ht="15" hidden="false" customHeight="false" outlineLevel="0" collapsed="false">
      <c r="A14" s="14" t="s">
        <v>148</v>
      </c>
      <c r="B14" s="14" t="s">
        <v>138</v>
      </c>
      <c r="C14" s="14" t="s">
        <v>139</v>
      </c>
      <c r="D14" s="14" t="s">
        <v>140</v>
      </c>
      <c r="E14" s="14" t="s">
        <v>149</v>
      </c>
      <c r="F14" s="15"/>
      <c r="G14" s="14"/>
      <c r="H14" s="14" t="s">
        <v>127</v>
      </c>
      <c r="I14" s="14" t="s">
        <v>128</v>
      </c>
      <c r="J14" s="16"/>
      <c r="K14" s="16"/>
      <c r="L14" s="16"/>
      <c r="M14" s="16"/>
      <c r="N14" s="16"/>
      <c r="O14" s="17" t="str">
        <f aca="false">IFERROR(INDEX(Lists!$B$3:$B$7,MATCH(K14,Lists!$A$3:$A$7,0)),"")</f>
        <v/>
      </c>
      <c r="P14" s="17" t="str">
        <f aca="false">IFERROR(INDEX('Evidence Pulls'!$P$6:$P$125,MATCH($J14,'Evidence Pulls'!$A$6:$A$125,0)),"")</f>
        <v/>
      </c>
      <c r="Q14" s="17" t="str">
        <f aca="false">IFERROR(INDEX('Evidence Pulls'!$H$6:$H$125,MATCH($J14,'Evidence Pulls'!$A$6:$A$125,0)),"")</f>
        <v/>
      </c>
      <c r="R14" s="17" t="str">
        <f aca="false">IFERROR(INDEX('Evidence Pulls'!$Q$6:$Q$125,MATCH($J14,'Evidence Pulls'!$A$6:$A$125,0)),"")</f>
        <v/>
      </c>
      <c r="S14" s="17" t="str">
        <f aca="false">IF(L14&lt;&gt;"",L14,IF(K14="","Not assessed",IF(N(O14)&gt;=3,"Demonstrated","Gap - remediate")))</f>
        <v>Not assessed</v>
      </c>
      <c r="T14" s="17" t="str">
        <f aca="false">IF(J14="","No evidence pull assigned",IF(COUNTIF('Evidence Pulls'!$A$6:$A$125,J14)=0,"Pull ID not on Evidence Pulls sheet",IF(K14="","Not graded",IF(AND(G14="MANDATORY",L14="Gap - recommend tailoring"),"INVALID: safety-mandatory, not tailorable",IF(OR(P14="",P14=0),"NO NAMED EXECUTOR",IF(AND(H14="Full",IFERROR(INDEX('Evidence Pulls'!$C$6:$C$125,MATCH($J14,'Evidence Pulls'!$A$6:$A$125,0)),"")&lt;&gt;"Artifact",N(O14)&gt;=3,N(IFERROR(INDEX('Evidence Pulls'!$K$6:$K$125,MATCH($J14,'Evidence Pulls'!$A$6:$A$125,0)),""))=0),"Operating claimed with no sample",IF(AND(N(O14)&gt;=3,P14=1),"Operating rests on one individual",IF(AND(L14&lt;&gt;"",N14=""),"Override with no rationale in column N",IF(AND(G14="MANDATORY",N(O14)&lt;3),"SAFETY GATE: below Operating","OK")))))))))</f>
        <v>No evidence pull assigned</v>
      </c>
    </row>
    <row r="15" customFormat="false" ht="15" hidden="false" customHeight="false" outlineLevel="0" collapsed="false">
      <c r="A15" s="14" t="s">
        <v>150</v>
      </c>
      <c r="B15" s="14" t="s">
        <v>138</v>
      </c>
      <c r="C15" s="14" t="s">
        <v>139</v>
      </c>
      <c r="D15" s="14" t="s">
        <v>140</v>
      </c>
      <c r="E15" s="14" t="s">
        <v>151</v>
      </c>
      <c r="F15" s="15"/>
      <c r="G15" s="14"/>
      <c r="H15" s="14" t="s">
        <v>127</v>
      </c>
      <c r="I15" s="14" t="s">
        <v>128</v>
      </c>
      <c r="J15" s="16"/>
      <c r="K15" s="16"/>
      <c r="L15" s="16"/>
      <c r="M15" s="16"/>
      <c r="N15" s="16"/>
      <c r="O15" s="17" t="str">
        <f aca="false">IFERROR(INDEX(Lists!$B$3:$B$7,MATCH(K15,Lists!$A$3:$A$7,0)),"")</f>
        <v/>
      </c>
      <c r="P15" s="17" t="str">
        <f aca="false">IFERROR(INDEX('Evidence Pulls'!$P$6:$P$125,MATCH($J15,'Evidence Pulls'!$A$6:$A$125,0)),"")</f>
        <v/>
      </c>
      <c r="Q15" s="17" t="str">
        <f aca="false">IFERROR(INDEX('Evidence Pulls'!$H$6:$H$125,MATCH($J15,'Evidence Pulls'!$A$6:$A$125,0)),"")</f>
        <v/>
      </c>
      <c r="R15" s="17" t="str">
        <f aca="false">IFERROR(INDEX('Evidence Pulls'!$Q$6:$Q$125,MATCH($J15,'Evidence Pulls'!$A$6:$A$125,0)),"")</f>
        <v/>
      </c>
      <c r="S15" s="17" t="str">
        <f aca="false">IF(L15&lt;&gt;"",L15,IF(K15="","Not assessed",IF(N(O15)&gt;=3,"Demonstrated","Gap - remediate")))</f>
        <v>Not assessed</v>
      </c>
      <c r="T15" s="17" t="str">
        <f aca="false">IF(J15="","No evidence pull assigned",IF(COUNTIF('Evidence Pulls'!$A$6:$A$125,J15)=0,"Pull ID not on Evidence Pulls sheet",IF(K15="","Not graded",IF(AND(G15="MANDATORY",L15="Gap - recommend tailoring"),"INVALID: safety-mandatory, not tailorable",IF(OR(P15="",P15=0),"NO NAMED EXECUTOR",IF(AND(H15="Full",IFERROR(INDEX('Evidence Pulls'!$C$6:$C$125,MATCH($J15,'Evidence Pulls'!$A$6:$A$125,0)),"")&lt;&gt;"Artifact",N(O15)&gt;=3,N(IFERROR(INDEX('Evidence Pulls'!$K$6:$K$125,MATCH($J15,'Evidence Pulls'!$A$6:$A$125,0)),""))=0),"Operating claimed with no sample",IF(AND(N(O15)&gt;=3,P15=1),"Operating rests on one individual",IF(AND(L15&lt;&gt;"",N15=""),"Override with no rationale in column N",IF(AND(G15="MANDATORY",N(O15)&lt;3),"SAFETY GATE: below Operating","OK")))))))))</f>
        <v>No evidence pull assigned</v>
      </c>
    </row>
    <row r="16" customFormat="false" ht="15" hidden="false" customHeight="false" outlineLevel="0" collapsed="false">
      <c r="A16" s="14" t="s">
        <v>152</v>
      </c>
      <c r="B16" s="14" t="s">
        <v>138</v>
      </c>
      <c r="C16" s="14" t="s">
        <v>139</v>
      </c>
      <c r="D16" s="14" t="s">
        <v>140</v>
      </c>
      <c r="E16" s="14" t="s">
        <v>153</v>
      </c>
      <c r="F16" s="15"/>
      <c r="G16" s="14"/>
      <c r="H16" s="14" t="s">
        <v>127</v>
      </c>
      <c r="I16" s="14" t="s">
        <v>128</v>
      </c>
      <c r="J16" s="16"/>
      <c r="K16" s="16"/>
      <c r="L16" s="16"/>
      <c r="M16" s="16"/>
      <c r="N16" s="16"/>
      <c r="O16" s="17" t="str">
        <f aca="false">IFERROR(INDEX(Lists!$B$3:$B$7,MATCH(K16,Lists!$A$3:$A$7,0)),"")</f>
        <v/>
      </c>
      <c r="P16" s="17" t="str">
        <f aca="false">IFERROR(INDEX('Evidence Pulls'!$P$6:$P$125,MATCH($J16,'Evidence Pulls'!$A$6:$A$125,0)),"")</f>
        <v/>
      </c>
      <c r="Q16" s="17" t="str">
        <f aca="false">IFERROR(INDEX('Evidence Pulls'!$H$6:$H$125,MATCH($J16,'Evidence Pulls'!$A$6:$A$125,0)),"")</f>
        <v/>
      </c>
      <c r="R16" s="17" t="str">
        <f aca="false">IFERROR(INDEX('Evidence Pulls'!$Q$6:$Q$125,MATCH($J16,'Evidence Pulls'!$A$6:$A$125,0)),"")</f>
        <v/>
      </c>
      <c r="S16" s="17" t="str">
        <f aca="false">IF(L16&lt;&gt;"",L16,IF(K16="","Not assessed",IF(N(O16)&gt;=3,"Demonstrated","Gap - remediate")))</f>
        <v>Not assessed</v>
      </c>
      <c r="T16" s="17" t="str">
        <f aca="false">IF(J16="","No evidence pull assigned",IF(COUNTIF('Evidence Pulls'!$A$6:$A$125,J16)=0,"Pull ID not on Evidence Pulls sheet",IF(K16="","Not graded",IF(AND(G16="MANDATORY",L16="Gap - recommend tailoring"),"INVALID: safety-mandatory, not tailorable",IF(OR(P16="",P16=0),"NO NAMED EXECUTOR",IF(AND(H16="Full",IFERROR(INDEX('Evidence Pulls'!$C$6:$C$125,MATCH($J16,'Evidence Pulls'!$A$6:$A$125,0)),"")&lt;&gt;"Artifact",N(O16)&gt;=3,N(IFERROR(INDEX('Evidence Pulls'!$K$6:$K$125,MATCH($J16,'Evidence Pulls'!$A$6:$A$125,0)),""))=0),"Operating claimed with no sample",IF(AND(N(O16)&gt;=3,P16=1),"Operating rests on one individual",IF(AND(L16&lt;&gt;"",N16=""),"Override with no rationale in column N",IF(AND(G16="MANDATORY",N(O16)&lt;3),"SAFETY GATE: below Operating","OK")))))))))</f>
        <v>No evidence pull assigned</v>
      </c>
    </row>
    <row r="17" customFormat="false" ht="15" hidden="false" customHeight="false" outlineLevel="0" collapsed="false">
      <c r="A17" s="14" t="s">
        <v>154</v>
      </c>
      <c r="B17" s="14" t="s">
        <v>138</v>
      </c>
      <c r="C17" s="14" t="s">
        <v>139</v>
      </c>
      <c r="D17" s="14" t="s">
        <v>140</v>
      </c>
      <c r="E17" s="14" t="s">
        <v>155</v>
      </c>
      <c r="F17" s="15"/>
      <c r="G17" s="14"/>
      <c r="H17" s="14" t="s">
        <v>127</v>
      </c>
      <c r="I17" s="14" t="s">
        <v>128</v>
      </c>
      <c r="J17" s="16"/>
      <c r="K17" s="16"/>
      <c r="L17" s="16"/>
      <c r="M17" s="16"/>
      <c r="N17" s="16"/>
      <c r="O17" s="17" t="str">
        <f aca="false">IFERROR(INDEX(Lists!$B$3:$B$7,MATCH(K17,Lists!$A$3:$A$7,0)),"")</f>
        <v/>
      </c>
      <c r="P17" s="17" t="str">
        <f aca="false">IFERROR(INDEX('Evidence Pulls'!$P$6:$P$125,MATCH($J17,'Evidence Pulls'!$A$6:$A$125,0)),"")</f>
        <v/>
      </c>
      <c r="Q17" s="17" t="str">
        <f aca="false">IFERROR(INDEX('Evidence Pulls'!$H$6:$H$125,MATCH($J17,'Evidence Pulls'!$A$6:$A$125,0)),"")</f>
        <v/>
      </c>
      <c r="R17" s="17" t="str">
        <f aca="false">IFERROR(INDEX('Evidence Pulls'!$Q$6:$Q$125,MATCH($J17,'Evidence Pulls'!$A$6:$A$125,0)),"")</f>
        <v/>
      </c>
      <c r="S17" s="17" t="str">
        <f aca="false">IF(L17&lt;&gt;"",L17,IF(K17="","Not assessed",IF(N(O17)&gt;=3,"Demonstrated","Gap - remediate")))</f>
        <v>Not assessed</v>
      </c>
      <c r="T17" s="17" t="str">
        <f aca="false">IF(J17="","No evidence pull assigned",IF(COUNTIF('Evidence Pulls'!$A$6:$A$125,J17)=0,"Pull ID not on Evidence Pulls sheet",IF(K17="","Not graded",IF(AND(G17="MANDATORY",L17="Gap - recommend tailoring"),"INVALID: safety-mandatory, not tailorable",IF(OR(P17="",P17=0),"NO NAMED EXECUTOR",IF(AND(H17="Full",IFERROR(INDEX('Evidence Pulls'!$C$6:$C$125,MATCH($J17,'Evidence Pulls'!$A$6:$A$125,0)),"")&lt;&gt;"Artifact",N(O17)&gt;=3,N(IFERROR(INDEX('Evidence Pulls'!$K$6:$K$125,MATCH($J17,'Evidence Pulls'!$A$6:$A$125,0)),""))=0),"Operating claimed with no sample",IF(AND(N(O17)&gt;=3,P17=1),"Operating rests on one individual",IF(AND(L17&lt;&gt;"",N17=""),"Override with no rationale in column N",IF(AND(G17="MANDATORY",N(O17)&lt;3),"SAFETY GATE: below Operating","OK")))))))))</f>
        <v>No evidence pull assigned</v>
      </c>
    </row>
    <row r="18" customFormat="false" ht="15" hidden="false" customHeight="false" outlineLevel="0" collapsed="false">
      <c r="A18" s="14" t="s">
        <v>156</v>
      </c>
      <c r="B18" s="14" t="s">
        <v>138</v>
      </c>
      <c r="C18" s="14" t="s">
        <v>139</v>
      </c>
      <c r="D18" s="14" t="s">
        <v>140</v>
      </c>
      <c r="E18" s="14" t="s">
        <v>157</v>
      </c>
      <c r="F18" s="15"/>
      <c r="G18" s="14"/>
      <c r="H18" s="14" t="s">
        <v>127</v>
      </c>
      <c r="I18" s="14" t="s">
        <v>128</v>
      </c>
      <c r="J18" s="16"/>
      <c r="K18" s="16"/>
      <c r="L18" s="16"/>
      <c r="M18" s="16"/>
      <c r="N18" s="16"/>
      <c r="O18" s="17" t="str">
        <f aca="false">IFERROR(INDEX(Lists!$B$3:$B$7,MATCH(K18,Lists!$A$3:$A$7,0)),"")</f>
        <v/>
      </c>
      <c r="P18" s="17" t="str">
        <f aca="false">IFERROR(INDEX('Evidence Pulls'!$P$6:$P$125,MATCH($J18,'Evidence Pulls'!$A$6:$A$125,0)),"")</f>
        <v/>
      </c>
      <c r="Q18" s="17" t="str">
        <f aca="false">IFERROR(INDEX('Evidence Pulls'!$H$6:$H$125,MATCH($J18,'Evidence Pulls'!$A$6:$A$125,0)),"")</f>
        <v/>
      </c>
      <c r="R18" s="17" t="str">
        <f aca="false">IFERROR(INDEX('Evidence Pulls'!$Q$6:$Q$125,MATCH($J18,'Evidence Pulls'!$A$6:$A$125,0)),"")</f>
        <v/>
      </c>
      <c r="S18" s="17" t="str">
        <f aca="false">IF(L18&lt;&gt;"",L18,IF(K18="","Not assessed",IF(N(O18)&gt;=3,"Demonstrated","Gap - remediate")))</f>
        <v>Not assessed</v>
      </c>
      <c r="T18" s="17" t="str">
        <f aca="false">IF(J18="","No evidence pull assigned",IF(COUNTIF('Evidence Pulls'!$A$6:$A$125,J18)=0,"Pull ID not on Evidence Pulls sheet",IF(K18="","Not graded",IF(AND(G18="MANDATORY",L18="Gap - recommend tailoring"),"INVALID: safety-mandatory, not tailorable",IF(OR(P18="",P18=0),"NO NAMED EXECUTOR",IF(AND(H18="Full",IFERROR(INDEX('Evidence Pulls'!$C$6:$C$125,MATCH($J18,'Evidence Pulls'!$A$6:$A$125,0)),"")&lt;&gt;"Artifact",N(O18)&gt;=3,N(IFERROR(INDEX('Evidence Pulls'!$K$6:$K$125,MATCH($J18,'Evidence Pulls'!$A$6:$A$125,0)),""))=0),"Operating claimed with no sample",IF(AND(N(O18)&gt;=3,P18=1),"Operating rests on one individual",IF(AND(L18&lt;&gt;"",N18=""),"Override with no rationale in column N",IF(AND(G18="MANDATORY",N(O18)&lt;3),"SAFETY GATE: below Operating","OK")))))))))</f>
        <v>No evidence pull assigned</v>
      </c>
    </row>
    <row r="19" customFormat="false" ht="15" hidden="false" customHeight="false" outlineLevel="0" collapsed="false">
      <c r="A19" s="14" t="s">
        <v>158</v>
      </c>
      <c r="B19" s="14" t="s">
        <v>138</v>
      </c>
      <c r="C19" s="14" t="s">
        <v>139</v>
      </c>
      <c r="D19" s="14" t="s">
        <v>140</v>
      </c>
      <c r="E19" s="14" t="s">
        <v>159</v>
      </c>
      <c r="F19" s="15"/>
      <c r="G19" s="14"/>
      <c r="H19" s="14" t="s">
        <v>127</v>
      </c>
      <c r="I19" s="14" t="s">
        <v>128</v>
      </c>
      <c r="J19" s="16"/>
      <c r="K19" s="16"/>
      <c r="L19" s="16"/>
      <c r="M19" s="16"/>
      <c r="N19" s="16"/>
      <c r="O19" s="17" t="str">
        <f aca="false">IFERROR(INDEX(Lists!$B$3:$B$7,MATCH(K19,Lists!$A$3:$A$7,0)),"")</f>
        <v/>
      </c>
      <c r="P19" s="17" t="str">
        <f aca="false">IFERROR(INDEX('Evidence Pulls'!$P$6:$P$125,MATCH($J19,'Evidence Pulls'!$A$6:$A$125,0)),"")</f>
        <v/>
      </c>
      <c r="Q19" s="17" t="str">
        <f aca="false">IFERROR(INDEX('Evidence Pulls'!$H$6:$H$125,MATCH($J19,'Evidence Pulls'!$A$6:$A$125,0)),"")</f>
        <v/>
      </c>
      <c r="R19" s="17" t="str">
        <f aca="false">IFERROR(INDEX('Evidence Pulls'!$Q$6:$Q$125,MATCH($J19,'Evidence Pulls'!$A$6:$A$125,0)),"")</f>
        <v/>
      </c>
      <c r="S19" s="17" t="str">
        <f aca="false">IF(L19&lt;&gt;"",L19,IF(K19="","Not assessed",IF(N(O19)&gt;=3,"Demonstrated","Gap - remediate")))</f>
        <v>Not assessed</v>
      </c>
      <c r="T19" s="17" t="str">
        <f aca="false">IF(J19="","No evidence pull assigned",IF(COUNTIF('Evidence Pulls'!$A$6:$A$125,J19)=0,"Pull ID not on Evidence Pulls sheet",IF(K19="","Not graded",IF(AND(G19="MANDATORY",L19="Gap - recommend tailoring"),"INVALID: safety-mandatory, not tailorable",IF(OR(P19="",P19=0),"NO NAMED EXECUTOR",IF(AND(H19="Full",IFERROR(INDEX('Evidence Pulls'!$C$6:$C$125,MATCH($J19,'Evidence Pulls'!$A$6:$A$125,0)),"")&lt;&gt;"Artifact",N(O19)&gt;=3,N(IFERROR(INDEX('Evidence Pulls'!$K$6:$K$125,MATCH($J19,'Evidence Pulls'!$A$6:$A$125,0)),""))=0),"Operating claimed with no sample",IF(AND(N(O19)&gt;=3,P19=1),"Operating rests on one individual",IF(AND(L19&lt;&gt;"",N19=""),"Override with no rationale in column N",IF(AND(G19="MANDATORY",N(O19)&lt;3),"SAFETY GATE: below Operating","OK")))))))))</f>
        <v>No evidence pull assigned</v>
      </c>
    </row>
    <row r="20" customFormat="false" ht="15" hidden="false" customHeight="false" outlineLevel="0" collapsed="false">
      <c r="A20" s="14" t="s">
        <v>160</v>
      </c>
      <c r="B20" s="14" t="s">
        <v>138</v>
      </c>
      <c r="C20" s="14" t="s">
        <v>139</v>
      </c>
      <c r="D20" s="14" t="s">
        <v>140</v>
      </c>
      <c r="E20" s="14" t="s">
        <v>161</v>
      </c>
      <c r="F20" s="15"/>
      <c r="G20" s="14"/>
      <c r="H20" s="14" t="s">
        <v>127</v>
      </c>
      <c r="I20" s="14" t="s">
        <v>128</v>
      </c>
      <c r="J20" s="16"/>
      <c r="K20" s="16"/>
      <c r="L20" s="16"/>
      <c r="M20" s="16"/>
      <c r="N20" s="16"/>
      <c r="O20" s="17" t="str">
        <f aca="false">IFERROR(INDEX(Lists!$B$3:$B$7,MATCH(K20,Lists!$A$3:$A$7,0)),"")</f>
        <v/>
      </c>
      <c r="P20" s="17" t="str">
        <f aca="false">IFERROR(INDEX('Evidence Pulls'!$P$6:$P$125,MATCH($J20,'Evidence Pulls'!$A$6:$A$125,0)),"")</f>
        <v/>
      </c>
      <c r="Q20" s="17" t="str">
        <f aca="false">IFERROR(INDEX('Evidence Pulls'!$H$6:$H$125,MATCH($J20,'Evidence Pulls'!$A$6:$A$125,0)),"")</f>
        <v/>
      </c>
      <c r="R20" s="17" t="str">
        <f aca="false">IFERROR(INDEX('Evidence Pulls'!$Q$6:$Q$125,MATCH($J20,'Evidence Pulls'!$A$6:$A$125,0)),"")</f>
        <v/>
      </c>
      <c r="S20" s="17" t="str">
        <f aca="false">IF(L20&lt;&gt;"",L20,IF(K20="","Not assessed",IF(N(O20)&gt;=3,"Demonstrated","Gap - remediate")))</f>
        <v>Not assessed</v>
      </c>
      <c r="T20" s="17" t="str">
        <f aca="false">IF(J20="","No evidence pull assigned",IF(COUNTIF('Evidence Pulls'!$A$6:$A$125,J20)=0,"Pull ID not on Evidence Pulls sheet",IF(K20="","Not graded",IF(AND(G20="MANDATORY",L20="Gap - recommend tailoring"),"INVALID: safety-mandatory, not tailorable",IF(OR(P20="",P20=0),"NO NAMED EXECUTOR",IF(AND(H20="Full",IFERROR(INDEX('Evidence Pulls'!$C$6:$C$125,MATCH($J20,'Evidence Pulls'!$A$6:$A$125,0)),"")&lt;&gt;"Artifact",N(O20)&gt;=3,N(IFERROR(INDEX('Evidence Pulls'!$K$6:$K$125,MATCH($J20,'Evidence Pulls'!$A$6:$A$125,0)),""))=0),"Operating claimed with no sample",IF(AND(N(O20)&gt;=3,P20=1),"Operating rests on one individual",IF(AND(L20&lt;&gt;"",N20=""),"Override with no rationale in column N",IF(AND(G20="MANDATORY",N(O20)&lt;3),"SAFETY GATE: below Operating","OK")))))))))</f>
        <v>No evidence pull assigned</v>
      </c>
    </row>
    <row r="21" customFormat="false" ht="22.35" hidden="false" customHeight="false" outlineLevel="0" collapsed="false">
      <c r="A21" s="14" t="s">
        <v>162</v>
      </c>
      <c r="B21" s="14" t="s">
        <v>138</v>
      </c>
      <c r="C21" s="14" t="s">
        <v>163</v>
      </c>
      <c r="D21" s="14" t="s">
        <v>164</v>
      </c>
      <c r="E21" s="14" t="s">
        <v>126</v>
      </c>
      <c r="F21" s="15"/>
      <c r="G21" s="14"/>
      <c r="H21" s="14" t="s">
        <v>127</v>
      </c>
      <c r="I21" s="14" t="s">
        <v>128</v>
      </c>
      <c r="J21" s="16"/>
      <c r="K21" s="16"/>
      <c r="L21" s="16"/>
      <c r="M21" s="16"/>
      <c r="N21" s="16"/>
      <c r="O21" s="17" t="str">
        <f aca="false">IFERROR(INDEX(Lists!$B$3:$B$7,MATCH(K21,Lists!$A$3:$A$7,0)),"")</f>
        <v/>
      </c>
      <c r="P21" s="17" t="str">
        <f aca="false">IFERROR(INDEX('Evidence Pulls'!$P$6:$P$125,MATCH($J21,'Evidence Pulls'!$A$6:$A$125,0)),"")</f>
        <v/>
      </c>
      <c r="Q21" s="17" t="str">
        <f aca="false">IFERROR(INDEX('Evidence Pulls'!$H$6:$H$125,MATCH($J21,'Evidence Pulls'!$A$6:$A$125,0)),"")</f>
        <v/>
      </c>
      <c r="R21" s="17" t="str">
        <f aca="false">IFERROR(INDEX('Evidence Pulls'!$Q$6:$Q$125,MATCH($J21,'Evidence Pulls'!$A$6:$A$125,0)),"")</f>
        <v/>
      </c>
      <c r="S21" s="17" t="str">
        <f aca="false">IF(L21&lt;&gt;"",L21,IF(K21="","Not assessed",IF(N(O21)&gt;=3,"Demonstrated","Gap - remediate")))</f>
        <v>Not assessed</v>
      </c>
      <c r="T21" s="17" t="str">
        <f aca="false">IF(J21="","No evidence pull assigned",IF(COUNTIF('Evidence Pulls'!$A$6:$A$125,J21)=0,"Pull ID not on Evidence Pulls sheet",IF(K21="","Not graded",IF(AND(G21="MANDATORY",L21="Gap - recommend tailoring"),"INVALID: safety-mandatory, not tailorable",IF(OR(P21="",P21=0),"NO NAMED EXECUTOR",IF(AND(H21="Full",IFERROR(INDEX('Evidence Pulls'!$C$6:$C$125,MATCH($J21,'Evidence Pulls'!$A$6:$A$125,0)),"")&lt;&gt;"Artifact",N(O21)&gt;=3,N(IFERROR(INDEX('Evidence Pulls'!$K$6:$K$125,MATCH($J21,'Evidence Pulls'!$A$6:$A$125,0)),""))=0),"Operating claimed with no sample",IF(AND(N(O21)&gt;=3,P21=1),"Operating rests on one individual",IF(AND(L21&lt;&gt;"",N21=""),"Override with no rationale in column N",IF(AND(G21="MANDATORY",N(O21)&lt;3),"SAFETY GATE: below Operating","OK")))))))))</f>
        <v>No evidence pull assigned</v>
      </c>
    </row>
    <row r="22" customFormat="false" ht="22.35" hidden="false" customHeight="false" outlineLevel="0" collapsed="false">
      <c r="A22" s="14" t="s">
        <v>165</v>
      </c>
      <c r="B22" s="14" t="s">
        <v>138</v>
      </c>
      <c r="C22" s="14" t="s">
        <v>163</v>
      </c>
      <c r="D22" s="14" t="s">
        <v>164</v>
      </c>
      <c r="E22" s="14" t="s">
        <v>130</v>
      </c>
      <c r="F22" s="15"/>
      <c r="G22" s="14"/>
      <c r="H22" s="14" t="s">
        <v>127</v>
      </c>
      <c r="I22" s="14" t="s">
        <v>128</v>
      </c>
      <c r="J22" s="16"/>
      <c r="K22" s="16"/>
      <c r="L22" s="16"/>
      <c r="M22" s="16"/>
      <c r="N22" s="16"/>
      <c r="O22" s="17" t="str">
        <f aca="false">IFERROR(INDEX(Lists!$B$3:$B$7,MATCH(K22,Lists!$A$3:$A$7,0)),"")</f>
        <v/>
      </c>
      <c r="P22" s="17" t="str">
        <f aca="false">IFERROR(INDEX('Evidence Pulls'!$P$6:$P$125,MATCH($J22,'Evidence Pulls'!$A$6:$A$125,0)),"")</f>
        <v/>
      </c>
      <c r="Q22" s="17" t="str">
        <f aca="false">IFERROR(INDEX('Evidence Pulls'!$H$6:$H$125,MATCH($J22,'Evidence Pulls'!$A$6:$A$125,0)),"")</f>
        <v/>
      </c>
      <c r="R22" s="17" t="str">
        <f aca="false">IFERROR(INDEX('Evidence Pulls'!$Q$6:$Q$125,MATCH($J22,'Evidence Pulls'!$A$6:$A$125,0)),"")</f>
        <v/>
      </c>
      <c r="S22" s="17" t="str">
        <f aca="false">IF(L22&lt;&gt;"",L22,IF(K22="","Not assessed",IF(N(O22)&gt;=3,"Demonstrated","Gap - remediate")))</f>
        <v>Not assessed</v>
      </c>
      <c r="T22" s="17" t="str">
        <f aca="false">IF(J22="","No evidence pull assigned",IF(COUNTIF('Evidence Pulls'!$A$6:$A$125,J22)=0,"Pull ID not on Evidence Pulls sheet",IF(K22="","Not graded",IF(AND(G22="MANDATORY",L22="Gap - recommend tailoring"),"INVALID: safety-mandatory, not tailorable",IF(OR(P22="",P22=0),"NO NAMED EXECUTOR",IF(AND(H22="Full",IFERROR(INDEX('Evidence Pulls'!$C$6:$C$125,MATCH($J22,'Evidence Pulls'!$A$6:$A$125,0)),"")&lt;&gt;"Artifact",N(O22)&gt;=3,N(IFERROR(INDEX('Evidence Pulls'!$K$6:$K$125,MATCH($J22,'Evidence Pulls'!$A$6:$A$125,0)),""))=0),"Operating claimed with no sample",IF(AND(N(O22)&gt;=3,P22=1),"Operating rests on one individual",IF(AND(L22&lt;&gt;"",N22=""),"Override with no rationale in column N",IF(AND(G22="MANDATORY",N(O22)&lt;3),"SAFETY GATE: below Operating","OK")))))))))</f>
        <v>No evidence pull assigned</v>
      </c>
    </row>
    <row r="23" customFormat="false" ht="15" hidden="false" customHeight="false" outlineLevel="0" collapsed="false">
      <c r="A23" s="14" t="s">
        <v>166</v>
      </c>
      <c r="B23" s="14" t="s">
        <v>138</v>
      </c>
      <c r="C23" s="14" t="s">
        <v>167</v>
      </c>
      <c r="D23" s="14" t="s">
        <v>168</v>
      </c>
      <c r="E23" s="14" t="s">
        <v>126</v>
      </c>
      <c r="F23" s="15"/>
      <c r="G23" s="14"/>
      <c r="H23" s="14" t="s">
        <v>127</v>
      </c>
      <c r="I23" s="14" t="s">
        <v>128</v>
      </c>
      <c r="J23" s="16"/>
      <c r="K23" s="16"/>
      <c r="L23" s="16"/>
      <c r="M23" s="16"/>
      <c r="N23" s="16"/>
      <c r="O23" s="17" t="str">
        <f aca="false">IFERROR(INDEX(Lists!$B$3:$B$7,MATCH(K23,Lists!$A$3:$A$7,0)),"")</f>
        <v/>
      </c>
      <c r="P23" s="17" t="str">
        <f aca="false">IFERROR(INDEX('Evidence Pulls'!$P$6:$P$125,MATCH($J23,'Evidence Pulls'!$A$6:$A$125,0)),"")</f>
        <v/>
      </c>
      <c r="Q23" s="17" t="str">
        <f aca="false">IFERROR(INDEX('Evidence Pulls'!$H$6:$H$125,MATCH($J23,'Evidence Pulls'!$A$6:$A$125,0)),"")</f>
        <v/>
      </c>
      <c r="R23" s="17" t="str">
        <f aca="false">IFERROR(INDEX('Evidence Pulls'!$Q$6:$Q$125,MATCH($J23,'Evidence Pulls'!$A$6:$A$125,0)),"")</f>
        <v/>
      </c>
      <c r="S23" s="17" t="str">
        <f aca="false">IF(L23&lt;&gt;"",L23,IF(K23="","Not assessed",IF(N(O23)&gt;=3,"Demonstrated","Gap - remediate")))</f>
        <v>Not assessed</v>
      </c>
      <c r="T23" s="17" t="str">
        <f aca="false">IF(J23="","No evidence pull assigned",IF(COUNTIF('Evidence Pulls'!$A$6:$A$125,J23)=0,"Pull ID not on Evidence Pulls sheet",IF(K23="","Not graded",IF(AND(G23="MANDATORY",L23="Gap - recommend tailoring"),"INVALID: safety-mandatory, not tailorable",IF(OR(P23="",P23=0),"NO NAMED EXECUTOR",IF(AND(H23="Full",IFERROR(INDEX('Evidence Pulls'!$C$6:$C$125,MATCH($J23,'Evidence Pulls'!$A$6:$A$125,0)),"")&lt;&gt;"Artifact",N(O23)&gt;=3,N(IFERROR(INDEX('Evidence Pulls'!$K$6:$K$125,MATCH($J23,'Evidence Pulls'!$A$6:$A$125,0)),""))=0),"Operating claimed with no sample",IF(AND(N(O23)&gt;=3,P23=1),"Operating rests on one individual",IF(AND(L23&lt;&gt;"",N23=""),"Override with no rationale in column N",IF(AND(G23="MANDATORY",N(O23)&lt;3),"SAFETY GATE: below Operating","OK")))))))))</f>
        <v>No evidence pull assigned</v>
      </c>
    </row>
    <row r="24" customFormat="false" ht="15" hidden="false" customHeight="false" outlineLevel="0" collapsed="false">
      <c r="A24" s="14" t="s">
        <v>169</v>
      </c>
      <c r="B24" s="14" t="s">
        <v>138</v>
      </c>
      <c r="C24" s="14" t="s">
        <v>170</v>
      </c>
      <c r="D24" s="14" t="s">
        <v>171</v>
      </c>
      <c r="E24" s="14" t="s">
        <v>126</v>
      </c>
      <c r="F24" s="15"/>
      <c r="G24" s="14"/>
      <c r="H24" s="14" t="s">
        <v>127</v>
      </c>
      <c r="I24" s="14" t="s">
        <v>128</v>
      </c>
      <c r="J24" s="16"/>
      <c r="K24" s="16"/>
      <c r="L24" s="16"/>
      <c r="M24" s="16"/>
      <c r="N24" s="16"/>
      <c r="O24" s="17" t="str">
        <f aca="false">IFERROR(INDEX(Lists!$B$3:$B$7,MATCH(K24,Lists!$A$3:$A$7,0)),"")</f>
        <v/>
      </c>
      <c r="P24" s="17" t="str">
        <f aca="false">IFERROR(INDEX('Evidence Pulls'!$P$6:$P$125,MATCH($J24,'Evidence Pulls'!$A$6:$A$125,0)),"")</f>
        <v/>
      </c>
      <c r="Q24" s="17" t="str">
        <f aca="false">IFERROR(INDEX('Evidence Pulls'!$H$6:$H$125,MATCH($J24,'Evidence Pulls'!$A$6:$A$125,0)),"")</f>
        <v/>
      </c>
      <c r="R24" s="17" t="str">
        <f aca="false">IFERROR(INDEX('Evidence Pulls'!$Q$6:$Q$125,MATCH($J24,'Evidence Pulls'!$A$6:$A$125,0)),"")</f>
        <v/>
      </c>
      <c r="S24" s="17" t="str">
        <f aca="false">IF(L24&lt;&gt;"",L24,IF(K24="","Not assessed",IF(N(O24)&gt;=3,"Demonstrated","Gap - remediate")))</f>
        <v>Not assessed</v>
      </c>
      <c r="T24" s="17" t="str">
        <f aca="false">IF(J24="","No evidence pull assigned",IF(COUNTIF('Evidence Pulls'!$A$6:$A$125,J24)=0,"Pull ID not on Evidence Pulls sheet",IF(K24="","Not graded",IF(AND(G24="MANDATORY",L24="Gap - recommend tailoring"),"INVALID: safety-mandatory, not tailorable",IF(OR(P24="",P24=0),"NO NAMED EXECUTOR",IF(AND(H24="Full",IFERROR(INDEX('Evidence Pulls'!$C$6:$C$125,MATCH($J24,'Evidence Pulls'!$A$6:$A$125,0)),"")&lt;&gt;"Artifact",N(O24)&gt;=3,N(IFERROR(INDEX('Evidence Pulls'!$K$6:$K$125,MATCH($J24,'Evidence Pulls'!$A$6:$A$125,0)),""))=0),"Operating claimed with no sample",IF(AND(N(O24)&gt;=3,P24=1),"Operating rests on one individual",IF(AND(L24&lt;&gt;"",N24=""),"Override with no rationale in column N",IF(AND(G24="MANDATORY",N(O24)&lt;3),"SAFETY GATE: below Operating","OK")))))))))</f>
        <v>No evidence pull assigned</v>
      </c>
    </row>
    <row r="25" customFormat="false" ht="22.35" hidden="false" customHeight="false" outlineLevel="0" collapsed="false">
      <c r="A25" s="14" t="s">
        <v>172</v>
      </c>
      <c r="B25" s="14" t="s">
        <v>138</v>
      </c>
      <c r="C25" s="14" t="s">
        <v>173</v>
      </c>
      <c r="D25" s="14" t="s">
        <v>174</v>
      </c>
      <c r="E25" s="14" t="s">
        <v>126</v>
      </c>
      <c r="F25" s="15"/>
      <c r="G25" s="14"/>
      <c r="H25" s="14" t="s">
        <v>127</v>
      </c>
      <c r="I25" s="14" t="s">
        <v>128</v>
      </c>
      <c r="J25" s="16"/>
      <c r="K25" s="16"/>
      <c r="L25" s="16"/>
      <c r="M25" s="16"/>
      <c r="N25" s="16"/>
      <c r="O25" s="17" t="str">
        <f aca="false">IFERROR(INDEX(Lists!$B$3:$B$7,MATCH(K25,Lists!$A$3:$A$7,0)),"")</f>
        <v/>
      </c>
      <c r="P25" s="17" t="str">
        <f aca="false">IFERROR(INDEX('Evidence Pulls'!$P$6:$P$125,MATCH($J25,'Evidence Pulls'!$A$6:$A$125,0)),"")</f>
        <v/>
      </c>
      <c r="Q25" s="17" t="str">
        <f aca="false">IFERROR(INDEX('Evidence Pulls'!$H$6:$H$125,MATCH($J25,'Evidence Pulls'!$A$6:$A$125,0)),"")</f>
        <v/>
      </c>
      <c r="R25" s="17" t="str">
        <f aca="false">IFERROR(INDEX('Evidence Pulls'!$Q$6:$Q$125,MATCH($J25,'Evidence Pulls'!$A$6:$A$125,0)),"")</f>
        <v/>
      </c>
      <c r="S25" s="17" t="str">
        <f aca="false">IF(L25&lt;&gt;"",L25,IF(K25="","Not assessed",IF(N(O25)&gt;=3,"Demonstrated","Gap - remediate")))</f>
        <v>Not assessed</v>
      </c>
      <c r="T25" s="17" t="str">
        <f aca="false">IF(J25="","No evidence pull assigned",IF(COUNTIF('Evidence Pulls'!$A$6:$A$125,J25)=0,"Pull ID not on Evidence Pulls sheet",IF(K25="","Not graded",IF(AND(G25="MANDATORY",L25="Gap - recommend tailoring"),"INVALID: safety-mandatory, not tailorable",IF(OR(P25="",P25=0),"NO NAMED EXECUTOR",IF(AND(H25="Full",IFERROR(INDEX('Evidence Pulls'!$C$6:$C$125,MATCH($J25,'Evidence Pulls'!$A$6:$A$125,0)),"")&lt;&gt;"Artifact",N(O25)&gt;=3,N(IFERROR(INDEX('Evidence Pulls'!$K$6:$K$125,MATCH($J25,'Evidence Pulls'!$A$6:$A$125,0)),""))=0),"Operating claimed with no sample",IF(AND(N(O25)&gt;=3,P25=1),"Operating rests on one individual",IF(AND(L25&lt;&gt;"",N25=""),"Override with no rationale in column N",IF(AND(G25="MANDATORY",N(O25)&lt;3),"SAFETY GATE: below Operating","OK")))))))))</f>
        <v>No evidence pull assigned</v>
      </c>
    </row>
    <row r="26" customFormat="false" ht="22.35" hidden="false" customHeight="false" outlineLevel="0" collapsed="false">
      <c r="A26" s="14" t="s">
        <v>175</v>
      </c>
      <c r="B26" s="14" t="s">
        <v>138</v>
      </c>
      <c r="C26" s="14" t="s">
        <v>173</v>
      </c>
      <c r="D26" s="14" t="s">
        <v>174</v>
      </c>
      <c r="E26" s="14" t="s">
        <v>130</v>
      </c>
      <c r="F26" s="15"/>
      <c r="G26" s="14"/>
      <c r="H26" s="14" t="s">
        <v>127</v>
      </c>
      <c r="I26" s="14" t="s">
        <v>128</v>
      </c>
      <c r="J26" s="16"/>
      <c r="K26" s="16"/>
      <c r="L26" s="16"/>
      <c r="M26" s="16"/>
      <c r="N26" s="16"/>
      <c r="O26" s="17" t="str">
        <f aca="false">IFERROR(INDEX(Lists!$B$3:$B$7,MATCH(K26,Lists!$A$3:$A$7,0)),"")</f>
        <v/>
      </c>
      <c r="P26" s="17" t="str">
        <f aca="false">IFERROR(INDEX('Evidence Pulls'!$P$6:$P$125,MATCH($J26,'Evidence Pulls'!$A$6:$A$125,0)),"")</f>
        <v/>
      </c>
      <c r="Q26" s="17" t="str">
        <f aca="false">IFERROR(INDEX('Evidence Pulls'!$H$6:$H$125,MATCH($J26,'Evidence Pulls'!$A$6:$A$125,0)),"")</f>
        <v/>
      </c>
      <c r="R26" s="17" t="str">
        <f aca="false">IFERROR(INDEX('Evidence Pulls'!$Q$6:$Q$125,MATCH($J26,'Evidence Pulls'!$A$6:$A$125,0)),"")</f>
        <v/>
      </c>
      <c r="S26" s="17" t="str">
        <f aca="false">IF(L26&lt;&gt;"",L26,IF(K26="","Not assessed",IF(N(O26)&gt;=3,"Demonstrated","Gap - remediate")))</f>
        <v>Not assessed</v>
      </c>
      <c r="T26" s="17" t="str">
        <f aca="false">IF(J26="","No evidence pull assigned",IF(COUNTIF('Evidence Pulls'!$A$6:$A$125,J26)=0,"Pull ID not on Evidence Pulls sheet",IF(K26="","Not graded",IF(AND(G26="MANDATORY",L26="Gap - recommend tailoring"),"INVALID: safety-mandatory, not tailorable",IF(OR(P26="",P26=0),"NO NAMED EXECUTOR",IF(AND(H26="Full",IFERROR(INDEX('Evidence Pulls'!$C$6:$C$125,MATCH($J26,'Evidence Pulls'!$A$6:$A$125,0)),"")&lt;&gt;"Artifact",N(O26)&gt;=3,N(IFERROR(INDEX('Evidence Pulls'!$K$6:$K$125,MATCH($J26,'Evidence Pulls'!$A$6:$A$125,0)),""))=0),"Operating claimed with no sample",IF(AND(N(O26)&gt;=3,P26=1),"Operating rests on one individual",IF(AND(L26&lt;&gt;"",N26=""),"Override with no rationale in column N",IF(AND(G26="MANDATORY",N(O26)&lt;3),"SAFETY GATE: below Operating","OK")))))))))</f>
        <v>No evidence pull assigned</v>
      </c>
    </row>
    <row r="27" customFormat="false" ht="15" hidden="false" customHeight="false" outlineLevel="0" collapsed="false">
      <c r="A27" s="14" t="s">
        <v>176</v>
      </c>
      <c r="B27" s="14" t="s">
        <v>177</v>
      </c>
      <c r="C27" s="14" t="s">
        <v>178</v>
      </c>
      <c r="D27" s="14" t="s">
        <v>179</v>
      </c>
      <c r="E27" s="14" t="s">
        <v>126</v>
      </c>
      <c r="F27" s="15"/>
      <c r="G27" s="14"/>
      <c r="H27" s="14" t="s">
        <v>127</v>
      </c>
      <c r="I27" s="14" t="s">
        <v>180</v>
      </c>
      <c r="J27" s="16"/>
      <c r="K27" s="16"/>
      <c r="L27" s="16"/>
      <c r="M27" s="16"/>
      <c r="N27" s="16"/>
      <c r="O27" s="17" t="str">
        <f aca="false">IFERROR(INDEX(Lists!$B$3:$B$7,MATCH(K27,Lists!$A$3:$A$7,0)),"")</f>
        <v/>
      </c>
      <c r="P27" s="17" t="str">
        <f aca="false">IFERROR(INDEX('Evidence Pulls'!$P$6:$P$125,MATCH($J27,'Evidence Pulls'!$A$6:$A$125,0)),"")</f>
        <v/>
      </c>
      <c r="Q27" s="17" t="str">
        <f aca="false">IFERROR(INDEX('Evidence Pulls'!$H$6:$H$125,MATCH($J27,'Evidence Pulls'!$A$6:$A$125,0)),"")</f>
        <v/>
      </c>
      <c r="R27" s="17" t="str">
        <f aca="false">IFERROR(INDEX('Evidence Pulls'!$Q$6:$Q$125,MATCH($J27,'Evidence Pulls'!$A$6:$A$125,0)),"")</f>
        <v/>
      </c>
      <c r="S27" s="17" t="str">
        <f aca="false">IF(L27&lt;&gt;"",L27,IF(K27="","Not assessed",IF(N(O27)&gt;=3,"Demonstrated","Gap - remediate")))</f>
        <v>Not assessed</v>
      </c>
      <c r="T27" s="17" t="str">
        <f aca="false">IF(J27="","No evidence pull assigned",IF(COUNTIF('Evidence Pulls'!$A$6:$A$125,J27)=0,"Pull ID not on Evidence Pulls sheet",IF(K27="","Not graded",IF(AND(G27="MANDATORY",L27="Gap - recommend tailoring"),"INVALID: safety-mandatory, not tailorable",IF(OR(P27="",P27=0),"NO NAMED EXECUTOR",IF(AND(H27="Full",IFERROR(INDEX('Evidence Pulls'!$C$6:$C$125,MATCH($J27,'Evidence Pulls'!$A$6:$A$125,0)),"")&lt;&gt;"Artifact",N(O27)&gt;=3,N(IFERROR(INDEX('Evidence Pulls'!$K$6:$K$125,MATCH($J27,'Evidence Pulls'!$A$6:$A$125,0)),""))=0),"Operating claimed with no sample",IF(AND(N(O27)&gt;=3,P27=1),"Operating rests on one individual",IF(AND(L27&lt;&gt;"",N27=""),"Override with no rationale in column N",IF(AND(G27="MANDATORY",N(O27)&lt;3),"SAFETY GATE: below Operating","OK")))))))))</f>
        <v>No evidence pull assigned</v>
      </c>
    </row>
    <row r="28" customFormat="false" ht="15" hidden="false" customHeight="false" outlineLevel="0" collapsed="false">
      <c r="A28" s="14" t="s">
        <v>181</v>
      </c>
      <c r="B28" s="14" t="s">
        <v>177</v>
      </c>
      <c r="C28" s="14" t="s">
        <v>178</v>
      </c>
      <c r="D28" s="14" t="s">
        <v>179</v>
      </c>
      <c r="E28" s="14" t="s">
        <v>182</v>
      </c>
      <c r="F28" s="15"/>
      <c r="G28" s="14"/>
      <c r="H28" s="14" t="s">
        <v>127</v>
      </c>
      <c r="I28" s="14" t="s">
        <v>180</v>
      </c>
      <c r="J28" s="16"/>
      <c r="K28" s="16"/>
      <c r="L28" s="16"/>
      <c r="M28" s="16"/>
      <c r="N28" s="16"/>
      <c r="O28" s="17" t="str">
        <f aca="false">IFERROR(INDEX(Lists!$B$3:$B$7,MATCH(K28,Lists!$A$3:$A$7,0)),"")</f>
        <v/>
      </c>
      <c r="P28" s="17" t="str">
        <f aca="false">IFERROR(INDEX('Evidence Pulls'!$P$6:$P$125,MATCH($J28,'Evidence Pulls'!$A$6:$A$125,0)),"")</f>
        <v/>
      </c>
      <c r="Q28" s="17" t="str">
        <f aca="false">IFERROR(INDEX('Evidence Pulls'!$H$6:$H$125,MATCH($J28,'Evidence Pulls'!$A$6:$A$125,0)),"")</f>
        <v/>
      </c>
      <c r="R28" s="17" t="str">
        <f aca="false">IFERROR(INDEX('Evidence Pulls'!$Q$6:$Q$125,MATCH($J28,'Evidence Pulls'!$A$6:$A$125,0)),"")</f>
        <v/>
      </c>
      <c r="S28" s="17" t="str">
        <f aca="false">IF(L28&lt;&gt;"",L28,IF(K28="","Not assessed",IF(N(O28)&gt;=3,"Demonstrated","Gap - remediate")))</f>
        <v>Not assessed</v>
      </c>
      <c r="T28" s="17" t="str">
        <f aca="false">IF(J28="","No evidence pull assigned",IF(COUNTIF('Evidence Pulls'!$A$6:$A$125,J28)=0,"Pull ID not on Evidence Pulls sheet",IF(K28="","Not graded",IF(AND(G28="MANDATORY",L28="Gap - recommend tailoring"),"INVALID: safety-mandatory, not tailorable",IF(OR(P28="",P28=0),"NO NAMED EXECUTOR",IF(AND(H28="Full",IFERROR(INDEX('Evidence Pulls'!$C$6:$C$125,MATCH($J28,'Evidence Pulls'!$A$6:$A$125,0)),"")&lt;&gt;"Artifact",N(O28)&gt;=3,N(IFERROR(INDEX('Evidence Pulls'!$K$6:$K$125,MATCH($J28,'Evidence Pulls'!$A$6:$A$125,0)),""))=0),"Operating claimed with no sample",IF(AND(N(O28)&gt;=3,P28=1),"Operating rests on one individual",IF(AND(L28&lt;&gt;"",N28=""),"Override with no rationale in column N",IF(AND(G28="MANDATORY",N(O28)&lt;3),"SAFETY GATE: below Operating","OK")))))))))</f>
        <v>No evidence pull assigned</v>
      </c>
    </row>
    <row r="29" customFormat="false" ht="15" hidden="false" customHeight="false" outlineLevel="0" collapsed="false">
      <c r="A29" s="14" t="s">
        <v>183</v>
      </c>
      <c r="B29" s="14" t="s">
        <v>177</v>
      </c>
      <c r="C29" s="14" t="s">
        <v>178</v>
      </c>
      <c r="D29" s="14" t="s">
        <v>179</v>
      </c>
      <c r="E29" s="14" t="s">
        <v>184</v>
      </c>
      <c r="F29" s="15"/>
      <c r="G29" s="14"/>
      <c r="H29" s="14" t="s">
        <v>127</v>
      </c>
      <c r="I29" s="14" t="s">
        <v>180</v>
      </c>
      <c r="J29" s="16"/>
      <c r="K29" s="16"/>
      <c r="L29" s="16"/>
      <c r="M29" s="16"/>
      <c r="N29" s="16"/>
      <c r="O29" s="17" t="str">
        <f aca="false">IFERROR(INDEX(Lists!$B$3:$B$7,MATCH(K29,Lists!$A$3:$A$7,0)),"")</f>
        <v/>
      </c>
      <c r="P29" s="17" t="str">
        <f aca="false">IFERROR(INDEX('Evidence Pulls'!$P$6:$P$125,MATCH($J29,'Evidence Pulls'!$A$6:$A$125,0)),"")</f>
        <v/>
      </c>
      <c r="Q29" s="17" t="str">
        <f aca="false">IFERROR(INDEX('Evidence Pulls'!$H$6:$H$125,MATCH($J29,'Evidence Pulls'!$A$6:$A$125,0)),"")</f>
        <v/>
      </c>
      <c r="R29" s="17" t="str">
        <f aca="false">IFERROR(INDEX('Evidence Pulls'!$Q$6:$Q$125,MATCH($J29,'Evidence Pulls'!$A$6:$A$125,0)),"")</f>
        <v/>
      </c>
      <c r="S29" s="17" t="str">
        <f aca="false">IF(L29&lt;&gt;"",L29,IF(K29="","Not assessed",IF(N(O29)&gt;=3,"Demonstrated","Gap - remediate")))</f>
        <v>Not assessed</v>
      </c>
      <c r="T29" s="17" t="str">
        <f aca="false">IF(J29="","No evidence pull assigned",IF(COUNTIF('Evidence Pulls'!$A$6:$A$125,J29)=0,"Pull ID not on Evidence Pulls sheet",IF(K29="","Not graded",IF(AND(G29="MANDATORY",L29="Gap - recommend tailoring"),"INVALID: safety-mandatory, not tailorable",IF(OR(P29="",P29=0),"NO NAMED EXECUTOR",IF(AND(H29="Full",IFERROR(INDEX('Evidence Pulls'!$C$6:$C$125,MATCH($J29,'Evidence Pulls'!$A$6:$A$125,0)),"")&lt;&gt;"Artifact",N(O29)&gt;=3,N(IFERROR(INDEX('Evidence Pulls'!$K$6:$K$125,MATCH($J29,'Evidence Pulls'!$A$6:$A$125,0)),""))=0),"Operating claimed with no sample",IF(AND(N(O29)&gt;=3,P29=1),"Operating rests on one individual",IF(AND(L29&lt;&gt;"",N29=""),"Override with no rationale in column N",IF(AND(G29="MANDATORY",N(O29)&lt;3),"SAFETY GATE: below Operating","OK")))))))))</f>
        <v>No evidence pull assigned</v>
      </c>
    </row>
    <row r="30" customFormat="false" ht="15" hidden="false" customHeight="false" outlineLevel="0" collapsed="false">
      <c r="A30" s="14" t="s">
        <v>185</v>
      </c>
      <c r="B30" s="14" t="s">
        <v>177</v>
      </c>
      <c r="C30" s="14" t="s">
        <v>178</v>
      </c>
      <c r="D30" s="14" t="s">
        <v>179</v>
      </c>
      <c r="E30" s="14" t="s">
        <v>186</v>
      </c>
      <c r="F30" s="15"/>
      <c r="G30" s="14"/>
      <c r="H30" s="14" t="s">
        <v>127</v>
      </c>
      <c r="I30" s="14" t="s">
        <v>180</v>
      </c>
      <c r="J30" s="16"/>
      <c r="K30" s="16"/>
      <c r="L30" s="16"/>
      <c r="M30" s="16"/>
      <c r="N30" s="16"/>
      <c r="O30" s="17" t="str">
        <f aca="false">IFERROR(INDEX(Lists!$B$3:$B$7,MATCH(K30,Lists!$A$3:$A$7,0)),"")</f>
        <v/>
      </c>
      <c r="P30" s="17" t="str">
        <f aca="false">IFERROR(INDEX('Evidence Pulls'!$P$6:$P$125,MATCH($J30,'Evidence Pulls'!$A$6:$A$125,0)),"")</f>
        <v/>
      </c>
      <c r="Q30" s="17" t="str">
        <f aca="false">IFERROR(INDEX('Evidence Pulls'!$H$6:$H$125,MATCH($J30,'Evidence Pulls'!$A$6:$A$125,0)),"")</f>
        <v/>
      </c>
      <c r="R30" s="17" t="str">
        <f aca="false">IFERROR(INDEX('Evidence Pulls'!$Q$6:$Q$125,MATCH($J30,'Evidence Pulls'!$A$6:$A$125,0)),"")</f>
        <v/>
      </c>
      <c r="S30" s="17" t="str">
        <f aca="false">IF(L30&lt;&gt;"",L30,IF(K30="","Not assessed",IF(N(O30)&gt;=3,"Demonstrated","Gap - remediate")))</f>
        <v>Not assessed</v>
      </c>
      <c r="T30" s="17" t="str">
        <f aca="false">IF(J30="","No evidence pull assigned",IF(COUNTIF('Evidence Pulls'!$A$6:$A$125,J30)=0,"Pull ID not on Evidence Pulls sheet",IF(K30="","Not graded",IF(AND(G30="MANDATORY",L30="Gap - recommend tailoring"),"INVALID: safety-mandatory, not tailorable",IF(OR(P30="",P30=0),"NO NAMED EXECUTOR",IF(AND(H30="Full",IFERROR(INDEX('Evidence Pulls'!$C$6:$C$125,MATCH($J30,'Evidence Pulls'!$A$6:$A$125,0)),"")&lt;&gt;"Artifact",N(O30)&gt;=3,N(IFERROR(INDEX('Evidence Pulls'!$K$6:$K$125,MATCH($J30,'Evidence Pulls'!$A$6:$A$125,0)),""))=0),"Operating claimed with no sample",IF(AND(N(O30)&gt;=3,P30=1),"Operating rests on one individual",IF(AND(L30&lt;&gt;"",N30=""),"Override with no rationale in column N",IF(AND(G30="MANDATORY",N(O30)&lt;3),"SAFETY GATE: below Operating","OK")))))))))</f>
        <v>No evidence pull assigned</v>
      </c>
    </row>
    <row r="31" customFormat="false" ht="15" hidden="false" customHeight="false" outlineLevel="0" collapsed="false">
      <c r="A31" s="14" t="s">
        <v>187</v>
      </c>
      <c r="B31" s="14" t="s">
        <v>177</v>
      </c>
      <c r="C31" s="14" t="s">
        <v>178</v>
      </c>
      <c r="D31" s="14" t="s">
        <v>179</v>
      </c>
      <c r="E31" s="14" t="s">
        <v>188</v>
      </c>
      <c r="F31" s="15"/>
      <c r="G31" s="14"/>
      <c r="H31" s="14" t="s">
        <v>127</v>
      </c>
      <c r="I31" s="14" t="s">
        <v>180</v>
      </c>
      <c r="J31" s="16"/>
      <c r="K31" s="16"/>
      <c r="L31" s="16"/>
      <c r="M31" s="16"/>
      <c r="N31" s="16"/>
      <c r="O31" s="17" t="str">
        <f aca="false">IFERROR(INDEX(Lists!$B$3:$B$7,MATCH(K31,Lists!$A$3:$A$7,0)),"")</f>
        <v/>
      </c>
      <c r="P31" s="17" t="str">
        <f aca="false">IFERROR(INDEX('Evidence Pulls'!$P$6:$P$125,MATCH($J31,'Evidence Pulls'!$A$6:$A$125,0)),"")</f>
        <v/>
      </c>
      <c r="Q31" s="17" t="str">
        <f aca="false">IFERROR(INDEX('Evidence Pulls'!$H$6:$H$125,MATCH($J31,'Evidence Pulls'!$A$6:$A$125,0)),"")</f>
        <v/>
      </c>
      <c r="R31" s="17" t="str">
        <f aca="false">IFERROR(INDEX('Evidence Pulls'!$Q$6:$Q$125,MATCH($J31,'Evidence Pulls'!$A$6:$A$125,0)),"")</f>
        <v/>
      </c>
      <c r="S31" s="17" t="str">
        <f aca="false">IF(L31&lt;&gt;"",L31,IF(K31="","Not assessed",IF(N(O31)&gt;=3,"Demonstrated","Gap - remediate")))</f>
        <v>Not assessed</v>
      </c>
      <c r="T31" s="17" t="str">
        <f aca="false">IF(J31="","No evidence pull assigned",IF(COUNTIF('Evidence Pulls'!$A$6:$A$125,J31)=0,"Pull ID not on Evidence Pulls sheet",IF(K31="","Not graded",IF(AND(G31="MANDATORY",L31="Gap - recommend tailoring"),"INVALID: safety-mandatory, not tailorable",IF(OR(P31="",P31=0),"NO NAMED EXECUTOR",IF(AND(H31="Full",IFERROR(INDEX('Evidence Pulls'!$C$6:$C$125,MATCH($J31,'Evidence Pulls'!$A$6:$A$125,0)),"")&lt;&gt;"Artifact",N(O31)&gt;=3,N(IFERROR(INDEX('Evidence Pulls'!$K$6:$K$125,MATCH($J31,'Evidence Pulls'!$A$6:$A$125,0)),""))=0),"Operating claimed with no sample",IF(AND(N(O31)&gt;=3,P31=1),"Operating rests on one individual",IF(AND(L31&lt;&gt;"",N31=""),"Override with no rationale in column N",IF(AND(G31="MANDATORY",N(O31)&lt;3),"SAFETY GATE: below Operating","OK")))))))))</f>
        <v>No evidence pull assigned</v>
      </c>
    </row>
    <row r="32" customFormat="false" ht="15" hidden="false" customHeight="false" outlineLevel="0" collapsed="false">
      <c r="A32" s="14" t="s">
        <v>189</v>
      </c>
      <c r="B32" s="14" t="s">
        <v>177</v>
      </c>
      <c r="C32" s="14" t="s">
        <v>178</v>
      </c>
      <c r="D32" s="14" t="s">
        <v>179</v>
      </c>
      <c r="E32" s="14" t="s">
        <v>190</v>
      </c>
      <c r="F32" s="15"/>
      <c r="G32" s="14"/>
      <c r="H32" s="14" t="s">
        <v>127</v>
      </c>
      <c r="I32" s="14" t="s">
        <v>180</v>
      </c>
      <c r="J32" s="16"/>
      <c r="K32" s="16"/>
      <c r="L32" s="16"/>
      <c r="M32" s="16"/>
      <c r="N32" s="16"/>
      <c r="O32" s="17" t="str">
        <f aca="false">IFERROR(INDEX(Lists!$B$3:$B$7,MATCH(K32,Lists!$A$3:$A$7,0)),"")</f>
        <v/>
      </c>
      <c r="P32" s="17" t="str">
        <f aca="false">IFERROR(INDEX('Evidence Pulls'!$P$6:$P$125,MATCH($J32,'Evidence Pulls'!$A$6:$A$125,0)),"")</f>
        <v/>
      </c>
      <c r="Q32" s="17" t="str">
        <f aca="false">IFERROR(INDEX('Evidence Pulls'!$H$6:$H$125,MATCH($J32,'Evidence Pulls'!$A$6:$A$125,0)),"")</f>
        <v/>
      </c>
      <c r="R32" s="17" t="str">
        <f aca="false">IFERROR(INDEX('Evidence Pulls'!$Q$6:$Q$125,MATCH($J32,'Evidence Pulls'!$A$6:$A$125,0)),"")</f>
        <v/>
      </c>
      <c r="S32" s="17" t="str">
        <f aca="false">IF(L32&lt;&gt;"",L32,IF(K32="","Not assessed",IF(N(O32)&gt;=3,"Demonstrated","Gap - remediate")))</f>
        <v>Not assessed</v>
      </c>
      <c r="T32" s="17" t="str">
        <f aca="false">IF(J32="","No evidence pull assigned",IF(COUNTIF('Evidence Pulls'!$A$6:$A$125,J32)=0,"Pull ID not on Evidence Pulls sheet",IF(K32="","Not graded",IF(AND(G32="MANDATORY",L32="Gap - recommend tailoring"),"INVALID: safety-mandatory, not tailorable",IF(OR(P32="",P32=0),"NO NAMED EXECUTOR",IF(AND(H32="Full",IFERROR(INDEX('Evidence Pulls'!$C$6:$C$125,MATCH($J32,'Evidence Pulls'!$A$6:$A$125,0)),"")&lt;&gt;"Artifact",N(O32)&gt;=3,N(IFERROR(INDEX('Evidence Pulls'!$K$6:$K$125,MATCH($J32,'Evidence Pulls'!$A$6:$A$125,0)),""))=0),"Operating claimed with no sample",IF(AND(N(O32)&gt;=3,P32=1),"Operating rests on one individual",IF(AND(L32&lt;&gt;"",N32=""),"Override with no rationale in column N",IF(AND(G32="MANDATORY",N(O32)&lt;3),"SAFETY GATE: below Operating","OK")))))))))</f>
        <v>No evidence pull assigned</v>
      </c>
    </row>
    <row r="33" customFormat="false" ht="15" hidden="false" customHeight="false" outlineLevel="0" collapsed="false">
      <c r="A33" s="14" t="s">
        <v>191</v>
      </c>
      <c r="B33" s="14" t="s">
        <v>177</v>
      </c>
      <c r="C33" s="14" t="s">
        <v>178</v>
      </c>
      <c r="D33" s="14" t="s">
        <v>179</v>
      </c>
      <c r="E33" s="14" t="s">
        <v>192</v>
      </c>
      <c r="F33" s="15"/>
      <c r="G33" s="14"/>
      <c r="H33" s="14" t="s">
        <v>127</v>
      </c>
      <c r="I33" s="14" t="s">
        <v>180</v>
      </c>
      <c r="J33" s="16"/>
      <c r="K33" s="16"/>
      <c r="L33" s="16"/>
      <c r="M33" s="16"/>
      <c r="N33" s="16"/>
      <c r="O33" s="17" t="str">
        <f aca="false">IFERROR(INDEX(Lists!$B$3:$B$7,MATCH(K33,Lists!$A$3:$A$7,0)),"")</f>
        <v/>
      </c>
      <c r="P33" s="17" t="str">
        <f aca="false">IFERROR(INDEX('Evidence Pulls'!$P$6:$P$125,MATCH($J33,'Evidence Pulls'!$A$6:$A$125,0)),"")</f>
        <v/>
      </c>
      <c r="Q33" s="17" t="str">
        <f aca="false">IFERROR(INDEX('Evidence Pulls'!$H$6:$H$125,MATCH($J33,'Evidence Pulls'!$A$6:$A$125,0)),"")</f>
        <v/>
      </c>
      <c r="R33" s="17" t="str">
        <f aca="false">IFERROR(INDEX('Evidence Pulls'!$Q$6:$Q$125,MATCH($J33,'Evidence Pulls'!$A$6:$A$125,0)),"")</f>
        <v/>
      </c>
      <c r="S33" s="17" t="str">
        <f aca="false">IF(L33&lt;&gt;"",L33,IF(K33="","Not assessed",IF(N(O33)&gt;=3,"Demonstrated","Gap - remediate")))</f>
        <v>Not assessed</v>
      </c>
      <c r="T33" s="17" t="str">
        <f aca="false">IF(J33="","No evidence pull assigned",IF(COUNTIF('Evidence Pulls'!$A$6:$A$125,J33)=0,"Pull ID not on Evidence Pulls sheet",IF(K33="","Not graded",IF(AND(G33="MANDATORY",L33="Gap - recommend tailoring"),"INVALID: safety-mandatory, not tailorable",IF(OR(P33="",P33=0),"NO NAMED EXECUTOR",IF(AND(H33="Full",IFERROR(INDEX('Evidence Pulls'!$C$6:$C$125,MATCH($J33,'Evidence Pulls'!$A$6:$A$125,0)),"")&lt;&gt;"Artifact",N(O33)&gt;=3,N(IFERROR(INDEX('Evidence Pulls'!$K$6:$K$125,MATCH($J33,'Evidence Pulls'!$A$6:$A$125,0)),""))=0),"Operating claimed with no sample",IF(AND(N(O33)&gt;=3,P33=1),"Operating rests on one individual",IF(AND(L33&lt;&gt;"",N33=""),"Override with no rationale in column N",IF(AND(G33="MANDATORY",N(O33)&lt;3),"SAFETY GATE: below Operating","OK")))))))))</f>
        <v>No evidence pull assigned</v>
      </c>
    </row>
    <row r="34" customFormat="false" ht="15" hidden="false" customHeight="false" outlineLevel="0" collapsed="false">
      <c r="A34" s="14" t="s">
        <v>193</v>
      </c>
      <c r="B34" s="14" t="s">
        <v>177</v>
      </c>
      <c r="C34" s="14" t="s">
        <v>178</v>
      </c>
      <c r="D34" s="14" t="s">
        <v>179</v>
      </c>
      <c r="E34" s="14" t="s">
        <v>194</v>
      </c>
      <c r="F34" s="15"/>
      <c r="G34" s="14"/>
      <c r="H34" s="14" t="s">
        <v>127</v>
      </c>
      <c r="I34" s="14" t="s">
        <v>180</v>
      </c>
      <c r="J34" s="16"/>
      <c r="K34" s="16"/>
      <c r="L34" s="16"/>
      <c r="M34" s="16"/>
      <c r="N34" s="16"/>
      <c r="O34" s="17" t="str">
        <f aca="false">IFERROR(INDEX(Lists!$B$3:$B$7,MATCH(K34,Lists!$A$3:$A$7,0)),"")</f>
        <v/>
      </c>
      <c r="P34" s="17" t="str">
        <f aca="false">IFERROR(INDEX('Evidence Pulls'!$P$6:$P$125,MATCH($J34,'Evidence Pulls'!$A$6:$A$125,0)),"")</f>
        <v/>
      </c>
      <c r="Q34" s="17" t="str">
        <f aca="false">IFERROR(INDEX('Evidence Pulls'!$H$6:$H$125,MATCH($J34,'Evidence Pulls'!$A$6:$A$125,0)),"")</f>
        <v/>
      </c>
      <c r="R34" s="17" t="str">
        <f aca="false">IFERROR(INDEX('Evidence Pulls'!$Q$6:$Q$125,MATCH($J34,'Evidence Pulls'!$A$6:$A$125,0)),"")</f>
        <v/>
      </c>
      <c r="S34" s="17" t="str">
        <f aca="false">IF(L34&lt;&gt;"",L34,IF(K34="","Not assessed",IF(N(O34)&gt;=3,"Demonstrated","Gap - remediate")))</f>
        <v>Not assessed</v>
      </c>
      <c r="T34" s="17" t="str">
        <f aca="false">IF(J34="","No evidence pull assigned",IF(COUNTIF('Evidence Pulls'!$A$6:$A$125,J34)=0,"Pull ID not on Evidence Pulls sheet",IF(K34="","Not graded",IF(AND(G34="MANDATORY",L34="Gap - recommend tailoring"),"INVALID: safety-mandatory, not tailorable",IF(OR(P34="",P34=0),"NO NAMED EXECUTOR",IF(AND(H34="Full",IFERROR(INDEX('Evidence Pulls'!$C$6:$C$125,MATCH($J34,'Evidence Pulls'!$A$6:$A$125,0)),"")&lt;&gt;"Artifact",N(O34)&gt;=3,N(IFERROR(INDEX('Evidence Pulls'!$K$6:$K$125,MATCH($J34,'Evidence Pulls'!$A$6:$A$125,0)),""))=0),"Operating claimed with no sample",IF(AND(N(O34)&gt;=3,P34=1),"Operating rests on one individual",IF(AND(L34&lt;&gt;"",N34=""),"Override with no rationale in column N",IF(AND(G34="MANDATORY",N(O34)&lt;3),"SAFETY GATE: below Operating","OK")))))))))</f>
        <v>No evidence pull assigned</v>
      </c>
    </row>
    <row r="35" customFormat="false" ht="15" hidden="false" customHeight="false" outlineLevel="0" collapsed="false">
      <c r="A35" s="14" t="s">
        <v>195</v>
      </c>
      <c r="B35" s="14" t="s">
        <v>177</v>
      </c>
      <c r="C35" s="14" t="s">
        <v>178</v>
      </c>
      <c r="D35" s="14" t="s">
        <v>179</v>
      </c>
      <c r="E35" s="14" t="s">
        <v>196</v>
      </c>
      <c r="F35" s="15"/>
      <c r="G35" s="14"/>
      <c r="H35" s="14" t="s">
        <v>127</v>
      </c>
      <c r="I35" s="14" t="s">
        <v>180</v>
      </c>
      <c r="J35" s="16"/>
      <c r="K35" s="16"/>
      <c r="L35" s="16"/>
      <c r="M35" s="16"/>
      <c r="N35" s="16"/>
      <c r="O35" s="17" t="str">
        <f aca="false">IFERROR(INDEX(Lists!$B$3:$B$7,MATCH(K35,Lists!$A$3:$A$7,0)),"")</f>
        <v/>
      </c>
      <c r="P35" s="17" t="str">
        <f aca="false">IFERROR(INDEX('Evidence Pulls'!$P$6:$P$125,MATCH($J35,'Evidence Pulls'!$A$6:$A$125,0)),"")</f>
        <v/>
      </c>
      <c r="Q35" s="17" t="str">
        <f aca="false">IFERROR(INDEX('Evidence Pulls'!$H$6:$H$125,MATCH($J35,'Evidence Pulls'!$A$6:$A$125,0)),"")</f>
        <v/>
      </c>
      <c r="R35" s="17" t="str">
        <f aca="false">IFERROR(INDEX('Evidence Pulls'!$Q$6:$Q$125,MATCH($J35,'Evidence Pulls'!$A$6:$A$125,0)),"")</f>
        <v/>
      </c>
      <c r="S35" s="17" t="str">
        <f aca="false">IF(L35&lt;&gt;"",L35,IF(K35="","Not assessed",IF(N(O35)&gt;=3,"Demonstrated","Gap - remediate")))</f>
        <v>Not assessed</v>
      </c>
      <c r="T35" s="17" t="str">
        <f aca="false">IF(J35="","No evidence pull assigned",IF(COUNTIF('Evidence Pulls'!$A$6:$A$125,J35)=0,"Pull ID not on Evidence Pulls sheet",IF(K35="","Not graded",IF(AND(G35="MANDATORY",L35="Gap - recommend tailoring"),"INVALID: safety-mandatory, not tailorable",IF(OR(P35="",P35=0),"NO NAMED EXECUTOR",IF(AND(H35="Full",IFERROR(INDEX('Evidence Pulls'!$C$6:$C$125,MATCH($J35,'Evidence Pulls'!$A$6:$A$125,0)),"")&lt;&gt;"Artifact",N(O35)&gt;=3,N(IFERROR(INDEX('Evidence Pulls'!$K$6:$K$125,MATCH($J35,'Evidence Pulls'!$A$6:$A$125,0)),""))=0),"Operating claimed with no sample",IF(AND(N(O35)&gt;=3,P35=1),"Operating rests on one individual",IF(AND(L35&lt;&gt;"",N35=""),"Override with no rationale in column N",IF(AND(G35="MANDATORY",N(O35)&lt;3),"SAFETY GATE: below Operating","OK")))))))))</f>
        <v>No evidence pull assigned</v>
      </c>
    </row>
    <row r="36" customFormat="false" ht="15" hidden="false" customHeight="false" outlineLevel="0" collapsed="false">
      <c r="A36" s="14" t="s">
        <v>197</v>
      </c>
      <c r="B36" s="14" t="s">
        <v>177</v>
      </c>
      <c r="C36" s="14" t="s">
        <v>178</v>
      </c>
      <c r="D36" s="14" t="s">
        <v>179</v>
      </c>
      <c r="E36" s="14" t="s">
        <v>198</v>
      </c>
      <c r="F36" s="15"/>
      <c r="G36" s="14"/>
      <c r="H36" s="14" t="s">
        <v>127</v>
      </c>
      <c r="I36" s="14" t="s">
        <v>180</v>
      </c>
      <c r="J36" s="16"/>
      <c r="K36" s="16"/>
      <c r="L36" s="16"/>
      <c r="M36" s="16"/>
      <c r="N36" s="16"/>
      <c r="O36" s="17" t="str">
        <f aca="false">IFERROR(INDEX(Lists!$B$3:$B$7,MATCH(K36,Lists!$A$3:$A$7,0)),"")</f>
        <v/>
      </c>
      <c r="P36" s="17" t="str">
        <f aca="false">IFERROR(INDEX('Evidence Pulls'!$P$6:$P$125,MATCH($J36,'Evidence Pulls'!$A$6:$A$125,0)),"")</f>
        <v/>
      </c>
      <c r="Q36" s="17" t="str">
        <f aca="false">IFERROR(INDEX('Evidence Pulls'!$H$6:$H$125,MATCH($J36,'Evidence Pulls'!$A$6:$A$125,0)),"")</f>
        <v/>
      </c>
      <c r="R36" s="17" t="str">
        <f aca="false">IFERROR(INDEX('Evidence Pulls'!$Q$6:$Q$125,MATCH($J36,'Evidence Pulls'!$A$6:$A$125,0)),"")</f>
        <v/>
      </c>
      <c r="S36" s="17" t="str">
        <f aca="false">IF(L36&lt;&gt;"",L36,IF(K36="","Not assessed",IF(N(O36)&gt;=3,"Demonstrated","Gap - remediate")))</f>
        <v>Not assessed</v>
      </c>
      <c r="T36" s="17" t="str">
        <f aca="false">IF(J36="","No evidence pull assigned",IF(COUNTIF('Evidence Pulls'!$A$6:$A$125,J36)=0,"Pull ID not on Evidence Pulls sheet",IF(K36="","Not graded",IF(AND(G36="MANDATORY",L36="Gap - recommend tailoring"),"INVALID: safety-mandatory, not tailorable",IF(OR(P36="",P36=0),"NO NAMED EXECUTOR",IF(AND(H36="Full",IFERROR(INDEX('Evidence Pulls'!$C$6:$C$125,MATCH($J36,'Evidence Pulls'!$A$6:$A$125,0)),"")&lt;&gt;"Artifact",N(O36)&gt;=3,N(IFERROR(INDEX('Evidence Pulls'!$K$6:$K$125,MATCH($J36,'Evidence Pulls'!$A$6:$A$125,0)),""))=0),"Operating claimed with no sample",IF(AND(N(O36)&gt;=3,P36=1),"Operating rests on one individual",IF(AND(L36&lt;&gt;"",N36=""),"Override with no rationale in column N",IF(AND(G36="MANDATORY",N(O36)&lt;3),"SAFETY GATE: below Operating","OK")))))))))</f>
        <v>No evidence pull assigned</v>
      </c>
    </row>
    <row r="37" customFormat="false" ht="15" hidden="false" customHeight="false" outlineLevel="0" collapsed="false">
      <c r="A37" s="14" t="s">
        <v>199</v>
      </c>
      <c r="B37" s="14" t="s">
        <v>177</v>
      </c>
      <c r="C37" s="14" t="s">
        <v>178</v>
      </c>
      <c r="D37" s="14" t="s">
        <v>179</v>
      </c>
      <c r="E37" s="14" t="s">
        <v>200</v>
      </c>
      <c r="F37" s="15"/>
      <c r="G37" s="14"/>
      <c r="H37" s="14" t="s">
        <v>127</v>
      </c>
      <c r="I37" s="14" t="s">
        <v>180</v>
      </c>
      <c r="J37" s="16"/>
      <c r="K37" s="16"/>
      <c r="L37" s="16"/>
      <c r="M37" s="16"/>
      <c r="N37" s="16"/>
      <c r="O37" s="17" t="str">
        <f aca="false">IFERROR(INDEX(Lists!$B$3:$B$7,MATCH(K37,Lists!$A$3:$A$7,0)),"")</f>
        <v/>
      </c>
      <c r="P37" s="17" t="str">
        <f aca="false">IFERROR(INDEX('Evidence Pulls'!$P$6:$P$125,MATCH($J37,'Evidence Pulls'!$A$6:$A$125,0)),"")</f>
        <v/>
      </c>
      <c r="Q37" s="17" t="str">
        <f aca="false">IFERROR(INDEX('Evidence Pulls'!$H$6:$H$125,MATCH($J37,'Evidence Pulls'!$A$6:$A$125,0)),"")</f>
        <v/>
      </c>
      <c r="R37" s="17" t="str">
        <f aca="false">IFERROR(INDEX('Evidence Pulls'!$Q$6:$Q$125,MATCH($J37,'Evidence Pulls'!$A$6:$A$125,0)),"")</f>
        <v/>
      </c>
      <c r="S37" s="17" t="str">
        <f aca="false">IF(L37&lt;&gt;"",L37,IF(K37="","Not assessed",IF(N(O37)&gt;=3,"Demonstrated","Gap - remediate")))</f>
        <v>Not assessed</v>
      </c>
      <c r="T37" s="17" t="str">
        <f aca="false">IF(J37="","No evidence pull assigned",IF(COUNTIF('Evidence Pulls'!$A$6:$A$125,J37)=0,"Pull ID not on Evidence Pulls sheet",IF(K37="","Not graded",IF(AND(G37="MANDATORY",L37="Gap - recommend tailoring"),"INVALID: safety-mandatory, not tailorable",IF(OR(P37="",P37=0),"NO NAMED EXECUTOR",IF(AND(H37="Full",IFERROR(INDEX('Evidence Pulls'!$C$6:$C$125,MATCH($J37,'Evidence Pulls'!$A$6:$A$125,0)),"")&lt;&gt;"Artifact",N(O37)&gt;=3,N(IFERROR(INDEX('Evidence Pulls'!$K$6:$K$125,MATCH($J37,'Evidence Pulls'!$A$6:$A$125,0)),""))=0),"Operating claimed with no sample",IF(AND(N(O37)&gt;=3,P37=1),"Operating rests on one individual",IF(AND(L37&lt;&gt;"",N37=""),"Override with no rationale in column N",IF(AND(G37="MANDATORY",N(O37)&lt;3),"SAFETY GATE: below Operating","OK")))))))))</f>
        <v>No evidence pull assigned</v>
      </c>
    </row>
    <row r="38" customFormat="false" ht="15" hidden="false" customHeight="false" outlineLevel="0" collapsed="false">
      <c r="A38" s="14" t="s">
        <v>201</v>
      </c>
      <c r="B38" s="14" t="s">
        <v>177</v>
      </c>
      <c r="C38" s="14" t="s">
        <v>178</v>
      </c>
      <c r="D38" s="14" t="s">
        <v>179</v>
      </c>
      <c r="E38" s="14" t="s">
        <v>202</v>
      </c>
      <c r="F38" s="15"/>
      <c r="G38" s="14"/>
      <c r="H38" s="14" t="s">
        <v>127</v>
      </c>
      <c r="I38" s="14" t="s">
        <v>180</v>
      </c>
      <c r="J38" s="16"/>
      <c r="K38" s="16"/>
      <c r="L38" s="16"/>
      <c r="M38" s="16"/>
      <c r="N38" s="16"/>
      <c r="O38" s="17" t="str">
        <f aca="false">IFERROR(INDEX(Lists!$B$3:$B$7,MATCH(K38,Lists!$A$3:$A$7,0)),"")</f>
        <v/>
      </c>
      <c r="P38" s="17" t="str">
        <f aca="false">IFERROR(INDEX('Evidence Pulls'!$P$6:$P$125,MATCH($J38,'Evidence Pulls'!$A$6:$A$125,0)),"")</f>
        <v/>
      </c>
      <c r="Q38" s="17" t="str">
        <f aca="false">IFERROR(INDEX('Evidence Pulls'!$H$6:$H$125,MATCH($J38,'Evidence Pulls'!$A$6:$A$125,0)),"")</f>
        <v/>
      </c>
      <c r="R38" s="17" t="str">
        <f aca="false">IFERROR(INDEX('Evidence Pulls'!$Q$6:$Q$125,MATCH($J38,'Evidence Pulls'!$A$6:$A$125,0)),"")</f>
        <v/>
      </c>
      <c r="S38" s="17" t="str">
        <f aca="false">IF(L38&lt;&gt;"",L38,IF(K38="","Not assessed",IF(N(O38)&gt;=3,"Demonstrated","Gap - remediate")))</f>
        <v>Not assessed</v>
      </c>
      <c r="T38" s="17" t="str">
        <f aca="false">IF(J38="","No evidence pull assigned",IF(COUNTIF('Evidence Pulls'!$A$6:$A$125,J38)=0,"Pull ID not on Evidence Pulls sheet",IF(K38="","Not graded",IF(AND(G38="MANDATORY",L38="Gap - recommend tailoring"),"INVALID: safety-mandatory, not tailorable",IF(OR(P38="",P38=0),"NO NAMED EXECUTOR",IF(AND(H38="Full",IFERROR(INDEX('Evidence Pulls'!$C$6:$C$125,MATCH($J38,'Evidence Pulls'!$A$6:$A$125,0)),"")&lt;&gt;"Artifact",N(O38)&gt;=3,N(IFERROR(INDEX('Evidence Pulls'!$K$6:$K$125,MATCH($J38,'Evidence Pulls'!$A$6:$A$125,0)),""))=0),"Operating claimed with no sample",IF(AND(N(O38)&gt;=3,P38=1),"Operating rests on one individual",IF(AND(L38&lt;&gt;"",N38=""),"Override with no rationale in column N",IF(AND(G38="MANDATORY",N(O38)&lt;3),"SAFETY GATE: below Operating","OK")))))))))</f>
        <v>No evidence pull assigned</v>
      </c>
    </row>
    <row r="39" customFormat="false" ht="15" hidden="false" customHeight="false" outlineLevel="0" collapsed="false">
      <c r="A39" s="14" t="s">
        <v>203</v>
      </c>
      <c r="B39" s="14" t="s">
        <v>177</v>
      </c>
      <c r="C39" s="14" t="s">
        <v>178</v>
      </c>
      <c r="D39" s="14" t="s">
        <v>179</v>
      </c>
      <c r="E39" s="14" t="s">
        <v>204</v>
      </c>
      <c r="F39" s="15"/>
      <c r="G39" s="14"/>
      <c r="H39" s="14" t="s">
        <v>127</v>
      </c>
      <c r="I39" s="14" t="s">
        <v>180</v>
      </c>
      <c r="J39" s="16"/>
      <c r="K39" s="16"/>
      <c r="L39" s="16"/>
      <c r="M39" s="16"/>
      <c r="N39" s="16"/>
      <c r="O39" s="17" t="str">
        <f aca="false">IFERROR(INDEX(Lists!$B$3:$B$7,MATCH(K39,Lists!$A$3:$A$7,0)),"")</f>
        <v/>
      </c>
      <c r="P39" s="17" t="str">
        <f aca="false">IFERROR(INDEX('Evidence Pulls'!$P$6:$P$125,MATCH($J39,'Evidence Pulls'!$A$6:$A$125,0)),"")</f>
        <v/>
      </c>
      <c r="Q39" s="17" t="str">
        <f aca="false">IFERROR(INDEX('Evidence Pulls'!$H$6:$H$125,MATCH($J39,'Evidence Pulls'!$A$6:$A$125,0)),"")</f>
        <v/>
      </c>
      <c r="R39" s="17" t="str">
        <f aca="false">IFERROR(INDEX('Evidence Pulls'!$Q$6:$Q$125,MATCH($J39,'Evidence Pulls'!$A$6:$A$125,0)),"")</f>
        <v/>
      </c>
      <c r="S39" s="17" t="str">
        <f aca="false">IF(L39&lt;&gt;"",L39,IF(K39="","Not assessed",IF(N(O39)&gt;=3,"Demonstrated","Gap - remediate")))</f>
        <v>Not assessed</v>
      </c>
      <c r="T39" s="17" t="str">
        <f aca="false">IF(J39="","No evidence pull assigned",IF(COUNTIF('Evidence Pulls'!$A$6:$A$125,J39)=0,"Pull ID not on Evidence Pulls sheet",IF(K39="","Not graded",IF(AND(G39="MANDATORY",L39="Gap - recommend tailoring"),"INVALID: safety-mandatory, not tailorable",IF(OR(P39="",P39=0),"NO NAMED EXECUTOR",IF(AND(H39="Full",IFERROR(INDEX('Evidence Pulls'!$C$6:$C$125,MATCH($J39,'Evidence Pulls'!$A$6:$A$125,0)),"")&lt;&gt;"Artifact",N(O39)&gt;=3,N(IFERROR(INDEX('Evidence Pulls'!$K$6:$K$125,MATCH($J39,'Evidence Pulls'!$A$6:$A$125,0)),""))=0),"Operating claimed with no sample",IF(AND(N(O39)&gt;=3,P39=1),"Operating rests on one individual",IF(AND(L39&lt;&gt;"",N39=""),"Override with no rationale in column N",IF(AND(G39="MANDATORY",N(O39)&lt;3),"SAFETY GATE: below Operating","OK")))))))))</f>
        <v>No evidence pull assigned</v>
      </c>
    </row>
    <row r="40" customFormat="false" ht="15" hidden="false" customHeight="false" outlineLevel="0" collapsed="false">
      <c r="A40" s="14" t="s">
        <v>205</v>
      </c>
      <c r="B40" s="14" t="s">
        <v>177</v>
      </c>
      <c r="C40" s="14" t="s">
        <v>178</v>
      </c>
      <c r="D40" s="14" t="s">
        <v>179</v>
      </c>
      <c r="E40" s="14" t="s">
        <v>206</v>
      </c>
      <c r="F40" s="15"/>
      <c r="G40" s="14"/>
      <c r="H40" s="14" t="s">
        <v>127</v>
      </c>
      <c r="I40" s="14" t="s">
        <v>180</v>
      </c>
      <c r="J40" s="16"/>
      <c r="K40" s="16"/>
      <c r="L40" s="16"/>
      <c r="M40" s="16"/>
      <c r="N40" s="16"/>
      <c r="O40" s="17" t="str">
        <f aca="false">IFERROR(INDEX(Lists!$B$3:$B$7,MATCH(K40,Lists!$A$3:$A$7,0)),"")</f>
        <v/>
      </c>
      <c r="P40" s="17" t="str">
        <f aca="false">IFERROR(INDEX('Evidence Pulls'!$P$6:$P$125,MATCH($J40,'Evidence Pulls'!$A$6:$A$125,0)),"")</f>
        <v/>
      </c>
      <c r="Q40" s="17" t="str">
        <f aca="false">IFERROR(INDEX('Evidence Pulls'!$H$6:$H$125,MATCH($J40,'Evidence Pulls'!$A$6:$A$125,0)),"")</f>
        <v/>
      </c>
      <c r="R40" s="17" t="str">
        <f aca="false">IFERROR(INDEX('Evidence Pulls'!$Q$6:$Q$125,MATCH($J40,'Evidence Pulls'!$A$6:$A$125,0)),"")</f>
        <v/>
      </c>
      <c r="S40" s="17" t="str">
        <f aca="false">IF(L40&lt;&gt;"",L40,IF(K40="","Not assessed",IF(N(O40)&gt;=3,"Demonstrated","Gap - remediate")))</f>
        <v>Not assessed</v>
      </c>
      <c r="T40" s="17" t="str">
        <f aca="false">IF(J40="","No evidence pull assigned",IF(COUNTIF('Evidence Pulls'!$A$6:$A$125,J40)=0,"Pull ID not on Evidence Pulls sheet",IF(K40="","Not graded",IF(AND(G40="MANDATORY",L40="Gap - recommend tailoring"),"INVALID: safety-mandatory, not tailorable",IF(OR(P40="",P40=0),"NO NAMED EXECUTOR",IF(AND(H40="Full",IFERROR(INDEX('Evidence Pulls'!$C$6:$C$125,MATCH($J40,'Evidence Pulls'!$A$6:$A$125,0)),"")&lt;&gt;"Artifact",N(O40)&gt;=3,N(IFERROR(INDEX('Evidence Pulls'!$K$6:$K$125,MATCH($J40,'Evidence Pulls'!$A$6:$A$125,0)),""))=0),"Operating claimed with no sample",IF(AND(N(O40)&gt;=3,P40=1),"Operating rests on one individual",IF(AND(L40&lt;&gt;"",N40=""),"Override with no rationale in column N",IF(AND(G40="MANDATORY",N(O40)&lt;3),"SAFETY GATE: below Operating","OK")))))))))</f>
        <v>No evidence pull assigned</v>
      </c>
    </row>
    <row r="41" customFormat="false" ht="15" hidden="false" customHeight="false" outlineLevel="0" collapsed="false">
      <c r="A41" s="14" t="s">
        <v>207</v>
      </c>
      <c r="B41" s="14" t="s">
        <v>177</v>
      </c>
      <c r="C41" s="14" t="s">
        <v>178</v>
      </c>
      <c r="D41" s="14" t="s">
        <v>179</v>
      </c>
      <c r="E41" s="14" t="s">
        <v>208</v>
      </c>
      <c r="F41" s="15"/>
      <c r="G41" s="14"/>
      <c r="H41" s="14" t="s">
        <v>127</v>
      </c>
      <c r="I41" s="14" t="s">
        <v>180</v>
      </c>
      <c r="J41" s="16"/>
      <c r="K41" s="16"/>
      <c r="L41" s="16"/>
      <c r="M41" s="16"/>
      <c r="N41" s="16"/>
      <c r="O41" s="17" t="str">
        <f aca="false">IFERROR(INDEX(Lists!$B$3:$B$7,MATCH(K41,Lists!$A$3:$A$7,0)),"")</f>
        <v/>
      </c>
      <c r="P41" s="17" t="str">
        <f aca="false">IFERROR(INDEX('Evidence Pulls'!$P$6:$P$125,MATCH($J41,'Evidence Pulls'!$A$6:$A$125,0)),"")</f>
        <v/>
      </c>
      <c r="Q41" s="17" t="str">
        <f aca="false">IFERROR(INDEX('Evidence Pulls'!$H$6:$H$125,MATCH($J41,'Evidence Pulls'!$A$6:$A$125,0)),"")</f>
        <v/>
      </c>
      <c r="R41" s="17" t="str">
        <f aca="false">IFERROR(INDEX('Evidence Pulls'!$Q$6:$Q$125,MATCH($J41,'Evidence Pulls'!$A$6:$A$125,0)),"")</f>
        <v/>
      </c>
      <c r="S41" s="17" t="str">
        <f aca="false">IF(L41&lt;&gt;"",L41,IF(K41="","Not assessed",IF(N(O41)&gt;=3,"Demonstrated","Gap - remediate")))</f>
        <v>Not assessed</v>
      </c>
      <c r="T41" s="17" t="str">
        <f aca="false">IF(J41="","No evidence pull assigned",IF(COUNTIF('Evidence Pulls'!$A$6:$A$125,J41)=0,"Pull ID not on Evidence Pulls sheet",IF(K41="","Not graded",IF(AND(G41="MANDATORY",L41="Gap - recommend tailoring"),"INVALID: safety-mandatory, not tailorable",IF(OR(P41="",P41=0),"NO NAMED EXECUTOR",IF(AND(H41="Full",IFERROR(INDEX('Evidence Pulls'!$C$6:$C$125,MATCH($J41,'Evidence Pulls'!$A$6:$A$125,0)),"")&lt;&gt;"Artifact",N(O41)&gt;=3,N(IFERROR(INDEX('Evidence Pulls'!$K$6:$K$125,MATCH($J41,'Evidence Pulls'!$A$6:$A$125,0)),""))=0),"Operating claimed with no sample",IF(AND(N(O41)&gt;=3,P41=1),"Operating rests on one individual",IF(AND(L41&lt;&gt;"",N41=""),"Override with no rationale in column N",IF(AND(G41="MANDATORY",N(O41)&lt;3),"SAFETY GATE: below Operating","OK")))))))))</f>
        <v>No evidence pull assigned</v>
      </c>
    </row>
    <row r="42" customFormat="false" ht="15" hidden="false" customHeight="false" outlineLevel="0" collapsed="false">
      <c r="A42" s="14" t="s">
        <v>209</v>
      </c>
      <c r="B42" s="14" t="s">
        <v>177</v>
      </c>
      <c r="C42" s="14" t="s">
        <v>178</v>
      </c>
      <c r="D42" s="14" t="s">
        <v>179</v>
      </c>
      <c r="E42" s="14" t="s">
        <v>210</v>
      </c>
      <c r="F42" s="15"/>
      <c r="G42" s="14"/>
      <c r="H42" s="14" t="s">
        <v>127</v>
      </c>
      <c r="I42" s="14" t="s">
        <v>180</v>
      </c>
      <c r="J42" s="16"/>
      <c r="K42" s="16"/>
      <c r="L42" s="16"/>
      <c r="M42" s="16"/>
      <c r="N42" s="16"/>
      <c r="O42" s="17" t="str">
        <f aca="false">IFERROR(INDEX(Lists!$B$3:$B$7,MATCH(K42,Lists!$A$3:$A$7,0)),"")</f>
        <v/>
      </c>
      <c r="P42" s="17" t="str">
        <f aca="false">IFERROR(INDEX('Evidence Pulls'!$P$6:$P$125,MATCH($J42,'Evidence Pulls'!$A$6:$A$125,0)),"")</f>
        <v/>
      </c>
      <c r="Q42" s="17" t="str">
        <f aca="false">IFERROR(INDEX('Evidence Pulls'!$H$6:$H$125,MATCH($J42,'Evidence Pulls'!$A$6:$A$125,0)),"")</f>
        <v/>
      </c>
      <c r="R42" s="17" t="str">
        <f aca="false">IFERROR(INDEX('Evidence Pulls'!$Q$6:$Q$125,MATCH($J42,'Evidence Pulls'!$A$6:$A$125,0)),"")</f>
        <v/>
      </c>
      <c r="S42" s="17" t="str">
        <f aca="false">IF(L42&lt;&gt;"",L42,IF(K42="","Not assessed",IF(N(O42)&gt;=3,"Demonstrated","Gap - remediate")))</f>
        <v>Not assessed</v>
      </c>
      <c r="T42" s="17" t="str">
        <f aca="false">IF(J42="","No evidence pull assigned",IF(COUNTIF('Evidence Pulls'!$A$6:$A$125,J42)=0,"Pull ID not on Evidence Pulls sheet",IF(K42="","Not graded",IF(AND(G42="MANDATORY",L42="Gap - recommend tailoring"),"INVALID: safety-mandatory, not tailorable",IF(OR(P42="",P42=0),"NO NAMED EXECUTOR",IF(AND(H42="Full",IFERROR(INDEX('Evidence Pulls'!$C$6:$C$125,MATCH($J42,'Evidence Pulls'!$A$6:$A$125,0)),"")&lt;&gt;"Artifact",N(O42)&gt;=3,N(IFERROR(INDEX('Evidence Pulls'!$K$6:$K$125,MATCH($J42,'Evidence Pulls'!$A$6:$A$125,0)),""))=0),"Operating claimed with no sample",IF(AND(N(O42)&gt;=3,P42=1),"Operating rests on one individual",IF(AND(L42&lt;&gt;"",N42=""),"Override with no rationale in column N",IF(AND(G42="MANDATORY",N(O42)&lt;3),"SAFETY GATE: below Operating","OK")))))))))</f>
        <v>No evidence pull assigned</v>
      </c>
    </row>
    <row r="43" customFormat="false" ht="15" hidden="false" customHeight="false" outlineLevel="0" collapsed="false">
      <c r="A43" s="14" t="s">
        <v>211</v>
      </c>
      <c r="B43" s="14" t="s">
        <v>177</v>
      </c>
      <c r="C43" s="14" t="s">
        <v>212</v>
      </c>
      <c r="D43" s="14" t="s">
        <v>213</v>
      </c>
      <c r="E43" s="14" t="s">
        <v>126</v>
      </c>
      <c r="F43" s="15"/>
      <c r="G43" s="14"/>
      <c r="H43" s="14" t="s">
        <v>127</v>
      </c>
      <c r="I43" s="14" t="s">
        <v>180</v>
      </c>
      <c r="J43" s="16"/>
      <c r="K43" s="16"/>
      <c r="L43" s="16"/>
      <c r="M43" s="16"/>
      <c r="N43" s="16"/>
      <c r="O43" s="17" t="str">
        <f aca="false">IFERROR(INDEX(Lists!$B$3:$B$7,MATCH(K43,Lists!$A$3:$A$7,0)),"")</f>
        <v/>
      </c>
      <c r="P43" s="17" t="str">
        <f aca="false">IFERROR(INDEX('Evidence Pulls'!$P$6:$P$125,MATCH($J43,'Evidence Pulls'!$A$6:$A$125,0)),"")</f>
        <v/>
      </c>
      <c r="Q43" s="17" t="str">
        <f aca="false">IFERROR(INDEX('Evidence Pulls'!$H$6:$H$125,MATCH($J43,'Evidence Pulls'!$A$6:$A$125,0)),"")</f>
        <v/>
      </c>
      <c r="R43" s="17" t="str">
        <f aca="false">IFERROR(INDEX('Evidence Pulls'!$Q$6:$Q$125,MATCH($J43,'Evidence Pulls'!$A$6:$A$125,0)),"")</f>
        <v/>
      </c>
      <c r="S43" s="17" t="str">
        <f aca="false">IF(L43&lt;&gt;"",L43,IF(K43="","Not assessed",IF(N(O43)&gt;=3,"Demonstrated","Gap - remediate")))</f>
        <v>Not assessed</v>
      </c>
      <c r="T43" s="17" t="str">
        <f aca="false">IF(J43="","No evidence pull assigned",IF(COUNTIF('Evidence Pulls'!$A$6:$A$125,J43)=0,"Pull ID not on Evidence Pulls sheet",IF(K43="","Not graded",IF(AND(G43="MANDATORY",L43="Gap - recommend tailoring"),"INVALID: safety-mandatory, not tailorable",IF(OR(P43="",P43=0),"NO NAMED EXECUTOR",IF(AND(H43="Full",IFERROR(INDEX('Evidence Pulls'!$C$6:$C$125,MATCH($J43,'Evidence Pulls'!$A$6:$A$125,0)),"")&lt;&gt;"Artifact",N(O43)&gt;=3,N(IFERROR(INDEX('Evidence Pulls'!$K$6:$K$125,MATCH($J43,'Evidence Pulls'!$A$6:$A$125,0)),""))=0),"Operating claimed with no sample",IF(AND(N(O43)&gt;=3,P43=1),"Operating rests on one individual",IF(AND(L43&lt;&gt;"",N43=""),"Override with no rationale in column N",IF(AND(G43="MANDATORY",N(O43)&lt;3),"SAFETY GATE: below Operating","OK")))))))))</f>
        <v>No evidence pull assigned</v>
      </c>
    </row>
    <row r="44" customFormat="false" ht="15" hidden="false" customHeight="false" outlineLevel="0" collapsed="false">
      <c r="A44" s="14" t="s">
        <v>214</v>
      </c>
      <c r="B44" s="14" t="s">
        <v>177</v>
      </c>
      <c r="C44" s="14" t="s">
        <v>212</v>
      </c>
      <c r="D44" s="14" t="s">
        <v>213</v>
      </c>
      <c r="E44" s="14" t="s">
        <v>182</v>
      </c>
      <c r="F44" s="15"/>
      <c r="G44" s="14"/>
      <c r="H44" s="14" t="s">
        <v>127</v>
      </c>
      <c r="I44" s="14" t="s">
        <v>180</v>
      </c>
      <c r="J44" s="16"/>
      <c r="K44" s="16"/>
      <c r="L44" s="16"/>
      <c r="M44" s="16"/>
      <c r="N44" s="16"/>
      <c r="O44" s="17" t="str">
        <f aca="false">IFERROR(INDEX(Lists!$B$3:$B$7,MATCH(K44,Lists!$A$3:$A$7,0)),"")</f>
        <v/>
      </c>
      <c r="P44" s="17" t="str">
        <f aca="false">IFERROR(INDEX('Evidence Pulls'!$P$6:$P$125,MATCH($J44,'Evidence Pulls'!$A$6:$A$125,0)),"")</f>
        <v/>
      </c>
      <c r="Q44" s="17" t="str">
        <f aca="false">IFERROR(INDEX('Evidence Pulls'!$H$6:$H$125,MATCH($J44,'Evidence Pulls'!$A$6:$A$125,0)),"")</f>
        <v/>
      </c>
      <c r="R44" s="17" t="str">
        <f aca="false">IFERROR(INDEX('Evidence Pulls'!$Q$6:$Q$125,MATCH($J44,'Evidence Pulls'!$A$6:$A$125,0)),"")</f>
        <v/>
      </c>
      <c r="S44" s="17" t="str">
        <f aca="false">IF(L44&lt;&gt;"",L44,IF(K44="","Not assessed",IF(N(O44)&gt;=3,"Demonstrated","Gap - remediate")))</f>
        <v>Not assessed</v>
      </c>
      <c r="T44" s="17" t="str">
        <f aca="false">IF(J44="","No evidence pull assigned",IF(COUNTIF('Evidence Pulls'!$A$6:$A$125,J44)=0,"Pull ID not on Evidence Pulls sheet",IF(K44="","Not graded",IF(AND(G44="MANDATORY",L44="Gap - recommend tailoring"),"INVALID: safety-mandatory, not tailorable",IF(OR(P44="",P44=0),"NO NAMED EXECUTOR",IF(AND(H44="Full",IFERROR(INDEX('Evidence Pulls'!$C$6:$C$125,MATCH($J44,'Evidence Pulls'!$A$6:$A$125,0)),"")&lt;&gt;"Artifact",N(O44)&gt;=3,N(IFERROR(INDEX('Evidence Pulls'!$K$6:$K$125,MATCH($J44,'Evidence Pulls'!$A$6:$A$125,0)),""))=0),"Operating claimed with no sample",IF(AND(N(O44)&gt;=3,P44=1),"Operating rests on one individual",IF(AND(L44&lt;&gt;"",N44=""),"Override with no rationale in column N",IF(AND(G44="MANDATORY",N(O44)&lt;3),"SAFETY GATE: below Operating","OK")))))))))</f>
        <v>No evidence pull assigned</v>
      </c>
    </row>
    <row r="45" customFormat="false" ht="15" hidden="false" customHeight="false" outlineLevel="0" collapsed="false">
      <c r="A45" s="18" t="s">
        <v>215</v>
      </c>
      <c r="B45" s="18" t="s">
        <v>177</v>
      </c>
      <c r="C45" s="18" t="s">
        <v>212</v>
      </c>
      <c r="D45" s="18" t="s">
        <v>213</v>
      </c>
      <c r="E45" s="18" t="s">
        <v>184</v>
      </c>
      <c r="F45" s="18"/>
      <c r="G45" s="19" t="s">
        <v>131</v>
      </c>
      <c r="H45" s="19" t="s">
        <v>132</v>
      </c>
      <c r="I45" s="18" t="s">
        <v>180</v>
      </c>
      <c r="J45" s="16"/>
      <c r="K45" s="16"/>
      <c r="L45" s="16"/>
      <c r="M45" s="16"/>
      <c r="N45" s="16"/>
      <c r="O45" s="17" t="str">
        <f aca="false">IFERROR(INDEX(Lists!$B$3:$B$7,MATCH(K45,Lists!$A$3:$A$7,0)),"")</f>
        <v/>
      </c>
      <c r="P45" s="17" t="str">
        <f aca="false">IFERROR(INDEX('Evidence Pulls'!$P$6:$P$125,MATCH($J45,'Evidence Pulls'!$A$6:$A$125,0)),"")</f>
        <v/>
      </c>
      <c r="Q45" s="17" t="str">
        <f aca="false">IFERROR(INDEX('Evidence Pulls'!$H$6:$H$125,MATCH($J45,'Evidence Pulls'!$A$6:$A$125,0)),"")</f>
        <v/>
      </c>
      <c r="R45" s="17" t="str">
        <f aca="false">IFERROR(INDEX('Evidence Pulls'!$Q$6:$Q$125,MATCH($J45,'Evidence Pulls'!$A$6:$A$125,0)),"")</f>
        <v/>
      </c>
      <c r="S45" s="17" t="str">
        <f aca="false">IF(L45&lt;&gt;"",L45,IF(K45="","Not assessed",IF(N(O45)&gt;=3,"Demonstrated","Gap - remediate")))</f>
        <v>Not assessed</v>
      </c>
      <c r="T45" s="17" t="str">
        <f aca="false">IF(J45="","No evidence pull assigned",IF(COUNTIF('Evidence Pulls'!$A$6:$A$125,J45)=0,"Pull ID not on Evidence Pulls sheet",IF(K45="","Not graded",IF(AND(G45="MANDATORY",L45="Gap - recommend tailoring"),"INVALID: safety-mandatory, not tailorable",IF(OR(P45="",P45=0),"NO NAMED EXECUTOR",IF(AND(H45="Full",IFERROR(INDEX('Evidence Pulls'!$C$6:$C$125,MATCH($J45,'Evidence Pulls'!$A$6:$A$125,0)),"")&lt;&gt;"Artifact",N(O45)&gt;=3,N(IFERROR(INDEX('Evidence Pulls'!$K$6:$K$125,MATCH($J45,'Evidence Pulls'!$A$6:$A$125,0)),""))=0),"Operating claimed with no sample",IF(AND(N(O45)&gt;=3,P45=1),"Operating rests on one individual",IF(AND(L45&lt;&gt;"",N45=""),"Override with no rationale in column N",IF(AND(G45="MANDATORY",N(O45)&lt;3),"SAFETY GATE: below Operating","OK")))))))))</f>
        <v>No evidence pull assigned</v>
      </c>
    </row>
    <row r="46" customFormat="false" ht="15" hidden="false" customHeight="false" outlineLevel="0" collapsed="false">
      <c r="A46" s="14" t="s">
        <v>216</v>
      </c>
      <c r="B46" s="14" t="s">
        <v>177</v>
      </c>
      <c r="C46" s="14" t="s">
        <v>212</v>
      </c>
      <c r="D46" s="14" t="s">
        <v>213</v>
      </c>
      <c r="E46" s="14" t="s">
        <v>186</v>
      </c>
      <c r="F46" s="15"/>
      <c r="G46" s="14"/>
      <c r="H46" s="14" t="s">
        <v>127</v>
      </c>
      <c r="I46" s="14" t="s">
        <v>180</v>
      </c>
      <c r="J46" s="16"/>
      <c r="K46" s="16"/>
      <c r="L46" s="16"/>
      <c r="M46" s="16"/>
      <c r="N46" s="16"/>
      <c r="O46" s="17" t="str">
        <f aca="false">IFERROR(INDEX(Lists!$B$3:$B$7,MATCH(K46,Lists!$A$3:$A$7,0)),"")</f>
        <v/>
      </c>
      <c r="P46" s="17" t="str">
        <f aca="false">IFERROR(INDEX('Evidence Pulls'!$P$6:$P$125,MATCH($J46,'Evidence Pulls'!$A$6:$A$125,0)),"")</f>
        <v/>
      </c>
      <c r="Q46" s="17" t="str">
        <f aca="false">IFERROR(INDEX('Evidence Pulls'!$H$6:$H$125,MATCH($J46,'Evidence Pulls'!$A$6:$A$125,0)),"")</f>
        <v/>
      </c>
      <c r="R46" s="17" t="str">
        <f aca="false">IFERROR(INDEX('Evidence Pulls'!$Q$6:$Q$125,MATCH($J46,'Evidence Pulls'!$A$6:$A$125,0)),"")</f>
        <v/>
      </c>
      <c r="S46" s="17" t="str">
        <f aca="false">IF(L46&lt;&gt;"",L46,IF(K46="","Not assessed",IF(N(O46)&gt;=3,"Demonstrated","Gap - remediate")))</f>
        <v>Not assessed</v>
      </c>
      <c r="T46" s="17" t="str">
        <f aca="false">IF(J46="","No evidence pull assigned",IF(COUNTIF('Evidence Pulls'!$A$6:$A$125,J46)=0,"Pull ID not on Evidence Pulls sheet",IF(K46="","Not graded",IF(AND(G46="MANDATORY",L46="Gap - recommend tailoring"),"INVALID: safety-mandatory, not tailorable",IF(OR(P46="",P46=0),"NO NAMED EXECUTOR",IF(AND(H46="Full",IFERROR(INDEX('Evidence Pulls'!$C$6:$C$125,MATCH($J46,'Evidence Pulls'!$A$6:$A$125,0)),"")&lt;&gt;"Artifact",N(O46)&gt;=3,N(IFERROR(INDEX('Evidence Pulls'!$K$6:$K$125,MATCH($J46,'Evidence Pulls'!$A$6:$A$125,0)),""))=0),"Operating claimed with no sample",IF(AND(N(O46)&gt;=3,P46=1),"Operating rests on one individual",IF(AND(L46&lt;&gt;"",N46=""),"Override with no rationale in column N",IF(AND(G46="MANDATORY",N(O46)&lt;3),"SAFETY GATE: below Operating","OK")))))))))</f>
        <v>No evidence pull assigned</v>
      </c>
    </row>
    <row r="47" customFormat="false" ht="15" hidden="false" customHeight="false" outlineLevel="0" collapsed="false">
      <c r="A47" s="14" t="s">
        <v>217</v>
      </c>
      <c r="B47" s="14" t="s">
        <v>177</v>
      </c>
      <c r="C47" s="14" t="s">
        <v>212</v>
      </c>
      <c r="D47" s="14" t="s">
        <v>213</v>
      </c>
      <c r="E47" s="14" t="s">
        <v>188</v>
      </c>
      <c r="F47" s="15"/>
      <c r="G47" s="14"/>
      <c r="H47" s="14" t="s">
        <v>127</v>
      </c>
      <c r="I47" s="14" t="s">
        <v>180</v>
      </c>
      <c r="J47" s="16"/>
      <c r="K47" s="16"/>
      <c r="L47" s="16"/>
      <c r="M47" s="16"/>
      <c r="N47" s="16"/>
      <c r="O47" s="17" t="str">
        <f aca="false">IFERROR(INDEX(Lists!$B$3:$B$7,MATCH(K47,Lists!$A$3:$A$7,0)),"")</f>
        <v/>
      </c>
      <c r="P47" s="17" t="str">
        <f aca="false">IFERROR(INDEX('Evidence Pulls'!$P$6:$P$125,MATCH($J47,'Evidence Pulls'!$A$6:$A$125,0)),"")</f>
        <v/>
      </c>
      <c r="Q47" s="17" t="str">
        <f aca="false">IFERROR(INDEX('Evidence Pulls'!$H$6:$H$125,MATCH($J47,'Evidence Pulls'!$A$6:$A$125,0)),"")</f>
        <v/>
      </c>
      <c r="R47" s="17" t="str">
        <f aca="false">IFERROR(INDEX('Evidence Pulls'!$Q$6:$Q$125,MATCH($J47,'Evidence Pulls'!$A$6:$A$125,0)),"")</f>
        <v/>
      </c>
      <c r="S47" s="17" t="str">
        <f aca="false">IF(L47&lt;&gt;"",L47,IF(K47="","Not assessed",IF(N(O47)&gt;=3,"Demonstrated","Gap - remediate")))</f>
        <v>Not assessed</v>
      </c>
      <c r="T47" s="17" t="str">
        <f aca="false">IF(J47="","No evidence pull assigned",IF(COUNTIF('Evidence Pulls'!$A$6:$A$125,J47)=0,"Pull ID not on Evidence Pulls sheet",IF(K47="","Not graded",IF(AND(G47="MANDATORY",L47="Gap - recommend tailoring"),"INVALID: safety-mandatory, not tailorable",IF(OR(P47="",P47=0),"NO NAMED EXECUTOR",IF(AND(H47="Full",IFERROR(INDEX('Evidence Pulls'!$C$6:$C$125,MATCH($J47,'Evidence Pulls'!$A$6:$A$125,0)),"")&lt;&gt;"Artifact",N(O47)&gt;=3,N(IFERROR(INDEX('Evidence Pulls'!$K$6:$K$125,MATCH($J47,'Evidence Pulls'!$A$6:$A$125,0)),""))=0),"Operating claimed with no sample",IF(AND(N(O47)&gt;=3,P47=1),"Operating rests on one individual",IF(AND(L47&lt;&gt;"",N47=""),"Override with no rationale in column N",IF(AND(G47="MANDATORY",N(O47)&lt;3),"SAFETY GATE: below Operating","OK")))))))))</f>
        <v>No evidence pull assigned</v>
      </c>
    </row>
    <row r="48" customFormat="false" ht="15" hidden="false" customHeight="false" outlineLevel="0" collapsed="false">
      <c r="A48" s="14" t="s">
        <v>218</v>
      </c>
      <c r="B48" s="14" t="s">
        <v>177</v>
      </c>
      <c r="C48" s="14" t="s">
        <v>212</v>
      </c>
      <c r="D48" s="14" t="s">
        <v>213</v>
      </c>
      <c r="E48" s="14" t="s">
        <v>190</v>
      </c>
      <c r="F48" s="15"/>
      <c r="G48" s="14"/>
      <c r="H48" s="14" t="s">
        <v>127</v>
      </c>
      <c r="I48" s="14" t="s">
        <v>180</v>
      </c>
      <c r="J48" s="16"/>
      <c r="K48" s="16"/>
      <c r="L48" s="16"/>
      <c r="M48" s="16"/>
      <c r="N48" s="16"/>
      <c r="O48" s="17" t="str">
        <f aca="false">IFERROR(INDEX(Lists!$B$3:$B$7,MATCH(K48,Lists!$A$3:$A$7,0)),"")</f>
        <v/>
      </c>
      <c r="P48" s="17" t="str">
        <f aca="false">IFERROR(INDEX('Evidence Pulls'!$P$6:$P$125,MATCH($J48,'Evidence Pulls'!$A$6:$A$125,0)),"")</f>
        <v/>
      </c>
      <c r="Q48" s="17" t="str">
        <f aca="false">IFERROR(INDEX('Evidence Pulls'!$H$6:$H$125,MATCH($J48,'Evidence Pulls'!$A$6:$A$125,0)),"")</f>
        <v/>
      </c>
      <c r="R48" s="17" t="str">
        <f aca="false">IFERROR(INDEX('Evidence Pulls'!$Q$6:$Q$125,MATCH($J48,'Evidence Pulls'!$A$6:$A$125,0)),"")</f>
        <v/>
      </c>
      <c r="S48" s="17" t="str">
        <f aca="false">IF(L48&lt;&gt;"",L48,IF(K48="","Not assessed",IF(N(O48)&gt;=3,"Demonstrated","Gap - remediate")))</f>
        <v>Not assessed</v>
      </c>
      <c r="T48" s="17" t="str">
        <f aca="false">IF(J48="","No evidence pull assigned",IF(COUNTIF('Evidence Pulls'!$A$6:$A$125,J48)=0,"Pull ID not on Evidence Pulls sheet",IF(K48="","Not graded",IF(AND(G48="MANDATORY",L48="Gap - recommend tailoring"),"INVALID: safety-mandatory, not tailorable",IF(OR(P48="",P48=0),"NO NAMED EXECUTOR",IF(AND(H48="Full",IFERROR(INDEX('Evidence Pulls'!$C$6:$C$125,MATCH($J48,'Evidence Pulls'!$A$6:$A$125,0)),"")&lt;&gt;"Artifact",N(O48)&gt;=3,N(IFERROR(INDEX('Evidence Pulls'!$K$6:$K$125,MATCH($J48,'Evidence Pulls'!$A$6:$A$125,0)),""))=0),"Operating claimed with no sample",IF(AND(N(O48)&gt;=3,P48=1),"Operating rests on one individual",IF(AND(L48&lt;&gt;"",N48=""),"Override with no rationale in column N",IF(AND(G48="MANDATORY",N(O48)&lt;3),"SAFETY GATE: below Operating","OK")))))))))</f>
        <v>No evidence pull assigned</v>
      </c>
    </row>
    <row r="49" customFormat="false" ht="15" hidden="false" customHeight="false" outlineLevel="0" collapsed="false">
      <c r="A49" s="14" t="s">
        <v>219</v>
      </c>
      <c r="B49" s="14" t="s">
        <v>177</v>
      </c>
      <c r="C49" s="14" t="s">
        <v>212</v>
      </c>
      <c r="D49" s="14" t="s">
        <v>213</v>
      </c>
      <c r="E49" s="14" t="s">
        <v>192</v>
      </c>
      <c r="F49" s="15"/>
      <c r="G49" s="14"/>
      <c r="H49" s="14" t="s">
        <v>127</v>
      </c>
      <c r="I49" s="14" t="s">
        <v>180</v>
      </c>
      <c r="J49" s="16"/>
      <c r="K49" s="16"/>
      <c r="L49" s="16"/>
      <c r="M49" s="16"/>
      <c r="N49" s="16"/>
      <c r="O49" s="17" t="str">
        <f aca="false">IFERROR(INDEX(Lists!$B$3:$B$7,MATCH(K49,Lists!$A$3:$A$7,0)),"")</f>
        <v/>
      </c>
      <c r="P49" s="17" t="str">
        <f aca="false">IFERROR(INDEX('Evidence Pulls'!$P$6:$P$125,MATCH($J49,'Evidence Pulls'!$A$6:$A$125,0)),"")</f>
        <v/>
      </c>
      <c r="Q49" s="17" t="str">
        <f aca="false">IFERROR(INDEX('Evidence Pulls'!$H$6:$H$125,MATCH($J49,'Evidence Pulls'!$A$6:$A$125,0)),"")</f>
        <v/>
      </c>
      <c r="R49" s="17" t="str">
        <f aca="false">IFERROR(INDEX('Evidence Pulls'!$Q$6:$Q$125,MATCH($J49,'Evidence Pulls'!$A$6:$A$125,0)),"")</f>
        <v/>
      </c>
      <c r="S49" s="17" t="str">
        <f aca="false">IF(L49&lt;&gt;"",L49,IF(K49="","Not assessed",IF(N(O49)&gt;=3,"Demonstrated","Gap - remediate")))</f>
        <v>Not assessed</v>
      </c>
      <c r="T49" s="17" t="str">
        <f aca="false">IF(J49="","No evidence pull assigned",IF(COUNTIF('Evidence Pulls'!$A$6:$A$125,J49)=0,"Pull ID not on Evidence Pulls sheet",IF(K49="","Not graded",IF(AND(G49="MANDATORY",L49="Gap - recommend tailoring"),"INVALID: safety-mandatory, not tailorable",IF(OR(P49="",P49=0),"NO NAMED EXECUTOR",IF(AND(H49="Full",IFERROR(INDEX('Evidence Pulls'!$C$6:$C$125,MATCH($J49,'Evidence Pulls'!$A$6:$A$125,0)),"")&lt;&gt;"Artifact",N(O49)&gt;=3,N(IFERROR(INDEX('Evidence Pulls'!$K$6:$K$125,MATCH($J49,'Evidence Pulls'!$A$6:$A$125,0)),""))=0),"Operating claimed with no sample",IF(AND(N(O49)&gt;=3,P49=1),"Operating rests on one individual",IF(AND(L49&lt;&gt;"",N49=""),"Override with no rationale in column N",IF(AND(G49="MANDATORY",N(O49)&lt;3),"SAFETY GATE: below Operating","OK")))))))))</f>
        <v>No evidence pull assigned</v>
      </c>
    </row>
    <row r="50" customFormat="false" ht="15" hidden="false" customHeight="false" outlineLevel="0" collapsed="false">
      <c r="A50" s="14" t="s">
        <v>220</v>
      </c>
      <c r="B50" s="14" t="s">
        <v>177</v>
      </c>
      <c r="C50" s="14" t="s">
        <v>212</v>
      </c>
      <c r="D50" s="14" t="s">
        <v>213</v>
      </c>
      <c r="E50" s="14" t="s">
        <v>194</v>
      </c>
      <c r="F50" s="15"/>
      <c r="G50" s="14"/>
      <c r="H50" s="14" t="s">
        <v>127</v>
      </c>
      <c r="I50" s="14" t="s">
        <v>180</v>
      </c>
      <c r="J50" s="16"/>
      <c r="K50" s="16"/>
      <c r="L50" s="16"/>
      <c r="M50" s="16"/>
      <c r="N50" s="16"/>
      <c r="O50" s="17" t="str">
        <f aca="false">IFERROR(INDEX(Lists!$B$3:$B$7,MATCH(K50,Lists!$A$3:$A$7,0)),"")</f>
        <v/>
      </c>
      <c r="P50" s="17" t="str">
        <f aca="false">IFERROR(INDEX('Evidence Pulls'!$P$6:$P$125,MATCH($J50,'Evidence Pulls'!$A$6:$A$125,0)),"")</f>
        <v/>
      </c>
      <c r="Q50" s="17" t="str">
        <f aca="false">IFERROR(INDEX('Evidence Pulls'!$H$6:$H$125,MATCH($J50,'Evidence Pulls'!$A$6:$A$125,0)),"")</f>
        <v/>
      </c>
      <c r="R50" s="17" t="str">
        <f aca="false">IFERROR(INDEX('Evidence Pulls'!$Q$6:$Q$125,MATCH($J50,'Evidence Pulls'!$A$6:$A$125,0)),"")</f>
        <v/>
      </c>
      <c r="S50" s="17" t="str">
        <f aca="false">IF(L50&lt;&gt;"",L50,IF(K50="","Not assessed",IF(N(O50)&gt;=3,"Demonstrated","Gap - remediate")))</f>
        <v>Not assessed</v>
      </c>
      <c r="T50" s="17" t="str">
        <f aca="false">IF(J50="","No evidence pull assigned",IF(COUNTIF('Evidence Pulls'!$A$6:$A$125,J50)=0,"Pull ID not on Evidence Pulls sheet",IF(K50="","Not graded",IF(AND(G50="MANDATORY",L50="Gap - recommend tailoring"),"INVALID: safety-mandatory, not tailorable",IF(OR(P50="",P50=0),"NO NAMED EXECUTOR",IF(AND(H50="Full",IFERROR(INDEX('Evidence Pulls'!$C$6:$C$125,MATCH($J50,'Evidence Pulls'!$A$6:$A$125,0)),"")&lt;&gt;"Artifact",N(O50)&gt;=3,N(IFERROR(INDEX('Evidence Pulls'!$K$6:$K$125,MATCH($J50,'Evidence Pulls'!$A$6:$A$125,0)),""))=0),"Operating claimed with no sample",IF(AND(N(O50)&gt;=3,P50=1),"Operating rests on one individual",IF(AND(L50&lt;&gt;"",N50=""),"Override with no rationale in column N",IF(AND(G50="MANDATORY",N(O50)&lt;3),"SAFETY GATE: below Operating","OK")))))))))</f>
        <v>No evidence pull assigned</v>
      </c>
    </row>
    <row r="51" customFormat="false" ht="15" hidden="false" customHeight="false" outlineLevel="0" collapsed="false">
      <c r="A51" s="14" t="s">
        <v>221</v>
      </c>
      <c r="B51" s="14" t="s">
        <v>177</v>
      </c>
      <c r="C51" s="14" t="s">
        <v>222</v>
      </c>
      <c r="D51" s="14" t="s">
        <v>223</v>
      </c>
      <c r="E51" s="14" t="s">
        <v>126</v>
      </c>
      <c r="F51" s="15"/>
      <c r="G51" s="14"/>
      <c r="H51" s="14" t="s">
        <v>127</v>
      </c>
      <c r="I51" s="14" t="s">
        <v>180</v>
      </c>
      <c r="J51" s="16"/>
      <c r="K51" s="16"/>
      <c r="L51" s="16"/>
      <c r="M51" s="16"/>
      <c r="N51" s="16"/>
      <c r="O51" s="17" t="str">
        <f aca="false">IFERROR(INDEX(Lists!$B$3:$B$7,MATCH(K51,Lists!$A$3:$A$7,0)),"")</f>
        <v/>
      </c>
      <c r="P51" s="17" t="str">
        <f aca="false">IFERROR(INDEX('Evidence Pulls'!$P$6:$P$125,MATCH($J51,'Evidence Pulls'!$A$6:$A$125,0)),"")</f>
        <v/>
      </c>
      <c r="Q51" s="17" t="str">
        <f aca="false">IFERROR(INDEX('Evidence Pulls'!$H$6:$H$125,MATCH($J51,'Evidence Pulls'!$A$6:$A$125,0)),"")</f>
        <v/>
      </c>
      <c r="R51" s="17" t="str">
        <f aca="false">IFERROR(INDEX('Evidence Pulls'!$Q$6:$Q$125,MATCH($J51,'Evidence Pulls'!$A$6:$A$125,0)),"")</f>
        <v/>
      </c>
      <c r="S51" s="17" t="str">
        <f aca="false">IF(L51&lt;&gt;"",L51,IF(K51="","Not assessed",IF(N(O51)&gt;=3,"Demonstrated","Gap - remediate")))</f>
        <v>Not assessed</v>
      </c>
      <c r="T51" s="17" t="str">
        <f aca="false">IF(J51="","No evidence pull assigned",IF(COUNTIF('Evidence Pulls'!$A$6:$A$125,J51)=0,"Pull ID not on Evidence Pulls sheet",IF(K51="","Not graded",IF(AND(G51="MANDATORY",L51="Gap - recommend tailoring"),"INVALID: safety-mandatory, not tailorable",IF(OR(P51="",P51=0),"NO NAMED EXECUTOR",IF(AND(H51="Full",IFERROR(INDEX('Evidence Pulls'!$C$6:$C$125,MATCH($J51,'Evidence Pulls'!$A$6:$A$125,0)),"")&lt;&gt;"Artifact",N(O51)&gt;=3,N(IFERROR(INDEX('Evidence Pulls'!$K$6:$K$125,MATCH($J51,'Evidence Pulls'!$A$6:$A$125,0)),""))=0),"Operating claimed with no sample",IF(AND(N(O51)&gt;=3,P51=1),"Operating rests on one individual",IF(AND(L51&lt;&gt;"",N51=""),"Override with no rationale in column N",IF(AND(G51="MANDATORY",N(O51)&lt;3),"SAFETY GATE: below Operating","OK")))))))))</f>
        <v>No evidence pull assigned</v>
      </c>
    </row>
    <row r="52" customFormat="false" ht="15" hidden="false" customHeight="false" outlineLevel="0" collapsed="false">
      <c r="A52" s="14" t="s">
        <v>224</v>
      </c>
      <c r="B52" s="14" t="s">
        <v>177</v>
      </c>
      <c r="C52" s="14" t="s">
        <v>222</v>
      </c>
      <c r="D52" s="14" t="s">
        <v>223</v>
      </c>
      <c r="E52" s="14" t="s">
        <v>130</v>
      </c>
      <c r="F52" s="15"/>
      <c r="G52" s="14"/>
      <c r="H52" s="14" t="s">
        <v>127</v>
      </c>
      <c r="I52" s="14" t="s">
        <v>180</v>
      </c>
      <c r="J52" s="16"/>
      <c r="K52" s="16"/>
      <c r="L52" s="16"/>
      <c r="M52" s="16"/>
      <c r="N52" s="16"/>
      <c r="O52" s="17" t="str">
        <f aca="false">IFERROR(INDEX(Lists!$B$3:$B$7,MATCH(K52,Lists!$A$3:$A$7,0)),"")</f>
        <v/>
      </c>
      <c r="P52" s="17" t="str">
        <f aca="false">IFERROR(INDEX('Evidence Pulls'!$P$6:$P$125,MATCH($J52,'Evidence Pulls'!$A$6:$A$125,0)),"")</f>
        <v/>
      </c>
      <c r="Q52" s="17" t="str">
        <f aca="false">IFERROR(INDEX('Evidence Pulls'!$H$6:$H$125,MATCH($J52,'Evidence Pulls'!$A$6:$A$125,0)),"")</f>
        <v/>
      </c>
      <c r="R52" s="17" t="str">
        <f aca="false">IFERROR(INDEX('Evidence Pulls'!$Q$6:$Q$125,MATCH($J52,'Evidence Pulls'!$A$6:$A$125,0)),"")</f>
        <v/>
      </c>
      <c r="S52" s="17" t="str">
        <f aca="false">IF(L52&lt;&gt;"",L52,IF(K52="","Not assessed",IF(N(O52)&gt;=3,"Demonstrated","Gap - remediate")))</f>
        <v>Not assessed</v>
      </c>
      <c r="T52" s="17" t="str">
        <f aca="false">IF(J52="","No evidence pull assigned",IF(COUNTIF('Evidence Pulls'!$A$6:$A$125,J52)=0,"Pull ID not on Evidence Pulls sheet",IF(K52="","Not graded",IF(AND(G52="MANDATORY",L52="Gap - recommend tailoring"),"INVALID: safety-mandatory, not tailorable",IF(OR(P52="",P52=0),"NO NAMED EXECUTOR",IF(AND(H52="Full",IFERROR(INDEX('Evidence Pulls'!$C$6:$C$125,MATCH($J52,'Evidence Pulls'!$A$6:$A$125,0)),"")&lt;&gt;"Artifact",N(O52)&gt;=3,N(IFERROR(INDEX('Evidence Pulls'!$K$6:$K$125,MATCH($J52,'Evidence Pulls'!$A$6:$A$125,0)),""))=0),"Operating claimed with no sample",IF(AND(N(O52)&gt;=3,P52=1),"Operating rests on one individual",IF(AND(L52&lt;&gt;"",N52=""),"Override with no rationale in column N",IF(AND(G52="MANDATORY",N(O52)&lt;3),"SAFETY GATE: below Operating","OK")))))))))</f>
        <v>No evidence pull assigned</v>
      </c>
    </row>
    <row r="53" customFormat="false" ht="15" hidden="false" customHeight="false" outlineLevel="0" collapsed="false">
      <c r="A53" s="14" t="s">
        <v>225</v>
      </c>
      <c r="B53" s="14" t="s">
        <v>177</v>
      </c>
      <c r="C53" s="14" t="s">
        <v>222</v>
      </c>
      <c r="D53" s="14" t="s">
        <v>223</v>
      </c>
      <c r="E53" s="14" t="s">
        <v>134</v>
      </c>
      <c r="F53" s="15"/>
      <c r="G53" s="14"/>
      <c r="H53" s="14" t="s">
        <v>127</v>
      </c>
      <c r="I53" s="14" t="s">
        <v>180</v>
      </c>
      <c r="J53" s="16"/>
      <c r="K53" s="16"/>
      <c r="L53" s="16"/>
      <c r="M53" s="16"/>
      <c r="N53" s="16"/>
      <c r="O53" s="17" t="str">
        <f aca="false">IFERROR(INDEX(Lists!$B$3:$B$7,MATCH(K53,Lists!$A$3:$A$7,0)),"")</f>
        <v/>
      </c>
      <c r="P53" s="17" t="str">
        <f aca="false">IFERROR(INDEX('Evidence Pulls'!$P$6:$P$125,MATCH($J53,'Evidence Pulls'!$A$6:$A$125,0)),"")</f>
        <v/>
      </c>
      <c r="Q53" s="17" t="str">
        <f aca="false">IFERROR(INDEX('Evidence Pulls'!$H$6:$H$125,MATCH($J53,'Evidence Pulls'!$A$6:$A$125,0)),"")</f>
        <v/>
      </c>
      <c r="R53" s="17" t="str">
        <f aca="false">IFERROR(INDEX('Evidence Pulls'!$Q$6:$Q$125,MATCH($J53,'Evidence Pulls'!$A$6:$A$125,0)),"")</f>
        <v/>
      </c>
      <c r="S53" s="17" t="str">
        <f aca="false">IF(L53&lt;&gt;"",L53,IF(K53="","Not assessed",IF(N(O53)&gt;=3,"Demonstrated","Gap - remediate")))</f>
        <v>Not assessed</v>
      </c>
      <c r="T53" s="17" t="str">
        <f aca="false">IF(J53="","No evidence pull assigned",IF(COUNTIF('Evidence Pulls'!$A$6:$A$125,J53)=0,"Pull ID not on Evidence Pulls sheet",IF(K53="","Not graded",IF(AND(G53="MANDATORY",L53="Gap - recommend tailoring"),"INVALID: safety-mandatory, not tailorable",IF(OR(P53="",P53=0),"NO NAMED EXECUTOR",IF(AND(H53="Full",IFERROR(INDEX('Evidence Pulls'!$C$6:$C$125,MATCH($J53,'Evidence Pulls'!$A$6:$A$125,0)),"")&lt;&gt;"Artifact",N(O53)&gt;=3,N(IFERROR(INDEX('Evidence Pulls'!$K$6:$K$125,MATCH($J53,'Evidence Pulls'!$A$6:$A$125,0)),""))=0),"Operating claimed with no sample",IF(AND(N(O53)&gt;=3,P53=1),"Operating rests on one individual",IF(AND(L53&lt;&gt;"",N53=""),"Override with no rationale in column N",IF(AND(G53="MANDATORY",N(O53)&lt;3),"SAFETY GATE: below Operating","OK")))))))))</f>
        <v>No evidence pull assigned</v>
      </c>
    </row>
    <row r="54" customFormat="false" ht="15" hidden="false" customHeight="false" outlineLevel="0" collapsed="false">
      <c r="A54" s="14" t="s">
        <v>226</v>
      </c>
      <c r="B54" s="14" t="s">
        <v>177</v>
      </c>
      <c r="C54" s="14" t="s">
        <v>222</v>
      </c>
      <c r="D54" s="14" t="s">
        <v>223</v>
      </c>
      <c r="E54" s="14" t="s">
        <v>136</v>
      </c>
      <c r="F54" s="15"/>
      <c r="G54" s="14"/>
      <c r="H54" s="14" t="s">
        <v>127</v>
      </c>
      <c r="I54" s="14" t="s">
        <v>180</v>
      </c>
      <c r="J54" s="16"/>
      <c r="K54" s="16"/>
      <c r="L54" s="16"/>
      <c r="M54" s="16"/>
      <c r="N54" s="16"/>
      <c r="O54" s="17" t="str">
        <f aca="false">IFERROR(INDEX(Lists!$B$3:$B$7,MATCH(K54,Lists!$A$3:$A$7,0)),"")</f>
        <v/>
      </c>
      <c r="P54" s="17" t="str">
        <f aca="false">IFERROR(INDEX('Evidence Pulls'!$P$6:$P$125,MATCH($J54,'Evidence Pulls'!$A$6:$A$125,0)),"")</f>
        <v/>
      </c>
      <c r="Q54" s="17" t="str">
        <f aca="false">IFERROR(INDEX('Evidence Pulls'!$H$6:$H$125,MATCH($J54,'Evidence Pulls'!$A$6:$A$125,0)),"")</f>
        <v/>
      </c>
      <c r="R54" s="17" t="str">
        <f aca="false">IFERROR(INDEX('Evidence Pulls'!$Q$6:$Q$125,MATCH($J54,'Evidence Pulls'!$A$6:$A$125,0)),"")</f>
        <v/>
      </c>
      <c r="S54" s="17" t="str">
        <f aca="false">IF(L54&lt;&gt;"",L54,IF(K54="","Not assessed",IF(N(O54)&gt;=3,"Demonstrated","Gap - remediate")))</f>
        <v>Not assessed</v>
      </c>
      <c r="T54" s="17" t="str">
        <f aca="false">IF(J54="","No evidence pull assigned",IF(COUNTIF('Evidence Pulls'!$A$6:$A$125,J54)=0,"Pull ID not on Evidence Pulls sheet",IF(K54="","Not graded",IF(AND(G54="MANDATORY",L54="Gap - recommend tailoring"),"INVALID: safety-mandatory, not tailorable",IF(OR(P54="",P54=0),"NO NAMED EXECUTOR",IF(AND(H54="Full",IFERROR(INDEX('Evidence Pulls'!$C$6:$C$125,MATCH($J54,'Evidence Pulls'!$A$6:$A$125,0)),"")&lt;&gt;"Artifact",N(O54)&gt;=3,N(IFERROR(INDEX('Evidence Pulls'!$K$6:$K$125,MATCH($J54,'Evidence Pulls'!$A$6:$A$125,0)),""))=0),"Operating claimed with no sample",IF(AND(N(O54)&gt;=3,P54=1),"Operating rests on one individual",IF(AND(L54&lt;&gt;"",N54=""),"Override with no rationale in column N",IF(AND(G54="MANDATORY",N(O54)&lt;3),"SAFETY GATE: below Operating","OK")))))))))</f>
        <v>No evidence pull assigned</v>
      </c>
    </row>
    <row r="55" customFormat="false" ht="15" hidden="false" customHeight="false" outlineLevel="0" collapsed="false">
      <c r="A55" s="14" t="s">
        <v>227</v>
      </c>
      <c r="B55" s="14" t="s">
        <v>177</v>
      </c>
      <c r="C55" s="14" t="s">
        <v>222</v>
      </c>
      <c r="D55" s="14" t="s">
        <v>223</v>
      </c>
      <c r="E55" s="14" t="s">
        <v>228</v>
      </c>
      <c r="F55" s="15"/>
      <c r="G55" s="14"/>
      <c r="H55" s="14" t="s">
        <v>127</v>
      </c>
      <c r="I55" s="14" t="s">
        <v>180</v>
      </c>
      <c r="J55" s="16"/>
      <c r="K55" s="16"/>
      <c r="L55" s="16"/>
      <c r="M55" s="16"/>
      <c r="N55" s="16"/>
      <c r="O55" s="17" t="str">
        <f aca="false">IFERROR(INDEX(Lists!$B$3:$B$7,MATCH(K55,Lists!$A$3:$A$7,0)),"")</f>
        <v/>
      </c>
      <c r="P55" s="17" t="str">
        <f aca="false">IFERROR(INDEX('Evidence Pulls'!$P$6:$P$125,MATCH($J55,'Evidence Pulls'!$A$6:$A$125,0)),"")</f>
        <v/>
      </c>
      <c r="Q55" s="17" t="str">
        <f aca="false">IFERROR(INDEX('Evidence Pulls'!$H$6:$H$125,MATCH($J55,'Evidence Pulls'!$A$6:$A$125,0)),"")</f>
        <v/>
      </c>
      <c r="R55" s="17" t="str">
        <f aca="false">IFERROR(INDEX('Evidence Pulls'!$Q$6:$Q$125,MATCH($J55,'Evidence Pulls'!$A$6:$A$125,0)),"")</f>
        <v/>
      </c>
      <c r="S55" s="17" t="str">
        <f aca="false">IF(L55&lt;&gt;"",L55,IF(K55="","Not assessed",IF(N(O55)&gt;=3,"Demonstrated","Gap - remediate")))</f>
        <v>Not assessed</v>
      </c>
      <c r="T55" s="17" t="str">
        <f aca="false">IF(J55="","No evidence pull assigned",IF(COUNTIF('Evidence Pulls'!$A$6:$A$125,J55)=0,"Pull ID not on Evidence Pulls sheet",IF(K55="","Not graded",IF(AND(G55="MANDATORY",L55="Gap - recommend tailoring"),"INVALID: safety-mandatory, not tailorable",IF(OR(P55="",P55=0),"NO NAMED EXECUTOR",IF(AND(H55="Full",IFERROR(INDEX('Evidence Pulls'!$C$6:$C$125,MATCH($J55,'Evidence Pulls'!$A$6:$A$125,0)),"")&lt;&gt;"Artifact",N(O55)&gt;=3,N(IFERROR(INDEX('Evidence Pulls'!$K$6:$K$125,MATCH($J55,'Evidence Pulls'!$A$6:$A$125,0)),""))=0),"Operating claimed with no sample",IF(AND(N(O55)&gt;=3,P55=1),"Operating rests on one individual",IF(AND(L55&lt;&gt;"",N55=""),"Override with no rationale in column N",IF(AND(G55="MANDATORY",N(O55)&lt;3),"SAFETY GATE: below Operating","OK")))))))))</f>
        <v>No evidence pull assigned</v>
      </c>
    </row>
    <row r="56" customFormat="false" ht="22.35" hidden="false" customHeight="false" outlineLevel="0" collapsed="false">
      <c r="A56" s="14" t="s">
        <v>229</v>
      </c>
      <c r="B56" s="14" t="s">
        <v>177</v>
      </c>
      <c r="C56" s="14" t="s">
        <v>230</v>
      </c>
      <c r="D56" s="14" t="s">
        <v>231</v>
      </c>
      <c r="E56" s="14" t="s">
        <v>126</v>
      </c>
      <c r="F56" s="15"/>
      <c r="G56" s="14"/>
      <c r="H56" s="14" t="s">
        <v>127</v>
      </c>
      <c r="I56" s="14" t="s">
        <v>180</v>
      </c>
      <c r="J56" s="16"/>
      <c r="K56" s="16"/>
      <c r="L56" s="16"/>
      <c r="M56" s="16"/>
      <c r="N56" s="16"/>
      <c r="O56" s="17" t="str">
        <f aca="false">IFERROR(INDEX(Lists!$B$3:$B$7,MATCH(K56,Lists!$A$3:$A$7,0)),"")</f>
        <v/>
      </c>
      <c r="P56" s="17" t="str">
        <f aca="false">IFERROR(INDEX('Evidence Pulls'!$P$6:$P$125,MATCH($J56,'Evidence Pulls'!$A$6:$A$125,0)),"")</f>
        <v/>
      </c>
      <c r="Q56" s="17" t="str">
        <f aca="false">IFERROR(INDEX('Evidence Pulls'!$H$6:$H$125,MATCH($J56,'Evidence Pulls'!$A$6:$A$125,0)),"")</f>
        <v/>
      </c>
      <c r="R56" s="17" t="str">
        <f aca="false">IFERROR(INDEX('Evidence Pulls'!$Q$6:$Q$125,MATCH($J56,'Evidence Pulls'!$A$6:$A$125,0)),"")</f>
        <v/>
      </c>
      <c r="S56" s="17" t="str">
        <f aca="false">IF(L56&lt;&gt;"",L56,IF(K56="","Not assessed",IF(N(O56)&gt;=3,"Demonstrated","Gap - remediate")))</f>
        <v>Not assessed</v>
      </c>
      <c r="T56" s="17" t="str">
        <f aca="false">IF(J56="","No evidence pull assigned",IF(COUNTIF('Evidence Pulls'!$A$6:$A$125,J56)=0,"Pull ID not on Evidence Pulls sheet",IF(K56="","Not graded",IF(AND(G56="MANDATORY",L56="Gap - recommend tailoring"),"INVALID: safety-mandatory, not tailorable",IF(OR(P56="",P56=0),"NO NAMED EXECUTOR",IF(AND(H56="Full",IFERROR(INDEX('Evidence Pulls'!$C$6:$C$125,MATCH($J56,'Evidence Pulls'!$A$6:$A$125,0)),"")&lt;&gt;"Artifact",N(O56)&gt;=3,N(IFERROR(INDEX('Evidence Pulls'!$K$6:$K$125,MATCH($J56,'Evidence Pulls'!$A$6:$A$125,0)),""))=0),"Operating claimed with no sample",IF(AND(N(O56)&gt;=3,P56=1),"Operating rests on one individual",IF(AND(L56&lt;&gt;"",N56=""),"Override with no rationale in column N",IF(AND(G56="MANDATORY",N(O56)&lt;3),"SAFETY GATE: below Operating","OK")))))))))</f>
        <v>No evidence pull assigned</v>
      </c>
    </row>
    <row r="57" customFormat="false" ht="22.35" hidden="false" customHeight="false" outlineLevel="0" collapsed="false">
      <c r="A57" s="14" t="s">
        <v>232</v>
      </c>
      <c r="B57" s="14" t="s">
        <v>177</v>
      </c>
      <c r="C57" s="14" t="s">
        <v>230</v>
      </c>
      <c r="D57" s="14" t="s">
        <v>231</v>
      </c>
      <c r="E57" s="14" t="s">
        <v>130</v>
      </c>
      <c r="F57" s="15"/>
      <c r="G57" s="14"/>
      <c r="H57" s="14" t="s">
        <v>127</v>
      </c>
      <c r="I57" s="14" t="s">
        <v>180</v>
      </c>
      <c r="J57" s="16"/>
      <c r="K57" s="16"/>
      <c r="L57" s="16"/>
      <c r="M57" s="16"/>
      <c r="N57" s="16"/>
      <c r="O57" s="17" t="str">
        <f aca="false">IFERROR(INDEX(Lists!$B$3:$B$7,MATCH(K57,Lists!$A$3:$A$7,0)),"")</f>
        <v/>
      </c>
      <c r="P57" s="17" t="str">
        <f aca="false">IFERROR(INDEX('Evidence Pulls'!$P$6:$P$125,MATCH($J57,'Evidence Pulls'!$A$6:$A$125,0)),"")</f>
        <v/>
      </c>
      <c r="Q57" s="17" t="str">
        <f aca="false">IFERROR(INDEX('Evidence Pulls'!$H$6:$H$125,MATCH($J57,'Evidence Pulls'!$A$6:$A$125,0)),"")</f>
        <v/>
      </c>
      <c r="R57" s="17" t="str">
        <f aca="false">IFERROR(INDEX('Evidence Pulls'!$Q$6:$Q$125,MATCH($J57,'Evidence Pulls'!$A$6:$A$125,0)),"")</f>
        <v/>
      </c>
      <c r="S57" s="17" t="str">
        <f aca="false">IF(L57&lt;&gt;"",L57,IF(K57="","Not assessed",IF(N(O57)&gt;=3,"Demonstrated","Gap - remediate")))</f>
        <v>Not assessed</v>
      </c>
      <c r="T57" s="17" t="str">
        <f aca="false">IF(J57="","No evidence pull assigned",IF(COUNTIF('Evidence Pulls'!$A$6:$A$125,J57)=0,"Pull ID not on Evidence Pulls sheet",IF(K57="","Not graded",IF(AND(G57="MANDATORY",L57="Gap - recommend tailoring"),"INVALID: safety-mandatory, not tailorable",IF(OR(P57="",P57=0),"NO NAMED EXECUTOR",IF(AND(H57="Full",IFERROR(INDEX('Evidence Pulls'!$C$6:$C$125,MATCH($J57,'Evidence Pulls'!$A$6:$A$125,0)),"")&lt;&gt;"Artifact",N(O57)&gt;=3,N(IFERROR(INDEX('Evidence Pulls'!$K$6:$K$125,MATCH($J57,'Evidence Pulls'!$A$6:$A$125,0)),""))=0),"Operating claimed with no sample",IF(AND(N(O57)&gt;=3,P57=1),"Operating rests on one individual",IF(AND(L57&lt;&gt;"",N57=""),"Override with no rationale in column N",IF(AND(G57="MANDATORY",N(O57)&lt;3),"SAFETY GATE: below Operating","OK")))))))))</f>
        <v>No evidence pull assigned</v>
      </c>
    </row>
    <row r="58" customFormat="false" ht="22.35" hidden="false" customHeight="false" outlineLevel="0" collapsed="false">
      <c r="A58" s="14" t="s">
        <v>233</v>
      </c>
      <c r="B58" s="14" t="s">
        <v>177</v>
      </c>
      <c r="C58" s="14" t="s">
        <v>234</v>
      </c>
      <c r="D58" s="14" t="s">
        <v>235</v>
      </c>
      <c r="E58" s="14" t="s">
        <v>141</v>
      </c>
      <c r="F58" s="15"/>
      <c r="G58" s="14"/>
      <c r="H58" s="14" t="s">
        <v>127</v>
      </c>
      <c r="I58" s="14" t="s">
        <v>180</v>
      </c>
      <c r="J58" s="16"/>
      <c r="K58" s="16"/>
      <c r="L58" s="16"/>
      <c r="M58" s="16"/>
      <c r="N58" s="16"/>
      <c r="O58" s="17" t="str">
        <f aca="false">IFERROR(INDEX(Lists!$B$3:$B$7,MATCH(K58,Lists!$A$3:$A$7,0)),"")</f>
        <v/>
      </c>
      <c r="P58" s="17" t="str">
        <f aca="false">IFERROR(INDEX('Evidence Pulls'!$P$6:$P$125,MATCH($J58,'Evidence Pulls'!$A$6:$A$125,0)),"")</f>
        <v/>
      </c>
      <c r="Q58" s="17" t="str">
        <f aca="false">IFERROR(INDEX('Evidence Pulls'!$H$6:$H$125,MATCH($J58,'Evidence Pulls'!$A$6:$A$125,0)),"")</f>
        <v/>
      </c>
      <c r="R58" s="17" t="str">
        <f aca="false">IFERROR(INDEX('Evidence Pulls'!$Q$6:$Q$125,MATCH($J58,'Evidence Pulls'!$A$6:$A$125,0)),"")</f>
        <v/>
      </c>
      <c r="S58" s="17" t="str">
        <f aca="false">IF(L58&lt;&gt;"",L58,IF(K58="","Not assessed",IF(N(O58)&gt;=3,"Demonstrated","Gap - remediate")))</f>
        <v>Not assessed</v>
      </c>
      <c r="T58" s="17" t="str">
        <f aca="false">IF(J58="","No evidence pull assigned",IF(COUNTIF('Evidence Pulls'!$A$6:$A$125,J58)=0,"Pull ID not on Evidence Pulls sheet",IF(K58="","Not graded",IF(AND(G58="MANDATORY",L58="Gap - recommend tailoring"),"INVALID: safety-mandatory, not tailorable",IF(OR(P58="",P58=0),"NO NAMED EXECUTOR",IF(AND(H58="Full",IFERROR(INDEX('Evidence Pulls'!$C$6:$C$125,MATCH($J58,'Evidence Pulls'!$A$6:$A$125,0)),"")&lt;&gt;"Artifact",N(O58)&gt;=3,N(IFERROR(INDEX('Evidence Pulls'!$K$6:$K$125,MATCH($J58,'Evidence Pulls'!$A$6:$A$125,0)),""))=0),"Operating claimed with no sample",IF(AND(N(O58)&gt;=3,P58=1),"Operating rests on one individual",IF(AND(L58&lt;&gt;"",N58=""),"Override with no rationale in column N",IF(AND(G58="MANDATORY",N(O58)&lt;3),"SAFETY GATE: below Operating","OK")))))))))</f>
        <v>No evidence pull assigned</v>
      </c>
    </row>
    <row r="59" customFormat="false" ht="22.35" hidden="false" customHeight="false" outlineLevel="0" collapsed="false">
      <c r="A59" s="14" t="s">
        <v>236</v>
      </c>
      <c r="B59" s="14" t="s">
        <v>177</v>
      </c>
      <c r="C59" s="14" t="s">
        <v>234</v>
      </c>
      <c r="D59" s="14" t="s">
        <v>235</v>
      </c>
      <c r="E59" s="14" t="s">
        <v>143</v>
      </c>
      <c r="F59" s="15"/>
      <c r="G59" s="14"/>
      <c r="H59" s="14" t="s">
        <v>127</v>
      </c>
      <c r="I59" s="14" t="s">
        <v>180</v>
      </c>
      <c r="J59" s="16"/>
      <c r="K59" s="16"/>
      <c r="L59" s="16"/>
      <c r="M59" s="16"/>
      <c r="N59" s="16"/>
      <c r="O59" s="17" t="str">
        <f aca="false">IFERROR(INDEX(Lists!$B$3:$B$7,MATCH(K59,Lists!$A$3:$A$7,0)),"")</f>
        <v/>
      </c>
      <c r="P59" s="17" t="str">
        <f aca="false">IFERROR(INDEX('Evidence Pulls'!$P$6:$P$125,MATCH($J59,'Evidence Pulls'!$A$6:$A$125,0)),"")</f>
        <v/>
      </c>
      <c r="Q59" s="17" t="str">
        <f aca="false">IFERROR(INDEX('Evidence Pulls'!$H$6:$H$125,MATCH($J59,'Evidence Pulls'!$A$6:$A$125,0)),"")</f>
        <v/>
      </c>
      <c r="R59" s="17" t="str">
        <f aca="false">IFERROR(INDEX('Evidence Pulls'!$Q$6:$Q$125,MATCH($J59,'Evidence Pulls'!$A$6:$A$125,0)),"")</f>
        <v/>
      </c>
      <c r="S59" s="17" t="str">
        <f aca="false">IF(L59&lt;&gt;"",L59,IF(K59="","Not assessed",IF(N(O59)&gt;=3,"Demonstrated","Gap - remediate")))</f>
        <v>Not assessed</v>
      </c>
      <c r="T59" s="17" t="str">
        <f aca="false">IF(J59="","No evidence pull assigned",IF(COUNTIF('Evidence Pulls'!$A$6:$A$125,J59)=0,"Pull ID not on Evidence Pulls sheet",IF(K59="","Not graded",IF(AND(G59="MANDATORY",L59="Gap - recommend tailoring"),"INVALID: safety-mandatory, not tailorable",IF(OR(P59="",P59=0),"NO NAMED EXECUTOR",IF(AND(H59="Full",IFERROR(INDEX('Evidence Pulls'!$C$6:$C$125,MATCH($J59,'Evidence Pulls'!$A$6:$A$125,0)),"")&lt;&gt;"Artifact",N(O59)&gt;=3,N(IFERROR(INDEX('Evidence Pulls'!$K$6:$K$125,MATCH($J59,'Evidence Pulls'!$A$6:$A$125,0)),""))=0),"Operating claimed with no sample",IF(AND(N(O59)&gt;=3,P59=1),"Operating rests on one individual",IF(AND(L59&lt;&gt;"",N59=""),"Override with no rationale in column N",IF(AND(G59="MANDATORY",N(O59)&lt;3),"SAFETY GATE: below Operating","OK")))))))))</f>
        <v>No evidence pull assigned</v>
      </c>
    </row>
    <row r="60" customFormat="false" ht="22.35" hidden="false" customHeight="false" outlineLevel="0" collapsed="false">
      <c r="A60" s="14" t="s">
        <v>237</v>
      </c>
      <c r="B60" s="14" t="s">
        <v>177</v>
      </c>
      <c r="C60" s="14" t="s">
        <v>234</v>
      </c>
      <c r="D60" s="14" t="s">
        <v>235</v>
      </c>
      <c r="E60" s="14" t="s">
        <v>145</v>
      </c>
      <c r="F60" s="15"/>
      <c r="G60" s="14"/>
      <c r="H60" s="14" t="s">
        <v>127</v>
      </c>
      <c r="I60" s="14" t="s">
        <v>180</v>
      </c>
      <c r="J60" s="16"/>
      <c r="K60" s="16"/>
      <c r="L60" s="16"/>
      <c r="M60" s="16"/>
      <c r="N60" s="16"/>
      <c r="O60" s="17" t="str">
        <f aca="false">IFERROR(INDEX(Lists!$B$3:$B$7,MATCH(K60,Lists!$A$3:$A$7,0)),"")</f>
        <v/>
      </c>
      <c r="P60" s="17" t="str">
        <f aca="false">IFERROR(INDEX('Evidence Pulls'!$P$6:$P$125,MATCH($J60,'Evidence Pulls'!$A$6:$A$125,0)),"")</f>
        <v/>
      </c>
      <c r="Q60" s="17" t="str">
        <f aca="false">IFERROR(INDEX('Evidence Pulls'!$H$6:$H$125,MATCH($J60,'Evidence Pulls'!$A$6:$A$125,0)),"")</f>
        <v/>
      </c>
      <c r="R60" s="17" t="str">
        <f aca="false">IFERROR(INDEX('Evidence Pulls'!$Q$6:$Q$125,MATCH($J60,'Evidence Pulls'!$A$6:$A$125,0)),"")</f>
        <v/>
      </c>
      <c r="S60" s="17" t="str">
        <f aca="false">IF(L60&lt;&gt;"",L60,IF(K60="","Not assessed",IF(N(O60)&gt;=3,"Demonstrated","Gap - remediate")))</f>
        <v>Not assessed</v>
      </c>
      <c r="T60" s="17" t="str">
        <f aca="false">IF(J60="","No evidence pull assigned",IF(COUNTIF('Evidence Pulls'!$A$6:$A$125,J60)=0,"Pull ID not on Evidence Pulls sheet",IF(K60="","Not graded",IF(AND(G60="MANDATORY",L60="Gap - recommend tailoring"),"INVALID: safety-mandatory, not tailorable",IF(OR(P60="",P60=0),"NO NAMED EXECUTOR",IF(AND(H60="Full",IFERROR(INDEX('Evidence Pulls'!$C$6:$C$125,MATCH($J60,'Evidence Pulls'!$A$6:$A$125,0)),"")&lt;&gt;"Artifact",N(O60)&gt;=3,N(IFERROR(INDEX('Evidence Pulls'!$K$6:$K$125,MATCH($J60,'Evidence Pulls'!$A$6:$A$125,0)),""))=0),"Operating claimed with no sample",IF(AND(N(O60)&gt;=3,P60=1),"Operating rests on one individual",IF(AND(L60&lt;&gt;"",N60=""),"Override with no rationale in column N",IF(AND(G60="MANDATORY",N(O60)&lt;3),"SAFETY GATE: below Operating","OK")))))))))</f>
        <v>No evidence pull assigned</v>
      </c>
    </row>
    <row r="61" customFormat="false" ht="22.35" hidden="false" customHeight="false" outlineLevel="0" collapsed="false">
      <c r="A61" s="14" t="s">
        <v>238</v>
      </c>
      <c r="B61" s="14" t="s">
        <v>177</v>
      </c>
      <c r="C61" s="14" t="s">
        <v>239</v>
      </c>
      <c r="D61" s="14" t="s">
        <v>240</v>
      </c>
      <c r="E61" s="14" t="s">
        <v>141</v>
      </c>
      <c r="F61" s="15"/>
      <c r="G61" s="14"/>
      <c r="H61" s="14" t="s">
        <v>127</v>
      </c>
      <c r="I61" s="14" t="s">
        <v>180</v>
      </c>
      <c r="J61" s="16"/>
      <c r="K61" s="16"/>
      <c r="L61" s="16"/>
      <c r="M61" s="16"/>
      <c r="N61" s="16"/>
      <c r="O61" s="17" t="str">
        <f aca="false">IFERROR(INDEX(Lists!$B$3:$B$7,MATCH(K61,Lists!$A$3:$A$7,0)),"")</f>
        <v/>
      </c>
      <c r="P61" s="17" t="str">
        <f aca="false">IFERROR(INDEX('Evidence Pulls'!$P$6:$P$125,MATCH($J61,'Evidence Pulls'!$A$6:$A$125,0)),"")</f>
        <v/>
      </c>
      <c r="Q61" s="17" t="str">
        <f aca="false">IFERROR(INDEX('Evidence Pulls'!$H$6:$H$125,MATCH($J61,'Evidence Pulls'!$A$6:$A$125,0)),"")</f>
        <v/>
      </c>
      <c r="R61" s="17" t="str">
        <f aca="false">IFERROR(INDEX('Evidence Pulls'!$Q$6:$Q$125,MATCH($J61,'Evidence Pulls'!$A$6:$A$125,0)),"")</f>
        <v/>
      </c>
      <c r="S61" s="17" t="str">
        <f aca="false">IF(L61&lt;&gt;"",L61,IF(K61="","Not assessed",IF(N(O61)&gt;=3,"Demonstrated","Gap - remediate")))</f>
        <v>Not assessed</v>
      </c>
      <c r="T61" s="17" t="str">
        <f aca="false">IF(J61="","No evidence pull assigned",IF(COUNTIF('Evidence Pulls'!$A$6:$A$125,J61)=0,"Pull ID not on Evidence Pulls sheet",IF(K61="","Not graded",IF(AND(G61="MANDATORY",L61="Gap - recommend tailoring"),"INVALID: safety-mandatory, not tailorable",IF(OR(P61="",P61=0),"NO NAMED EXECUTOR",IF(AND(H61="Full",IFERROR(INDEX('Evidence Pulls'!$C$6:$C$125,MATCH($J61,'Evidence Pulls'!$A$6:$A$125,0)),"")&lt;&gt;"Artifact",N(O61)&gt;=3,N(IFERROR(INDEX('Evidence Pulls'!$K$6:$K$125,MATCH($J61,'Evidence Pulls'!$A$6:$A$125,0)),""))=0),"Operating claimed with no sample",IF(AND(N(O61)&gt;=3,P61=1),"Operating rests on one individual",IF(AND(L61&lt;&gt;"",N61=""),"Override with no rationale in column N",IF(AND(G61="MANDATORY",N(O61)&lt;3),"SAFETY GATE: below Operating","OK")))))))))</f>
        <v>No evidence pull assigned</v>
      </c>
    </row>
    <row r="62" customFormat="false" ht="22.35" hidden="false" customHeight="false" outlineLevel="0" collapsed="false">
      <c r="A62" s="14" t="s">
        <v>241</v>
      </c>
      <c r="B62" s="14" t="s">
        <v>177</v>
      </c>
      <c r="C62" s="14" t="s">
        <v>239</v>
      </c>
      <c r="D62" s="14" t="s">
        <v>240</v>
      </c>
      <c r="E62" s="14" t="s">
        <v>143</v>
      </c>
      <c r="F62" s="15"/>
      <c r="G62" s="14"/>
      <c r="H62" s="14" t="s">
        <v>127</v>
      </c>
      <c r="I62" s="14" t="s">
        <v>180</v>
      </c>
      <c r="J62" s="16"/>
      <c r="K62" s="16"/>
      <c r="L62" s="16"/>
      <c r="M62" s="16"/>
      <c r="N62" s="16"/>
      <c r="O62" s="17" t="str">
        <f aca="false">IFERROR(INDEX(Lists!$B$3:$B$7,MATCH(K62,Lists!$A$3:$A$7,0)),"")</f>
        <v/>
      </c>
      <c r="P62" s="17" t="str">
        <f aca="false">IFERROR(INDEX('Evidence Pulls'!$P$6:$P$125,MATCH($J62,'Evidence Pulls'!$A$6:$A$125,0)),"")</f>
        <v/>
      </c>
      <c r="Q62" s="17" t="str">
        <f aca="false">IFERROR(INDEX('Evidence Pulls'!$H$6:$H$125,MATCH($J62,'Evidence Pulls'!$A$6:$A$125,0)),"")</f>
        <v/>
      </c>
      <c r="R62" s="17" t="str">
        <f aca="false">IFERROR(INDEX('Evidence Pulls'!$Q$6:$Q$125,MATCH($J62,'Evidence Pulls'!$A$6:$A$125,0)),"")</f>
        <v/>
      </c>
      <c r="S62" s="17" t="str">
        <f aca="false">IF(L62&lt;&gt;"",L62,IF(K62="","Not assessed",IF(N(O62)&gt;=3,"Demonstrated","Gap - remediate")))</f>
        <v>Not assessed</v>
      </c>
      <c r="T62" s="17" t="str">
        <f aca="false">IF(J62="","No evidence pull assigned",IF(COUNTIF('Evidence Pulls'!$A$6:$A$125,J62)=0,"Pull ID not on Evidence Pulls sheet",IF(K62="","Not graded",IF(AND(G62="MANDATORY",L62="Gap - recommend tailoring"),"INVALID: safety-mandatory, not tailorable",IF(OR(P62="",P62=0),"NO NAMED EXECUTOR",IF(AND(H62="Full",IFERROR(INDEX('Evidence Pulls'!$C$6:$C$125,MATCH($J62,'Evidence Pulls'!$A$6:$A$125,0)),"")&lt;&gt;"Artifact",N(O62)&gt;=3,N(IFERROR(INDEX('Evidence Pulls'!$K$6:$K$125,MATCH($J62,'Evidence Pulls'!$A$6:$A$125,0)),""))=0),"Operating claimed with no sample",IF(AND(N(O62)&gt;=3,P62=1),"Operating rests on one individual",IF(AND(L62&lt;&gt;"",N62=""),"Override with no rationale in column N",IF(AND(G62="MANDATORY",N(O62)&lt;3),"SAFETY GATE: below Operating","OK")))))))))</f>
        <v>No evidence pull assigned</v>
      </c>
    </row>
    <row r="63" customFormat="false" ht="22.35" hidden="false" customHeight="false" outlineLevel="0" collapsed="false">
      <c r="A63" s="14" t="s">
        <v>242</v>
      </c>
      <c r="B63" s="14" t="s">
        <v>177</v>
      </c>
      <c r="C63" s="14" t="s">
        <v>239</v>
      </c>
      <c r="D63" s="14" t="s">
        <v>240</v>
      </c>
      <c r="E63" s="14" t="s">
        <v>145</v>
      </c>
      <c r="F63" s="15"/>
      <c r="G63" s="14"/>
      <c r="H63" s="14" t="s">
        <v>127</v>
      </c>
      <c r="I63" s="14" t="s">
        <v>180</v>
      </c>
      <c r="J63" s="16"/>
      <c r="K63" s="16"/>
      <c r="L63" s="16"/>
      <c r="M63" s="16"/>
      <c r="N63" s="16"/>
      <c r="O63" s="17" t="str">
        <f aca="false">IFERROR(INDEX(Lists!$B$3:$B$7,MATCH(K63,Lists!$A$3:$A$7,0)),"")</f>
        <v/>
      </c>
      <c r="P63" s="17" t="str">
        <f aca="false">IFERROR(INDEX('Evidence Pulls'!$P$6:$P$125,MATCH($J63,'Evidence Pulls'!$A$6:$A$125,0)),"")</f>
        <v/>
      </c>
      <c r="Q63" s="17" t="str">
        <f aca="false">IFERROR(INDEX('Evidence Pulls'!$H$6:$H$125,MATCH($J63,'Evidence Pulls'!$A$6:$A$125,0)),"")</f>
        <v/>
      </c>
      <c r="R63" s="17" t="str">
        <f aca="false">IFERROR(INDEX('Evidence Pulls'!$Q$6:$Q$125,MATCH($J63,'Evidence Pulls'!$A$6:$A$125,0)),"")</f>
        <v/>
      </c>
      <c r="S63" s="17" t="str">
        <f aca="false">IF(L63&lt;&gt;"",L63,IF(K63="","Not assessed",IF(N(O63)&gt;=3,"Demonstrated","Gap - remediate")))</f>
        <v>Not assessed</v>
      </c>
      <c r="T63" s="17" t="str">
        <f aca="false">IF(J63="","No evidence pull assigned",IF(COUNTIF('Evidence Pulls'!$A$6:$A$125,J63)=0,"Pull ID not on Evidence Pulls sheet",IF(K63="","Not graded",IF(AND(G63="MANDATORY",L63="Gap - recommend tailoring"),"INVALID: safety-mandatory, not tailorable",IF(OR(P63="",P63=0),"NO NAMED EXECUTOR",IF(AND(H63="Full",IFERROR(INDEX('Evidence Pulls'!$C$6:$C$125,MATCH($J63,'Evidence Pulls'!$A$6:$A$125,0)),"")&lt;&gt;"Artifact",N(O63)&gt;=3,N(IFERROR(INDEX('Evidence Pulls'!$K$6:$K$125,MATCH($J63,'Evidence Pulls'!$A$6:$A$125,0)),""))=0),"Operating claimed with no sample",IF(AND(N(O63)&gt;=3,P63=1),"Operating rests on one individual",IF(AND(L63&lt;&gt;"",N63=""),"Override with no rationale in column N",IF(AND(G63="MANDATORY",N(O63)&lt;3),"SAFETY GATE: below Operating","OK")))))))))</f>
        <v>No evidence pull assigned</v>
      </c>
    </row>
    <row r="64" customFormat="false" ht="15" hidden="false" customHeight="false" outlineLevel="0" collapsed="false">
      <c r="A64" s="14" t="s">
        <v>243</v>
      </c>
      <c r="B64" s="14" t="s">
        <v>177</v>
      </c>
      <c r="C64" s="14" t="s">
        <v>244</v>
      </c>
      <c r="D64" s="14" t="s">
        <v>245</v>
      </c>
      <c r="E64" s="14" t="s">
        <v>141</v>
      </c>
      <c r="F64" s="15"/>
      <c r="G64" s="14"/>
      <c r="H64" s="14" t="s">
        <v>127</v>
      </c>
      <c r="I64" s="14" t="s">
        <v>180</v>
      </c>
      <c r="J64" s="16"/>
      <c r="K64" s="16"/>
      <c r="L64" s="16"/>
      <c r="M64" s="16"/>
      <c r="N64" s="16"/>
      <c r="O64" s="17" t="str">
        <f aca="false">IFERROR(INDEX(Lists!$B$3:$B$7,MATCH(K64,Lists!$A$3:$A$7,0)),"")</f>
        <v/>
      </c>
      <c r="P64" s="17" t="str">
        <f aca="false">IFERROR(INDEX('Evidence Pulls'!$P$6:$P$125,MATCH($J64,'Evidence Pulls'!$A$6:$A$125,0)),"")</f>
        <v/>
      </c>
      <c r="Q64" s="17" t="str">
        <f aca="false">IFERROR(INDEX('Evidence Pulls'!$H$6:$H$125,MATCH($J64,'Evidence Pulls'!$A$6:$A$125,0)),"")</f>
        <v/>
      </c>
      <c r="R64" s="17" t="str">
        <f aca="false">IFERROR(INDEX('Evidence Pulls'!$Q$6:$Q$125,MATCH($J64,'Evidence Pulls'!$A$6:$A$125,0)),"")</f>
        <v/>
      </c>
      <c r="S64" s="17" t="str">
        <f aca="false">IF(L64&lt;&gt;"",L64,IF(K64="","Not assessed",IF(N(O64)&gt;=3,"Demonstrated","Gap - remediate")))</f>
        <v>Not assessed</v>
      </c>
      <c r="T64" s="17" t="str">
        <f aca="false">IF(J64="","No evidence pull assigned",IF(COUNTIF('Evidence Pulls'!$A$6:$A$125,J64)=0,"Pull ID not on Evidence Pulls sheet",IF(K64="","Not graded",IF(AND(G64="MANDATORY",L64="Gap - recommend tailoring"),"INVALID: safety-mandatory, not tailorable",IF(OR(P64="",P64=0),"NO NAMED EXECUTOR",IF(AND(H64="Full",IFERROR(INDEX('Evidence Pulls'!$C$6:$C$125,MATCH($J64,'Evidence Pulls'!$A$6:$A$125,0)),"")&lt;&gt;"Artifact",N(O64)&gt;=3,N(IFERROR(INDEX('Evidence Pulls'!$K$6:$K$125,MATCH($J64,'Evidence Pulls'!$A$6:$A$125,0)),""))=0),"Operating claimed with no sample",IF(AND(N(O64)&gt;=3,P64=1),"Operating rests on one individual",IF(AND(L64&lt;&gt;"",N64=""),"Override with no rationale in column N",IF(AND(G64="MANDATORY",N(O64)&lt;3),"SAFETY GATE: below Operating","OK")))))))))</f>
        <v>No evidence pull assigned</v>
      </c>
    </row>
    <row r="65" customFormat="false" ht="15" hidden="false" customHeight="false" outlineLevel="0" collapsed="false">
      <c r="A65" s="14" t="s">
        <v>246</v>
      </c>
      <c r="B65" s="14" t="s">
        <v>177</v>
      </c>
      <c r="C65" s="14" t="s">
        <v>244</v>
      </c>
      <c r="D65" s="14" t="s">
        <v>245</v>
      </c>
      <c r="E65" s="14" t="s">
        <v>143</v>
      </c>
      <c r="F65" s="15"/>
      <c r="G65" s="14"/>
      <c r="H65" s="14" t="s">
        <v>127</v>
      </c>
      <c r="I65" s="14" t="s">
        <v>180</v>
      </c>
      <c r="J65" s="16"/>
      <c r="K65" s="16"/>
      <c r="L65" s="16"/>
      <c r="M65" s="16"/>
      <c r="N65" s="16"/>
      <c r="O65" s="17" t="str">
        <f aca="false">IFERROR(INDEX(Lists!$B$3:$B$7,MATCH(K65,Lists!$A$3:$A$7,0)),"")</f>
        <v/>
      </c>
      <c r="P65" s="17" t="str">
        <f aca="false">IFERROR(INDEX('Evidence Pulls'!$P$6:$P$125,MATCH($J65,'Evidence Pulls'!$A$6:$A$125,0)),"")</f>
        <v/>
      </c>
      <c r="Q65" s="17" t="str">
        <f aca="false">IFERROR(INDEX('Evidence Pulls'!$H$6:$H$125,MATCH($J65,'Evidence Pulls'!$A$6:$A$125,0)),"")</f>
        <v/>
      </c>
      <c r="R65" s="17" t="str">
        <f aca="false">IFERROR(INDEX('Evidence Pulls'!$Q$6:$Q$125,MATCH($J65,'Evidence Pulls'!$A$6:$A$125,0)),"")</f>
        <v/>
      </c>
      <c r="S65" s="17" t="str">
        <f aca="false">IF(L65&lt;&gt;"",L65,IF(K65="","Not assessed",IF(N(O65)&gt;=3,"Demonstrated","Gap - remediate")))</f>
        <v>Not assessed</v>
      </c>
      <c r="T65" s="17" t="str">
        <f aca="false">IF(J65="","No evidence pull assigned",IF(COUNTIF('Evidence Pulls'!$A$6:$A$125,J65)=0,"Pull ID not on Evidence Pulls sheet",IF(K65="","Not graded",IF(AND(G65="MANDATORY",L65="Gap - recommend tailoring"),"INVALID: safety-mandatory, not tailorable",IF(OR(P65="",P65=0),"NO NAMED EXECUTOR",IF(AND(H65="Full",IFERROR(INDEX('Evidence Pulls'!$C$6:$C$125,MATCH($J65,'Evidence Pulls'!$A$6:$A$125,0)),"")&lt;&gt;"Artifact",N(O65)&gt;=3,N(IFERROR(INDEX('Evidence Pulls'!$K$6:$K$125,MATCH($J65,'Evidence Pulls'!$A$6:$A$125,0)),""))=0),"Operating claimed with no sample",IF(AND(N(O65)&gt;=3,P65=1),"Operating rests on one individual",IF(AND(L65&lt;&gt;"",N65=""),"Override with no rationale in column N",IF(AND(G65="MANDATORY",N(O65)&lt;3),"SAFETY GATE: below Operating","OK")))))))))</f>
        <v>No evidence pull assigned</v>
      </c>
    </row>
    <row r="66" customFormat="false" ht="15" hidden="false" customHeight="false" outlineLevel="0" collapsed="false">
      <c r="A66" s="14" t="s">
        <v>247</v>
      </c>
      <c r="B66" s="14" t="s">
        <v>177</v>
      </c>
      <c r="C66" s="14" t="s">
        <v>244</v>
      </c>
      <c r="D66" s="14" t="s">
        <v>245</v>
      </c>
      <c r="E66" s="14" t="s">
        <v>145</v>
      </c>
      <c r="F66" s="15"/>
      <c r="G66" s="14"/>
      <c r="H66" s="14" t="s">
        <v>127</v>
      </c>
      <c r="I66" s="14" t="s">
        <v>180</v>
      </c>
      <c r="J66" s="16"/>
      <c r="K66" s="16"/>
      <c r="L66" s="16"/>
      <c r="M66" s="16"/>
      <c r="N66" s="16"/>
      <c r="O66" s="17" t="str">
        <f aca="false">IFERROR(INDEX(Lists!$B$3:$B$7,MATCH(K66,Lists!$A$3:$A$7,0)),"")</f>
        <v/>
      </c>
      <c r="P66" s="17" t="str">
        <f aca="false">IFERROR(INDEX('Evidence Pulls'!$P$6:$P$125,MATCH($J66,'Evidence Pulls'!$A$6:$A$125,0)),"")</f>
        <v/>
      </c>
      <c r="Q66" s="17" t="str">
        <f aca="false">IFERROR(INDEX('Evidence Pulls'!$H$6:$H$125,MATCH($J66,'Evidence Pulls'!$A$6:$A$125,0)),"")</f>
        <v/>
      </c>
      <c r="R66" s="17" t="str">
        <f aca="false">IFERROR(INDEX('Evidence Pulls'!$Q$6:$Q$125,MATCH($J66,'Evidence Pulls'!$A$6:$A$125,0)),"")</f>
        <v/>
      </c>
      <c r="S66" s="17" t="str">
        <f aca="false">IF(L66&lt;&gt;"",L66,IF(K66="","Not assessed",IF(N(O66)&gt;=3,"Demonstrated","Gap - remediate")))</f>
        <v>Not assessed</v>
      </c>
      <c r="T66" s="17" t="str">
        <f aca="false">IF(J66="","No evidence pull assigned",IF(COUNTIF('Evidence Pulls'!$A$6:$A$125,J66)=0,"Pull ID not on Evidence Pulls sheet",IF(K66="","Not graded",IF(AND(G66="MANDATORY",L66="Gap - recommend tailoring"),"INVALID: safety-mandatory, not tailorable",IF(OR(P66="",P66=0),"NO NAMED EXECUTOR",IF(AND(H66="Full",IFERROR(INDEX('Evidence Pulls'!$C$6:$C$125,MATCH($J66,'Evidence Pulls'!$A$6:$A$125,0)),"")&lt;&gt;"Artifact",N(O66)&gt;=3,N(IFERROR(INDEX('Evidence Pulls'!$K$6:$K$125,MATCH($J66,'Evidence Pulls'!$A$6:$A$125,0)),""))=0),"Operating claimed with no sample",IF(AND(N(O66)&gt;=3,P66=1),"Operating rests on one individual",IF(AND(L66&lt;&gt;"",N66=""),"Override with no rationale in column N",IF(AND(G66="MANDATORY",N(O66)&lt;3),"SAFETY GATE: below Operating","OK")))))))))</f>
        <v>No evidence pull assigned</v>
      </c>
    </row>
    <row r="67" customFormat="false" ht="15" hidden="false" customHeight="false" outlineLevel="0" collapsed="false">
      <c r="A67" s="14" t="s">
        <v>248</v>
      </c>
      <c r="B67" s="14" t="s">
        <v>177</v>
      </c>
      <c r="C67" s="14" t="s">
        <v>244</v>
      </c>
      <c r="D67" s="14" t="s">
        <v>245</v>
      </c>
      <c r="E67" s="14" t="s">
        <v>147</v>
      </c>
      <c r="F67" s="15"/>
      <c r="G67" s="14"/>
      <c r="H67" s="14" t="s">
        <v>127</v>
      </c>
      <c r="I67" s="14" t="s">
        <v>180</v>
      </c>
      <c r="J67" s="16"/>
      <c r="K67" s="16"/>
      <c r="L67" s="16"/>
      <c r="M67" s="16"/>
      <c r="N67" s="16"/>
      <c r="O67" s="17" t="str">
        <f aca="false">IFERROR(INDEX(Lists!$B$3:$B$7,MATCH(K67,Lists!$A$3:$A$7,0)),"")</f>
        <v/>
      </c>
      <c r="P67" s="17" t="str">
        <f aca="false">IFERROR(INDEX('Evidence Pulls'!$P$6:$P$125,MATCH($J67,'Evidence Pulls'!$A$6:$A$125,0)),"")</f>
        <v/>
      </c>
      <c r="Q67" s="17" t="str">
        <f aca="false">IFERROR(INDEX('Evidence Pulls'!$H$6:$H$125,MATCH($J67,'Evidence Pulls'!$A$6:$A$125,0)),"")</f>
        <v/>
      </c>
      <c r="R67" s="17" t="str">
        <f aca="false">IFERROR(INDEX('Evidence Pulls'!$Q$6:$Q$125,MATCH($J67,'Evidence Pulls'!$A$6:$A$125,0)),"")</f>
        <v/>
      </c>
      <c r="S67" s="17" t="str">
        <f aca="false">IF(L67&lt;&gt;"",L67,IF(K67="","Not assessed",IF(N(O67)&gt;=3,"Demonstrated","Gap - remediate")))</f>
        <v>Not assessed</v>
      </c>
      <c r="T67" s="17" t="str">
        <f aca="false">IF(J67="","No evidence pull assigned",IF(COUNTIF('Evidence Pulls'!$A$6:$A$125,J67)=0,"Pull ID not on Evidence Pulls sheet",IF(K67="","Not graded",IF(AND(G67="MANDATORY",L67="Gap - recommend tailoring"),"INVALID: safety-mandatory, not tailorable",IF(OR(P67="",P67=0),"NO NAMED EXECUTOR",IF(AND(H67="Full",IFERROR(INDEX('Evidence Pulls'!$C$6:$C$125,MATCH($J67,'Evidence Pulls'!$A$6:$A$125,0)),"")&lt;&gt;"Artifact",N(O67)&gt;=3,N(IFERROR(INDEX('Evidence Pulls'!$K$6:$K$125,MATCH($J67,'Evidence Pulls'!$A$6:$A$125,0)),""))=0),"Operating claimed with no sample",IF(AND(N(O67)&gt;=3,P67=1),"Operating rests on one individual",IF(AND(L67&lt;&gt;"",N67=""),"Override with no rationale in column N",IF(AND(G67="MANDATORY",N(O67)&lt;3),"SAFETY GATE: below Operating","OK")))))))))</f>
        <v>No evidence pull assigned</v>
      </c>
    </row>
    <row r="68" customFormat="false" ht="15" hidden="false" customHeight="false" outlineLevel="0" collapsed="false">
      <c r="A68" s="14" t="s">
        <v>249</v>
      </c>
      <c r="B68" s="14" t="s">
        <v>177</v>
      </c>
      <c r="C68" s="14" t="s">
        <v>244</v>
      </c>
      <c r="D68" s="14" t="s">
        <v>245</v>
      </c>
      <c r="E68" s="14" t="s">
        <v>149</v>
      </c>
      <c r="F68" s="15"/>
      <c r="G68" s="14"/>
      <c r="H68" s="14" t="s">
        <v>127</v>
      </c>
      <c r="I68" s="14" t="s">
        <v>180</v>
      </c>
      <c r="J68" s="16"/>
      <c r="K68" s="16"/>
      <c r="L68" s="16"/>
      <c r="M68" s="16"/>
      <c r="N68" s="16"/>
      <c r="O68" s="17" t="str">
        <f aca="false">IFERROR(INDEX(Lists!$B$3:$B$7,MATCH(K68,Lists!$A$3:$A$7,0)),"")</f>
        <v/>
      </c>
      <c r="P68" s="17" t="str">
        <f aca="false">IFERROR(INDEX('Evidence Pulls'!$P$6:$P$125,MATCH($J68,'Evidence Pulls'!$A$6:$A$125,0)),"")</f>
        <v/>
      </c>
      <c r="Q68" s="17" t="str">
        <f aca="false">IFERROR(INDEX('Evidence Pulls'!$H$6:$H$125,MATCH($J68,'Evidence Pulls'!$A$6:$A$125,0)),"")</f>
        <v/>
      </c>
      <c r="R68" s="17" t="str">
        <f aca="false">IFERROR(INDEX('Evidence Pulls'!$Q$6:$Q$125,MATCH($J68,'Evidence Pulls'!$A$6:$A$125,0)),"")</f>
        <v/>
      </c>
      <c r="S68" s="17" t="str">
        <f aca="false">IF(L68&lt;&gt;"",L68,IF(K68="","Not assessed",IF(N(O68)&gt;=3,"Demonstrated","Gap - remediate")))</f>
        <v>Not assessed</v>
      </c>
      <c r="T68" s="17" t="str">
        <f aca="false">IF(J68="","No evidence pull assigned",IF(COUNTIF('Evidence Pulls'!$A$6:$A$125,J68)=0,"Pull ID not on Evidence Pulls sheet",IF(K68="","Not graded",IF(AND(G68="MANDATORY",L68="Gap - recommend tailoring"),"INVALID: safety-mandatory, not tailorable",IF(OR(P68="",P68=0),"NO NAMED EXECUTOR",IF(AND(H68="Full",IFERROR(INDEX('Evidence Pulls'!$C$6:$C$125,MATCH($J68,'Evidence Pulls'!$A$6:$A$125,0)),"")&lt;&gt;"Artifact",N(O68)&gt;=3,N(IFERROR(INDEX('Evidence Pulls'!$K$6:$K$125,MATCH($J68,'Evidence Pulls'!$A$6:$A$125,0)),""))=0),"Operating claimed with no sample",IF(AND(N(O68)&gt;=3,P68=1),"Operating rests on one individual",IF(AND(L68&lt;&gt;"",N68=""),"Override with no rationale in column N",IF(AND(G68="MANDATORY",N(O68)&lt;3),"SAFETY GATE: below Operating","OK")))))))))</f>
        <v>No evidence pull assigned</v>
      </c>
    </row>
    <row r="69" customFormat="false" ht="15" hidden="false" customHeight="false" outlineLevel="0" collapsed="false">
      <c r="A69" s="14" t="s">
        <v>250</v>
      </c>
      <c r="B69" s="14" t="s">
        <v>177</v>
      </c>
      <c r="C69" s="14" t="s">
        <v>244</v>
      </c>
      <c r="D69" s="14" t="s">
        <v>245</v>
      </c>
      <c r="E69" s="14" t="s">
        <v>151</v>
      </c>
      <c r="F69" s="15"/>
      <c r="G69" s="14"/>
      <c r="H69" s="14" t="s">
        <v>127</v>
      </c>
      <c r="I69" s="14" t="s">
        <v>180</v>
      </c>
      <c r="J69" s="16"/>
      <c r="K69" s="16"/>
      <c r="L69" s="16"/>
      <c r="M69" s="16"/>
      <c r="N69" s="16"/>
      <c r="O69" s="17" t="str">
        <f aca="false">IFERROR(INDEX(Lists!$B$3:$B$7,MATCH(K69,Lists!$A$3:$A$7,0)),"")</f>
        <v/>
      </c>
      <c r="P69" s="17" t="str">
        <f aca="false">IFERROR(INDEX('Evidence Pulls'!$P$6:$P$125,MATCH($J69,'Evidence Pulls'!$A$6:$A$125,0)),"")</f>
        <v/>
      </c>
      <c r="Q69" s="17" t="str">
        <f aca="false">IFERROR(INDEX('Evidence Pulls'!$H$6:$H$125,MATCH($J69,'Evidence Pulls'!$A$6:$A$125,0)),"")</f>
        <v/>
      </c>
      <c r="R69" s="17" t="str">
        <f aca="false">IFERROR(INDEX('Evidence Pulls'!$Q$6:$Q$125,MATCH($J69,'Evidence Pulls'!$A$6:$A$125,0)),"")</f>
        <v/>
      </c>
      <c r="S69" s="17" t="str">
        <f aca="false">IF(L69&lt;&gt;"",L69,IF(K69="","Not assessed",IF(N(O69)&gt;=3,"Demonstrated","Gap - remediate")))</f>
        <v>Not assessed</v>
      </c>
      <c r="T69" s="17" t="str">
        <f aca="false">IF(J69="","No evidence pull assigned",IF(COUNTIF('Evidence Pulls'!$A$6:$A$125,J69)=0,"Pull ID not on Evidence Pulls sheet",IF(K69="","Not graded",IF(AND(G69="MANDATORY",L69="Gap - recommend tailoring"),"INVALID: safety-mandatory, not tailorable",IF(OR(P69="",P69=0),"NO NAMED EXECUTOR",IF(AND(H69="Full",IFERROR(INDEX('Evidence Pulls'!$C$6:$C$125,MATCH($J69,'Evidence Pulls'!$A$6:$A$125,0)),"")&lt;&gt;"Artifact",N(O69)&gt;=3,N(IFERROR(INDEX('Evidence Pulls'!$K$6:$K$125,MATCH($J69,'Evidence Pulls'!$A$6:$A$125,0)),""))=0),"Operating claimed with no sample",IF(AND(N(O69)&gt;=3,P69=1),"Operating rests on one individual",IF(AND(L69&lt;&gt;"",N69=""),"Override with no rationale in column N",IF(AND(G69="MANDATORY",N(O69)&lt;3),"SAFETY GATE: below Operating","OK")))))))))</f>
        <v>No evidence pull assigned</v>
      </c>
    </row>
    <row r="70" customFormat="false" ht="15" hidden="false" customHeight="false" outlineLevel="0" collapsed="false">
      <c r="A70" s="14" t="s">
        <v>251</v>
      </c>
      <c r="B70" s="14" t="s">
        <v>177</v>
      </c>
      <c r="C70" s="14" t="s">
        <v>244</v>
      </c>
      <c r="D70" s="14" t="s">
        <v>245</v>
      </c>
      <c r="E70" s="14" t="s">
        <v>153</v>
      </c>
      <c r="F70" s="15"/>
      <c r="G70" s="14"/>
      <c r="H70" s="14" t="s">
        <v>127</v>
      </c>
      <c r="I70" s="14" t="s">
        <v>180</v>
      </c>
      <c r="J70" s="16"/>
      <c r="K70" s="16"/>
      <c r="L70" s="16"/>
      <c r="M70" s="16"/>
      <c r="N70" s="16"/>
      <c r="O70" s="17" t="str">
        <f aca="false">IFERROR(INDEX(Lists!$B$3:$B$7,MATCH(K70,Lists!$A$3:$A$7,0)),"")</f>
        <v/>
      </c>
      <c r="P70" s="17" t="str">
        <f aca="false">IFERROR(INDEX('Evidence Pulls'!$P$6:$P$125,MATCH($J70,'Evidence Pulls'!$A$6:$A$125,0)),"")</f>
        <v/>
      </c>
      <c r="Q70" s="17" t="str">
        <f aca="false">IFERROR(INDEX('Evidence Pulls'!$H$6:$H$125,MATCH($J70,'Evidence Pulls'!$A$6:$A$125,0)),"")</f>
        <v/>
      </c>
      <c r="R70" s="17" t="str">
        <f aca="false">IFERROR(INDEX('Evidence Pulls'!$Q$6:$Q$125,MATCH($J70,'Evidence Pulls'!$A$6:$A$125,0)),"")</f>
        <v/>
      </c>
      <c r="S70" s="17" t="str">
        <f aca="false">IF(L70&lt;&gt;"",L70,IF(K70="","Not assessed",IF(N(O70)&gt;=3,"Demonstrated","Gap - remediate")))</f>
        <v>Not assessed</v>
      </c>
      <c r="T70" s="17" t="str">
        <f aca="false">IF(J70="","No evidence pull assigned",IF(COUNTIF('Evidence Pulls'!$A$6:$A$125,J70)=0,"Pull ID not on Evidence Pulls sheet",IF(K70="","Not graded",IF(AND(G70="MANDATORY",L70="Gap - recommend tailoring"),"INVALID: safety-mandatory, not tailorable",IF(OR(P70="",P70=0),"NO NAMED EXECUTOR",IF(AND(H70="Full",IFERROR(INDEX('Evidence Pulls'!$C$6:$C$125,MATCH($J70,'Evidence Pulls'!$A$6:$A$125,0)),"")&lt;&gt;"Artifact",N(O70)&gt;=3,N(IFERROR(INDEX('Evidence Pulls'!$K$6:$K$125,MATCH($J70,'Evidence Pulls'!$A$6:$A$125,0)),""))=0),"Operating claimed with no sample",IF(AND(N(O70)&gt;=3,P70=1),"Operating rests on one individual",IF(AND(L70&lt;&gt;"",N70=""),"Override with no rationale in column N",IF(AND(G70="MANDATORY",N(O70)&lt;3),"SAFETY GATE: below Operating","OK")))))))))</f>
        <v>No evidence pull assigned</v>
      </c>
    </row>
    <row r="71" customFormat="false" ht="15" hidden="false" customHeight="false" outlineLevel="0" collapsed="false">
      <c r="A71" s="14" t="s">
        <v>252</v>
      </c>
      <c r="B71" s="14" t="s">
        <v>177</v>
      </c>
      <c r="C71" s="14" t="s">
        <v>244</v>
      </c>
      <c r="D71" s="14" t="s">
        <v>245</v>
      </c>
      <c r="E71" s="14" t="s">
        <v>155</v>
      </c>
      <c r="F71" s="15"/>
      <c r="G71" s="14"/>
      <c r="H71" s="14" t="s">
        <v>127</v>
      </c>
      <c r="I71" s="14" t="s">
        <v>180</v>
      </c>
      <c r="J71" s="16"/>
      <c r="K71" s="16"/>
      <c r="L71" s="16"/>
      <c r="M71" s="16"/>
      <c r="N71" s="16"/>
      <c r="O71" s="17" t="str">
        <f aca="false">IFERROR(INDEX(Lists!$B$3:$B$7,MATCH(K71,Lists!$A$3:$A$7,0)),"")</f>
        <v/>
      </c>
      <c r="P71" s="17" t="str">
        <f aca="false">IFERROR(INDEX('Evidence Pulls'!$P$6:$P$125,MATCH($J71,'Evidence Pulls'!$A$6:$A$125,0)),"")</f>
        <v/>
      </c>
      <c r="Q71" s="17" t="str">
        <f aca="false">IFERROR(INDEX('Evidence Pulls'!$H$6:$H$125,MATCH($J71,'Evidence Pulls'!$A$6:$A$125,0)),"")</f>
        <v/>
      </c>
      <c r="R71" s="17" t="str">
        <f aca="false">IFERROR(INDEX('Evidence Pulls'!$Q$6:$Q$125,MATCH($J71,'Evidence Pulls'!$A$6:$A$125,0)),"")</f>
        <v/>
      </c>
      <c r="S71" s="17" t="str">
        <f aca="false">IF(L71&lt;&gt;"",L71,IF(K71="","Not assessed",IF(N(O71)&gt;=3,"Demonstrated","Gap - remediate")))</f>
        <v>Not assessed</v>
      </c>
      <c r="T71" s="17" t="str">
        <f aca="false">IF(J71="","No evidence pull assigned",IF(COUNTIF('Evidence Pulls'!$A$6:$A$125,J71)=0,"Pull ID not on Evidence Pulls sheet",IF(K71="","Not graded",IF(AND(G71="MANDATORY",L71="Gap - recommend tailoring"),"INVALID: safety-mandatory, not tailorable",IF(OR(P71="",P71=0),"NO NAMED EXECUTOR",IF(AND(H71="Full",IFERROR(INDEX('Evidence Pulls'!$C$6:$C$125,MATCH($J71,'Evidence Pulls'!$A$6:$A$125,0)),"")&lt;&gt;"Artifact",N(O71)&gt;=3,N(IFERROR(INDEX('Evidence Pulls'!$K$6:$K$125,MATCH($J71,'Evidence Pulls'!$A$6:$A$125,0)),""))=0),"Operating claimed with no sample",IF(AND(N(O71)&gt;=3,P71=1),"Operating rests on one individual",IF(AND(L71&lt;&gt;"",N71=""),"Override with no rationale in column N",IF(AND(G71="MANDATORY",N(O71)&lt;3),"SAFETY GATE: below Operating","OK")))))))))</f>
        <v>No evidence pull assigned</v>
      </c>
    </row>
    <row r="72" customFormat="false" ht="15" hidden="false" customHeight="false" outlineLevel="0" collapsed="false">
      <c r="A72" s="14" t="s">
        <v>253</v>
      </c>
      <c r="B72" s="14" t="s">
        <v>177</v>
      </c>
      <c r="C72" s="14" t="s">
        <v>244</v>
      </c>
      <c r="D72" s="14" t="s">
        <v>245</v>
      </c>
      <c r="E72" s="14" t="s">
        <v>157</v>
      </c>
      <c r="F72" s="15"/>
      <c r="G72" s="14"/>
      <c r="H72" s="14" t="s">
        <v>127</v>
      </c>
      <c r="I72" s="14" t="s">
        <v>180</v>
      </c>
      <c r="J72" s="16"/>
      <c r="K72" s="16"/>
      <c r="L72" s="16"/>
      <c r="M72" s="16"/>
      <c r="N72" s="16"/>
      <c r="O72" s="17" t="str">
        <f aca="false">IFERROR(INDEX(Lists!$B$3:$B$7,MATCH(K72,Lists!$A$3:$A$7,0)),"")</f>
        <v/>
      </c>
      <c r="P72" s="17" t="str">
        <f aca="false">IFERROR(INDEX('Evidence Pulls'!$P$6:$P$125,MATCH($J72,'Evidence Pulls'!$A$6:$A$125,0)),"")</f>
        <v/>
      </c>
      <c r="Q72" s="17" t="str">
        <f aca="false">IFERROR(INDEX('Evidence Pulls'!$H$6:$H$125,MATCH($J72,'Evidence Pulls'!$A$6:$A$125,0)),"")</f>
        <v/>
      </c>
      <c r="R72" s="17" t="str">
        <f aca="false">IFERROR(INDEX('Evidence Pulls'!$Q$6:$Q$125,MATCH($J72,'Evidence Pulls'!$A$6:$A$125,0)),"")</f>
        <v/>
      </c>
      <c r="S72" s="17" t="str">
        <f aca="false">IF(L72&lt;&gt;"",L72,IF(K72="","Not assessed",IF(N(O72)&gt;=3,"Demonstrated","Gap - remediate")))</f>
        <v>Not assessed</v>
      </c>
      <c r="T72" s="17" t="str">
        <f aca="false">IF(J72="","No evidence pull assigned",IF(COUNTIF('Evidence Pulls'!$A$6:$A$125,J72)=0,"Pull ID not on Evidence Pulls sheet",IF(K72="","Not graded",IF(AND(G72="MANDATORY",L72="Gap - recommend tailoring"),"INVALID: safety-mandatory, not tailorable",IF(OR(P72="",P72=0),"NO NAMED EXECUTOR",IF(AND(H72="Full",IFERROR(INDEX('Evidence Pulls'!$C$6:$C$125,MATCH($J72,'Evidence Pulls'!$A$6:$A$125,0)),"")&lt;&gt;"Artifact",N(O72)&gt;=3,N(IFERROR(INDEX('Evidence Pulls'!$K$6:$K$125,MATCH($J72,'Evidence Pulls'!$A$6:$A$125,0)),""))=0),"Operating claimed with no sample",IF(AND(N(O72)&gt;=3,P72=1),"Operating rests on one individual",IF(AND(L72&lt;&gt;"",N72=""),"Override with no rationale in column N",IF(AND(G72="MANDATORY",N(O72)&lt;3),"SAFETY GATE: below Operating","OK")))))))))</f>
        <v>No evidence pull assigned</v>
      </c>
    </row>
    <row r="73" customFormat="false" ht="15" hidden="false" customHeight="false" outlineLevel="0" collapsed="false">
      <c r="A73" s="14" t="s">
        <v>254</v>
      </c>
      <c r="B73" s="14" t="s">
        <v>177</v>
      </c>
      <c r="C73" s="14" t="s">
        <v>244</v>
      </c>
      <c r="D73" s="14" t="s">
        <v>245</v>
      </c>
      <c r="E73" s="14" t="s">
        <v>130</v>
      </c>
      <c r="F73" s="15"/>
      <c r="G73" s="14"/>
      <c r="H73" s="14" t="s">
        <v>127</v>
      </c>
      <c r="I73" s="14" t="s">
        <v>180</v>
      </c>
      <c r="J73" s="16"/>
      <c r="K73" s="16"/>
      <c r="L73" s="16"/>
      <c r="M73" s="16"/>
      <c r="N73" s="16"/>
      <c r="O73" s="17" t="str">
        <f aca="false">IFERROR(INDEX(Lists!$B$3:$B$7,MATCH(K73,Lists!$A$3:$A$7,0)),"")</f>
        <v/>
      </c>
      <c r="P73" s="17" t="str">
        <f aca="false">IFERROR(INDEX('Evidence Pulls'!$P$6:$P$125,MATCH($J73,'Evidence Pulls'!$A$6:$A$125,0)),"")</f>
        <v/>
      </c>
      <c r="Q73" s="17" t="str">
        <f aca="false">IFERROR(INDEX('Evidence Pulls'!$H$6:$H$125,MATCH($J73,'Evidence Pulls'!$A$6:$A$125,0)),"")</f>
        <v/>
      </c>
      <c r="R73" s="17" t="str">
        <f aca="false">IFERROR(INDEX('Evidence Pulls'!$Q$6:$Q$125,MATCH($J73,'Evidence Pulls'!$A$6:$A$125,0)),"")</f>
        <v/>
      </c>
      <c r="S73" s="17" t="str">
        <f aca="false">IF(L73&lt;&gt;"",L73,IF(K73="","Not assessed",IF(N(O73)&gt;=3,"Demonstrated","Gap - remediate")))</f>
        <v>Not assessed</v>
      </c>
      <c r="T73" s="17" t="str">
        <f aca="false">IF(J73="","No evidence pull assigned",IF(COUNTIF('Evidence Pulls'!$A$6:$A$125,J73)=0,"Pull ID not on Evidence Pulls sheet",IF(K73="","Not graded",IF(AND(G73="MANDATORY",L73="Gap - recommend tailoring"),"INVALID: safety-mandatory, not tailorable",IF(OR(P73="",P73=0),"NO NAMED EXECUTOR",IF(AND(H73="Full",IFERROR(INDEX('Evidence Pulls'!$C$6:$C$125,MATCH($J73,'Evidence Pulls'!$A$6:$A$125,0)),"")&lt;&gt;"Artifact",N(O73)&gt;=3,N(IFERROR(INDEX('Evidence Pulls'!$K$6:$K$125,MATCH($J73,'Evidence Pulls'!$A$6:$A$125,0)),""))=0),"Operating claimed with no sample",IF(AND(N(O73)&gt;=3,P73=1),"Operating rests on one individual",IF(AND(L73&lt;&gt;"",N73=""),"Override with no rationale in column N",IF(AND(G73="MANDATORY",N(O73)&lt;3),"SAFETY GATE: below Operating","OK")))))))))</f>
        <v>No evidence pull assigned</v>
      </c>
    </row>
    <row r="74" customFormat="false" ht="22.35" hidden="false" customHeight="false" outlineLevel="0" collapsed="false">
      <c r="A74" s="18" t="s">
        <v>255</v>
      </c>
      <c r="B74" s="18" t="s">
        <v>177</v>
      </c>
      <c r="C74" s="18" t="s">
        <v>256</v>
      </c>
      <c r="D74" s="18" t="s">
        <v>257</v>
      </c>
      <c r="E74" s="18" t="s">
        <v>126</v>
      </c>
      <c r="F74" s="18"/>
      <c r="G74" s="19" t="s">
        <v>131</v>
      </c>
      <c r="H74" s="19" t="s">
        <v>132</v>
      </c>
      <c r="I74" s="18" t="s">
        <v>180</v>
      </c>
      <c r="J74" s="16"/>
      <c r="K74" s="16"/>
      <c r="L74" s="16"/>
      <c r="M74" s="16"/>
      <c r="N74" s="16"/>
      <c r="O74" s="17" t="str">
        <f aca="false">IFERROR(INDEX(Lists!$B$3:$B$7,MATCH(K74,Lists!$A$3:$A$7,0)),"")</f>
        <v/>
      </c>
      <c r="P74" s="17" t="str">
        <f aca="false">IFERROR(INDEX('Evidence Pulls'!$P$6:$P$125,MATCH($J74,'Evidence Pulls'!$A$6:$A$125,0)),"")</f>
        <v/>
      </c>
      <c r="Q74" s="17" t="str">
        <f aca="false">IFERROR(INDEX('Evidence Pulls'!$H$6:$H$125,MATCH($J74,'Evidence Pulls'!$A$6:$A$125,0)),"")</f>
        <v/>
      </c>
      <c r="R74" s="17" t="str">
        <f aca="false">IFERROR(INDEX('Evidence Pulls'!$Q$6:$Q$125,MATCH($J74,'Evidence Pulls'!$A$6:$A$125,0)),"")</f>
        <v/>
      </c>
      <c r="S74" s="17" t="str">
        <f aca="false">IF(L74&lt;&gt;"",L74,IF(K74="","Not assessed",IF(N(O74)&gt;=3,"Demonstrated","Gap - remediate")))</f>
        <v>Not assessed</v>
      </c>
      <c r="T74" s="17" t="str">
        <f aca="false">IF(J74="","No evidence pull assigned",IF(COUNTIF('Evidence Pulls'!$A$6:$A$125,J74)=0,"Pull ID not on Evidence Pulls sheet",IF(K74="","Not graded",IF(AND(G74="MANDATORY",L74="Gap - recommend tailoring"),"INVALID: safety-mandatory, not tailorable",IF(OR(P74="",P74=0),"NO NAMED EXECUTOR",IF(AND(H74="Full",IFERROR(INDEX('Evidence Pulls'!$C$6:$C$125,MATCH($J74,'Evidence Pulls'!$A$6:$A$125,0)),"")&lt;&gt;"Artifact",N(O74)&gt;=3,N(IFERROR(INDEX('Evidence Pulls'!$K$6:$K$125,MATCH($J74,'Evidence Pulls'!$A$6:$A$125,0)),""))=0),"Operating claimed with no sample",IF(AND(N(O74)&gt;=3,P74=1),"Operating rests on one individual",IF(AND(L74&lt;&gt;"",N74=""),"Override with no rationale in column N",IF(AND(G74="MANDATORY",N(O74)&lt;3),"SAFETY GATE: below Operating","OK")))))))))</f>
        <v>No evidence pull assigned</v>
      </c>
    </row>
    <row r="75" customFormat="false" ht="15" hidden="false" customHeight="false" outlineLevel="0" collapsed="false">
      <c r="A75" s="14" t="s">
        <v>258</v>
      </c>
      <c r="B75" s="14" t="s">
        <v>177</v>
      </c>
      <c r="C75" s="14" t="s">
        <v>259</v>
      </c>
      <c r="D75" s="14" t="s">
        <v>260</v>
      </c>
      <c r="E75" s="14" t="s">
        <v>126</v>
      </c>
      <c r="F75" s="15"/>
      <c r="G75" s="14"/>
      <c r="H75" s="14" t="s">
        <v>127</v>
      </c>
      <c r="I75" s="14" t="s">
        <v>180</v>
      </c>
      <c r="J75" s="16"/>
      <c r="K75" s="16"/>
      <c r="L75" s="16"/>
      <c r="M75" s="16"/>
      <c r="N75" s="16"/>
      <c r="O75" s="17" t="str">
        <f aca="false">IFERROR(INDEX(Lists!$B$3:$B$7,MATCH(K75,Lists!$A$3:$A$7,0)),"")</f>
        <v/>
      </c>
      <c r="P75" s="17" t="str">
        <f aca="false">IFERROR(INDEX('Evidence Pulls'!$P$6:$P$125,MATCH($J75,'Evidence Pulls'!$A$6:$A$125,0)),"")</f>
        <v/>
      </c>
      <c r="Q75" s="17" t="str">
        <f aca="false">IFERROR(INDEX('Evidence Pulls'!$H$6:$H$125,MATCH($J75,'Evidence Pulls'!$A$6:$A$125,0)),"")</f>
        <v/>
      </c>
      <c r="R75" s="17" t="str">
        <f aca="false">IFERROR(INDEX('Evidence Pulls'!$Q$6:$Q$125,MATCH($J75,'Evidence Pulls'!$A$6:$A$125,0)),"")</f>
        <v/>
      </c>
      <c r="S75" s="17" t="str">
        <f aca="false">IF(L75&lt;&gt;"",L75,IF(K75="","Not assessed",IF(N(O75)&gt;=3,"Demonstrated","Gap - remediate")))</f>
        <v>Not assessed</v>
      </c>
      <c r="T75" s="17" t="str">
        <f aca="false">IF(J75="","No evidence pull assigned",IF(COUNTIF('Evidence Pulls'!$A$6:$A$125,J75)=0,"Pull ID not on Evidence Pulls sheet",IF(K75="","Not graded",IF(AND(G75="MANDATORY",L75="Gap - recommend tailoring"),"INVALID: safety-mandatory, not tailorable",IF(OR(P75="",P75=0),"NO NAMED EXECUTOR",IF(AND(H75="Full",IFERROR(INDEX('Evidence Pulls'!$C$6:$C$125,MATCH($J75,'Evidence Pulls'!$A$6:$A$125,0)),"")&lt;&gt;"Artifact",N(O75)&gt;=3,N(IFERROR(INDEX('Evidence Pulls'!$K$6:$K$125,MATCH($J75,'Evidence Pulls'!$A$6:$A$125,0)),""))=0),"Operating claimed with no sample",IF(AND(N(O75)&gt;=3,P75=1),"Operating rests on one individual",IF(AND(L75&lt;&gt;"",N75=""),"Override with no rationale in column N",IF(AND(G75="MANDATORY",N(O75)&lt;3),"SAFETY GATE: below Operating","OK")))))))))</f>
        <v>No evidence pull assigned</v>
      </c>
    </row>
    <row r="76" customFormat="false" ht="15" hidden="false" customHeight="false" outlineLevel="0" collapsed="false">
      <c r="A76" s="14" t="s">
        <v>261</v>
      </c>
      <c r="B76" s="14" t="s">
        <v>177</v>
      </c>
      <c r="C76" s="14" t="s">
        <v>259</v>
      </c>
      <c r="D76" s="14" t="s">
        <v>260</v>
      </c>
      <c r="E76" s="14" t="s">
        <v>130</v>
      </c>
      <c r="F76" s="15"/>
      <c r="G76" s="14"/>
      <c r="H76" s="14" t="s">
        <v>127</v>
      </c>
      <c r="I76" s="14" t="s">
        <v>180</v>
      </c>
      <c r="J76" s="16"/>
      <c r="K76" s="16"/>
      <c r="L76" s="16"/>
      <c r="M76" s="16"/>
      <c r="N76" s="16"/>
      <c r="O76" s="17" t="str">
        <f aca="false">IFERROR(INDEX(Lists!$B$3:$B$7,MATCH(K76,Lists!$A$3:$A$7,0)),"")</f>
        <v/>
      </c>
      <c r="P76" s="17" t="str">
        <f aca="false">IFERROR(INDEX('Evidence Pulls'!$P$6:$P$125,MATCH($J76,'Evidence Pulls'!$A$6:$A$125,0)),"")</f>
        <v/>
      </c>
      <c r="Q76" s="17" t="str">
        <f aca="false">IFERROR(INDEX('Evidence Pulls'!$H$6:$H$125,MATCH($J76,'Evidence Pulls'!$A$6:$A$125,0)),"")</f>
        <v/>
      </c>
      <c r="R76" s="17" t="str">
        <f aca="false">IFERROR(INDEX('Evidence Pulls'!$Q$6:$Q$125,MATCH($J76,'Evidence Pulls'!$A$6:$A$125,0)),"")</f>
        <v/>
      </c>
      <c r="S76" s="17" t="str">
        <f aca="false">IF(L76&lt;&gt;"",L76,IF(K76="","Not assessed",IF(N(O76)&gt;=3,"Demonstrated","Gap - remediate")))</f>
        <v>Not assessed</v>
      </c>
      <c r="T76" s="17" t="str">
        <f aca="false">IF(J76="","No evidence pull assigned",IF(COUNTIF('Evidence Pulls'!$A$6:$A$125,J76)=0,"Pull ID not on Evidence Pulls sheet",IF(K76="","Not graded",IF(AND(G76="MANDATORY",L76="Gap - recommend tailoring"),"INVALID: safety-mandatory, not tailorable",IF(OR(P76="",P76=0),"NO NAMED EXECUTOR",IF(AND(H76="Full",IFERROR(INDEX('Evidence Pulls'!$C$6:$C$125,MATCH($J76,'Evidence Pulls'!$A$6:$A$125,0)),"")&lt;&gt;"Artifact",N(O76)&gt;=3,N(IFERROR(INDEX('Evidence Pulls'!$K$6:$K$125,MATCH($J76,'Evidence Pulls'!$A$6:$A$125,0)),""))=0),"Operating claimed with no sample",IF(AND(N(O76)&gt;=3,P76=1),"Operating rests on one individual",IF(AND(L76&lt;&gt;"",N76=""),"Override with no rationale in column N",IF(AND(G76="MANDATORY",N(O76)&lt;3),"SAFETY GATE: below Operating","OK")))))))))</f>
        <v>No evidence pull assigned</v>
      </c>
    </row>
    <row r="77" customFormat="false" ht="15" hidden="false" customHeight="false" outlineLevel="0" collapsed="false">
      <c r="A77" s="14" t="s">
        <v>262</v>
      </c>
      <c r="B77" s="14" t="s">
        <v>177</v>
      </c>
      <c r="C77" s="14" t="s">
        <v>259</v>
      </c>
      <c r="D77" s="14" t="s">
        <v>260</v>
      </c>
      <c r="E77" s="14" t="s">
        <v>134</v>
      </c>
      <c r="F77" s="15"/>
      <c r="G77" s="14"/>
      <c r="H77" s="14" t="s">
        <v>127</v>
      </c>
      <c r="I77" s="14" t="s">
        <v>180</v>
      </c>
      <c r="J77" s="16"/>
      <c r="K77" s="16"/>
      <c r="L77" s="16"/>
      <c r="M77" s="16"/>
      <c r="N77" s="16"/>
      <c r="O77" s="17" t="str">
        <f aca="false">IFERROR(INDEX(Lists!$B$3:$B$7,MATCH(K77,Lists!$A$3:$A$7,0)),"")</f>
        <v/>
      </c>
      <c r="P77" s="17" t="str">
        <f aca="false">IFERROR(INDEX('Evidence Pulls'!$P$6:$P$125,MATCH($J77,'Evidence Pulls'!$A$6:$A$125,0)),"")</f>
        <v/>
      </c>
      <c r="Q77" s="17" t="str">
        <f aca="false">IFERROR(INDEX('Evidence Pulls'!$H$6:$H$125,MATCH($J77,'Evidence Pulls'!$A$6:$A$125,0)),"")</f>
        <v/>
      </c>
      <c r="R77" s="17" t="str">
        <f aca="false">IFERROR(INDEX('Evidence Pulls'!$Q$6:$Q$125,MATCH($J77,'Evidence Pulls'!$A$6:$A$125,0)),"")</f>
        <v/>
      </c>
      <c r="S77" s="17" t="str">
        <f aca="false">IF(L77&lt;&gt;"",L77,IF(K77="","Not assessed",IF(N(O77)&gt;=3,"Demonstrated","Gap - remediate")))</f>
        <v>Not assessed</v>
      </c>
      <c r="T77" s="17" t="str">
        <f aca="false">IF(J77="","No evidence pull assigned",IF(COUNTIF('Evidence Pulls'!$A$6:$A$125,J77)=0,"Pull ID not on Evidence Pulls sheet",IF(K77="","Not graded",IF(AND(G77="MANDATORY",L77="Gap - recommend tailoring"),"INVALID: safety-mandatory, not tailorable",IF(OR(P77="",P77=0),"NO NAMED EXECUTOR",IF(AND(H77="Full",IFERROR(INDEX('Evidence Pulls'!$C$6:$C$125,MATCH($J77,'Evidence Pulls'!$A$6:$A$125,0)),"")&lt;&gt;"Artifact",N(O77)&gt;=3,N(IFERROR(INDEX('Evidence Pulls'!$K$6:$K$125,MATCH($J77,'Evidence Pulls'!$A$6:$A$125,0)),""))=0),"Operating claimed with no sample",IF(AND(N(O77)&gt;=3,P77=1),"Operating rests on one individual",IF(AND(L77&lt;&gt;"",N77=""),"Override with no rationale in column N",IF(AND(G77="MANDATORY",N(O77)&lt;3),"SAFETY GATE: below Operating","OK")))))))))</f>
        <v>No evidence pull assigned</v>
      </c>
    </row>
    <row r="78" customFormat="false" ht="15" hidden="false" customHeight="false" outlineLevel="0" collapsed="false">
      <c r="A78" s="14" t="s">
        <v>263</v>
      </c>
      <c r="B78" s="14" t="s">
        <v>177</v>
      </c>
      <c r="C78" s="14" t="s">
        <v>259</v>
      </c>
      <c r="D78" s="14" t="s">
        <v>260</v>
      </c>
      <c r="E78" s="14" t="s">
        <v>136</v>
      </c>
      <c r="F78" s="15"/>
      <c r="G78" s="14"/>
      <c r="H78" s="14" t="s">
        <v>127</v>
      </c>
      <c r="I78" s="14" t="s">
        <v>180</v>
      </c>
      <c r="J78" s="16"/>
      <c r="K78" s="16"/>
      <c r="L78" s="16"/>
      <c r="M78" s="16"/>
      <c r="N78" s="16"/>
      <c r="O78" s="17" t="str">
        <f aca="false">IFERROR(INDEX(Lists!$B$3:$B$7,MATCH(K78,Lists!$A$3:$A$7,0)),"")</f>
        <v/>
      </c>
      <c r="P78" s="17" t="str">
        <f aca="false">IFERROR(INDEX('Evidence Pulls'!$P$6:$P$125,MATCH($J78,'Evidence Pulls'!$A$6:$A$125,0)),"")</f>
        <v/>
      </c>
      <c r="Q78" s="17" t="str">
        <f aca="false">IFERROR(INDEX('Evidence Pulls'!$H$6:$H$125,MATCH($J78,'Evidence Pulls'!$A$6:$A$125,0)),"")</f>
        <v/>
      </c>
      <c r="R78" s="17" t="str">
        <f aca="false">IFERROR(INDEX('Evidence Pulls'!$Q$6:$Q$125,MATCH($J78,'Evidence Pulls'!$A$6:$A$125,0)),"")</f>
        <v/>
      </c>
      <c r="S78" s="17" t="str">
        <f aca="false">IF(L78&lt;&gt;"",L78,IF(K78="","Not assessed",IF(N(O78)&gt;=3,"Demonstrated","Gap - remediate")))</f>
        <v>Not assessed</v>
      </c>
      <c r="T78" s="17" t="str">
        <f aca="false">IF(J78="","No evidence pull assigned",IF(COUNTIF('Evidence Pulls'!$A$6:$A$125,J78)=0,"Pull ID not on Evidence Pulls sheet",IF(K78="","Not graded",IF(AND(G78="MANDATORY",L78="Gap - recommend tailoring"),"INVALID: safety-mandatory, not tailorable",IF(OR(P78="",P78=0),"NO NAMED EXECUTOR",IF(AND(H78="Full",IFERROR(INDEX('Evidence Pulls'!$C$6:$C$125,MATCH($J78,'Evidence Pulls'!$A$6:$A$125,0)),"")&lt;&gt;"Artifact",N(O78)&gt;=3,N(IFERROR(INDEX('Evidence Pulls'!$K$6:$K$125,MATCH($J78,'Evidence Pulls'!$A$6:$A$125,0)),""))=0),"Operating claimed with no sample",IF(AND(N(O78)&gt;=3,P78=1),"Operating rests on one individual",IF(AND(L78&lt;&gt;"",N78=""),"Override with no rationale in column N",IF(AND(G78="MANDATORY",N(O78)&lt;3),"SAFETY GATE: below Operating","OK")))))))))</f>
        <v>No evidence pull assigned</v>
      </c>
    </row>
    <row r="79" customFormat="false" ht="15" hidden="false" customHeight="false" outlineLevel="0" collapsed="false">
      <c r="A79" s="14" t="s">
        <v>264</v>
      </c>
      <c r="B79" s="14" t="s">
        <v>177</v>
      </c>
      <c r="C79" s="14" t="s">
        <v>265</v>
      </c>
      <c r="D79" s="14" t="s">
        <v>266</v>
      </c>
      <c r="E79" s="14" t="s">
        <v>126</v>
      </c>
      <c r="F79" s="15"/>
      <c r="G79" s="14"/>
      <c r="H79" s="14" t="s">
        <v>127</v>
      </c>
      <c r="I79" s="14" t="s">
        <v>180</v>
      </c>
      <c r="J79" s="16"/>
      <c r="K79" s="16"/>
      <c r="L79" s="16"/>
      <c r="M79" s="16"/>
      <c r="N79" s="16"/>
      <c r="O79" s="17" t="str">
        <f aca="false">IFERROR(INDEX(Lists!$B$3:$B$7,MATCH(K79,Lists!$A$3:$A$7,0)),"")</f>
        <v/>
      </c>
      <c r="P79" s="17" t="str">
        <f aca="false">IFERROR(INDEX('Evidence Pulls'!$P$6:$P$125,MATCH($J79,'Evidence Pulls'!$A$6:$A$125,0)),"")</f>
        <v/>
      </c>
      <c r="Q79" s="17" t="str">
        <f aca="false">IFERROR(INDEX('Evidence Pulls'!$H$6:$H$125,MATCH($J79,'Evidence Pulls'!$A$6:$A$125,0)),"")</f>
        <v/>
      </c>
      <c r="R79" s="17" t="str">
        <f aca="false">IFERROR(INDEX('Evidence Pulls'!$Q$6:$Q$125,MATCH($J79,'Evidence Pulls'!$A$6:$A$125,0)),"")</f>
        <v/>
      </c>
      <c r="S79" s="17" t="str">
        <f aca="false">IF(L79&lt;&gt;"",L79,IF(K79="","Not assessed",IF(N(O79)&gt;=3,"Demonstrated","Gap - remediate")))</f>
        <v>Not assessed</v>
      </c>
      <c r="T79" s="17" t="str">
        <f aca="false">IF(J79="","No evidence pull assigned",IF(COUNTIF('Evidence Pulls'!$A$6:$A$125,J79)=0,"Pull ID not on Evidence Pulls sheet",IF(K79="","Not graded",IF(AND(G79="MANDATORY",L79="Gap - recommend tailoring"),"INVALID: safety-mandatory, not tailorable",IF(OR(P79="",P79=0),"NO NAMED EXECUTOR",IF(AND(H79="Full",IFERROR(INDEX('Evidence Pulls'!$C$6:$C$125,MATCH($J79,'Evidence Pulls'!$A$6:$A$125,0)),"")&lt;&gt;"Artifact",N(O79)&gt;=3,N(IFERROR(INDEX('Evidence Pulls'!$K$6:$K$125,MATCH($J79,'Evidence Pulls'!$A$6:$A$125,0)),""))=0),"Operating claimed with no sample",IF(AND(N(O79)&gt;=3,P79=1),"Operating rests on one individual",IF(AND(L79&lt;&gt;"",N79=""),"Override with no rationale in column N",IF(AND(G79="MANDATORY",N(O79)&lt;3),"SAFETY GATE: below Operating","OK")))))))))</f>
        <v>No evidence pull assigned</v>
      </c>
    </row>
    <row r="80" customFormat="false" ht="15" hidden="false" customHeight="false" outlineLevel="0" collapsed="false">
      <c r="A80" s="14" t="s">
        <v>267</v>
      </c>
      <c r="B80" s="14" t="s">
        <v>177</v>
      </c>
      <c r="C80" s="14" t="s">
        <v>265</v>
      </c>
      <c r="D80" s="14" t="s">
        <v>266</v>
      </c>
      <c r="E80" s="14" t="s">
        <v>130</v>
      </c>
      <c r="F80" s="15"/>
      <c r="G80" s="14"/>
      <c r="H80" s="14" t="s">
        <v>127</v>
      </c>
      <c r="I80" s="14" t="s">
        <v>180</v>
      </c>
      <c r="J80" s="16"/>
      <c r="K80" s="16"/>
      <c r="L80" s="16"/>
      <c r="M80" s="16"/>
      <c r="N80" s="16"/>
      <c r="O80" s="17" t="str">
        <f aca="false">IFERROR(INDEX(Lists!$B$3:$B$7,MATCH(K80,Lists!$A$3:$A$7,0)),"")</f>
        <v/>
      </c>
      <c r="P80" s="17" t="str">
        <f aca="false">IFERROR(INDEX('Evidence Pulls'!$P$6:$P$125,MATCH($J80,'Evidence Pulls'!$A$6:$A$125,0)),"")</f>
        <v/>
      </c>
      <c r="Q80" s="17" t="str">
        <f aca="false">IFERROR(INDEX('Evidence Pulls'!$H$6:$H$125,MATCH($J80,'Evidence Pulls'!$A$6:$A$125,0)),"")</f>
        <v/>
      </c>
      <c r="R80" s="17" t="str">
        <f aca="false">IFERROR(INDEX('Evidence Pulls'!$Q$6:$Q$125,MATCH($J80,'Evidence Pulls'!$A$6:$A$125,0)),"")</f>
        <v/>
      </c>
      <c r="S80" s="17" t="str">
        <f aca="false">IF(L80&lt;&gt;"",L80,IF(K80="","Not assessed",IF(N(O80)&gt;=3,"Demonstrated","Gap - remediate")))</f>
        <v>Not assessed</v>
      </c>
      <c r="T80" s="17" t="str">
        <f aca="false">IF(J80="","No evidence pull assigned",IF(COUNTIF('Evidence Pulls'!$A$6:$A$125,J80)=0,"Pull ID not on Evidence Pulls sheet",IF(K80="","Not graded",IF(AND(G80="MANDATORY",L80="Gap - recommend tailoring"),"INVALID: safety-mandatory, not tailorable",IF(OR(P80="",P80=0),"NO NAMED EXECUTOR",IF(AND(H80="Full",IFERROR(INDEX('Evidence Pulls'!$C$6:$C$125,MATCH($J80,'Evidence Pulls'!$A$6:$A$125,0)),"")&lt;&gt;"Artifact",N(O80)&gt;=3,N(IFERROR(INDEX('Evidence Pulls'!$K$6:$K$125,MATCH($J80,'Evidence Pulls'!$A$6:$A$125,0)),""))=0),"Operating claimed with no sample",IF(AND(N(O80)&gt;=3,P80=1),"Operating rests on one individual",IF(AND(L80&lt;&gt;"",N80=""),"Override with no rationale in column N",IF(AND(G80="MANDATORY",N(O80)&lt;3),"SAFETY GATE: below Operating","OK")))))))))</f>
        <v>No evidence pull assigned</v>
      </c>
    </row>
    <row r="81" customFormat="false" ht="15" hidden="false" customHeight="false" outlineLevel="0" collapsed="false">
      <c r="A81" s="14" t="s">
        <v>268</v>
      </c>
      <c r="B81" s="14" t="s">
        <v>177</v>
      </c>
      <c r="C81" s="14" t="s">
        <v>265</v>
      </c>
      <c r="D81" s="14" t="s">
        <v>266</v>
      </c>
      <c r="E81" s="14" t="s">
        <v>134</v>
      </c>
      <c r="F81" s="15"/>
      <c r="G81" s="14"/>
      <c r="H81" s="14" t="s">
        <v>127</v>
      </c>
      <c r="I81" s="14" t="s">
        <v>180</v>
      </c>
      <c r="J81" s="16"/>
      <c r="K81" s="16"/>
      <c r="L81" s="16"/>
      <c r="M81" s="16"/>
      <c r="N81" s="16"/>
      <c r="O81" s="17" t="str">
        <f aca="false">IFERROR(INDEX(Lists!$B$3:$B$7,MATCH(K81,Lists!$A$3:$A$7,0)),"")</f>
        <v/>
      </c>
      <c r="P81" s="17" t="str">
        <f aca="false">IFERROR(INDEX('Evidence Pulls'!$P$6:$P$125,MATCH($J81,'Evidence Pulls'!$A$6:$A$125,0)),"")</f>
        <v/>
      </c>
      <c r="Q81" s="17" t="str">
        <f aca="false">IFERROR(INDEX('Evidence Pulls'!$H$6:$H$125,MATCH($J81,'Evidence Pulls'!$A$6:$A$125,0)),"")</f>
        <v/>
      </c>
      <c r="R81" s="17" t="str">
        <f aca="false">IFERROR(INDEX('Evidence Pulls'!$Q$6:$Q$125,MATCH($J81,'Evidence Pulls'!$A$6:$A$125,0)),"")</f>
        <v/>
      </c>
      <c r="S81" s="17" t="str">
        <f aca="false">IF(L81&lt;&gt;"",L81,IF(K81="","Not assessed",IF(N(O81)&gt;=3,"Demonstrated","Gap - remediate")))</f>
        <v>Not assessed</v>
      </c>
      <c r="T81" s="17" t="str">
        <f aca="false">IF(J81="","No evidence pull assigned",IF(COUNTIF('Evidence Pulls'!$A$6:$A$125,J81)=0,"Pull ID not on Evidence Pulls sheet",IF(K81="","Not graded",IF(AND(G81="MANDATORY",L81="Gap - recommend tailoring"),"INVALID: safety-mandatory, not tailorable",IF(OR(P81="",P81=0),"NO NAMED EXECUTOR",IF(AND(H81="Full",IFERROR(INDEX('Evidence Pulls'!$C$6:$C$125,MATCH($J81,'Evidence Pulls'!$A$6:$A$125,0)),"")&lt;&gt;"Artifact",N(O81)&gt;=3,N(IFERROR(INDEX('Evidence Pulls'!$K$6:$K$125,MATCH($J81,'Evidence Pulls'!$A$6:$A$125,0)),""))=0),"Operating claimed with no sample",IF(AND(N(O81)&gt;=3,P81=1),"Operating rests on one individual",IF(AND(L81&lt;&gt;"",N81=""),"Override with no rationale in column N",IF(AND(G81="MANDATORY",N(O81)&lt;3),"SAFETY GATE: below Operating","OK")))))))))</f>
        <v>No evidence pull assigned</v>
      </c>
    </row>
    <row r="82" customFormat="false" ht="15" hidden="false" customHeight="false" outlineLevel="0" collapsed="false">
      <c r="A82" s="14" t="s">
        <v>269</v>
      </c>
      <c r="B82" s="14" t="s">
        <v>177</v>
      </c>
      <c r="C82" s="14" t="s">
        <v>265</v>
      </c>
      <c r="D82" s="14" t="s">
        <v>266</v>
      </c>
      <c r="E82" s="14" t="s">
        <v>136</v>
      </c>
      <c r="F82" s="15"/>
      <c r="G82" s="14"/>
      <c r="H82" s="14" t="s">
        <v>127</v>
      </c>
      <c r="I82" s="14" t="s">
        <v>180</v>
      </c>
      <c r="J82" s="16"/>
      <c r="K82" s="16"/>
      <c r="L82" s="16"/>
      <c r="M82" s="16"/>
      <c r="N82" s="16"/>
      <c r="O82" s="17" t="str">
        <f aca="false">IFERROR(INDEX(Lists!$B$3:$B$7,MATCH(K82,Lists!$A$3:$A$7,0)),"")</f>
        <v/>
      </c>
      <c r="P82" s="17" t="str">
        <f aca="false">IFERROR(INDEX('Evidence Pulls'!$P$6:$P$125,MATCH($J82,'Evidence Pulls'!$A$6:$A$125,0)),"")</f>
        <v/>
      </c>
      <c r="Q82" s="17" t="str">
        <f aca="false">IFERROR(INDEX('Evidence Pulls'!$H$6:$H$125,MATCH($J82,'Evidence Pulls'!$A$6:$A$125,0)),"")</f>
        <v/>
      </c>
      <c r="R82" s="17" t="str">
        <f aca="false">IFERROR(INDEX('Evidence Pulls'!$Q$6:$Q$125,MATCH($J82,'Evidence Pulls'!$A$6:$A$125,0)),"")</f>
        <v/>
      </c>
      <c r="S82" s="17" t="str">
        <f aca="false">IF(L82&lt;&gt;"",L82,IF(K82="","Not assessed",IF(N(O82)&gt;=3,"Demonstrated","Gap - remediate")))</f>
        <v>Not assessed</v>
      </c>
      <c r="T82" s="17" t="str">
        <f aca="false">IF(J82="","No evidence pull assigned",IF(COUNTIF('Evidence Pulls'!$A$6:$A$125,J82)=0,"Pull ID not on Evidence Pulls sheet",IF(K82="","Not graded",IF(AND(G82="MANDATORY",L82="Gap - recommend tailoring"),"INVALID: safety-mandatory, not tailorable",IF(OR(P82="",P82=0),"NO NAMED EXECUTOR",IF(AND(H82="Full",IFERROR(INDEX('Evidence Pulls'!$C$6:$C$125,MATCH($J82,'Evidence Pulls'!$A$6:$A$125,0)),"")&lt;&gt;"Artifact",N(O82)&gt;=3,N(IFERROR(INDEX('Evidence Pulls'!$K$6:$K$125,MATCH($J82,'Evidence Pulls'!$A$6:$A$125,0)),""))=0),"Operating claimed with no sample",IF(AND(N(O82)&gt;=3,P82=1),"Operating rests on one individual",IF(AND(L82&lt;&gt;"",N82=""),"Override with no rationale in column N",IF(AND(G82="MANDATORY",N(O82)&lt;3),"SAFETY GATE: below Operating","OK")))))))))</f>
        <v>No evidence pull assigned</v>
      </c>
    </row>
    <row r="83" customFormat="false" ht="15" hidden="false" customHeight="false" outlineLevel="0" collapsed="false">
      <c r="A83" s="14" t="s">
        <v>270</v>
      </c>
      <c r="B83" s="14" t="s">
        <v>177</v>
      </c>
      <c r="C83" s="14" t="s">
        <v>271</v>
      </c>
      <c r="D83" s="14" t="s">
        <v>272</v>
      </c>
      <c r="E83" s="14" t="s">
        <v>141</v>
      </c>
      <c r="F83" s="15"/>
      <c r="G83" s="14"/>
      <c r="H83" s="14" t="s">
        <v>127</v>
      </c>
      <c r="I83" s="14" t="s">
        <v>180</v>
      </c>
      <c r="J83" s="16"/>
      <c r="K83" s="16"/>
      <c r="L83" s="16"/>
      <c r="M83" s="16"/>
      <c r="N83" s="16"/>
      <c r="O83" s="17" t="str">
        <f aca="false">IFERROR(INDEX(Lists!$B$3:$B$7,MATCH(K83,Lists!$A$3:$A$7,0)),"")</f>
        <v/>
      </c>
      <c r="P83" s="17" t="str">
        <f aca="false">IFERROR(INDEX('Evidence Pulls'!$P$6:$P$125,MATCH($J83,'Evidence Pulls'!$A$6:$A$125,0)),"")</f>
        <v/>
      </c>
      <c r="Q83" s="17" t="str">
        <f aca="false">IFERROR(INDEX('Evidence Pulls'!$H$6:$H$125,MATCH($J83,'Evidence Pulls'!$A$6:$A$125,0)),"")</f>
        <v/>
      </c>
      <c r="R83" s="17" t="str">
        <f aca="false">IFERROR(INDEX('Evidence Pulls'!$Q$6:$Q$125,MATCH($J83,'Evidence Pulls'!$A$6:$A$125,0)),"")</f>
        <v/>
      </c>
      <c r="S83" s="17" t="str">
        <f aca="false">IF(L83&lt;&gt;"",L83,IF(K83="","Not assessed",IF(N(O83)&gt;=3,"Demonstrated","Gap - remediate")))</f>
        <v>Not assessed</v>
      </c>
      <c r="T83" s="17" t="str">
        <f aca="false">IF(J83="","No evidence pull assigned",IF(COUNTIF('Evidence Pulls'!$A$6:$A$125,J83)=0,"Pull ID not on Evidence Pulls sheet",IF(K83="","Not graded",IF(AND(G83="MANDATORY",L83="Gap - recommend tailoring"),"INVALID: safety-mandatory, not tailorable",IF(OR(P83="",P83=0),"NO NAMED EXECUTOR",IF(AND(H83="Full",IFERROR(INDEX('Evidence Pulls'!$C$6:$C$125,MATCH($J83,'Evidence Pulls'!$A$6:$A$125,0)),"")&lt;&gt;"Artifact",N(O83)&gt;=3,N(IFERROR(INDEX('Evidence Pulls'!$K$6:$K$125,MATCH($J83,'Evidence Pulls'!$A$6:$A$125,0)),""))=0),"Operating claimed with no sample",IF(AND(N(O83)&gt;=3,P83=1),"Operating rests on one individual",IF(AND(L83&lt;&gt;"",N83=""),"Override with no rationale in column N",IF(AND(G83="MANDATORY",N(O83)&lt;3),"SAFETY GATE: below Operating","OK")))))))))</f>
        <v>No evidence pull assigned</v>
      </c>
    </row>
    <row r="84" customFormat="false" ht="15" hidden="false" customHeight="false" outlineLevel="0" collapsed="false">
      <c r="A84" s="14" t="s">
        <v>273</v>
      </c>
      <c r="B84" s="14" t="s">
        <v>177</v>
      </c>
      <c r="C84" s="14" t="s">
        <v>271</v>
      </c>
      <c r="D84" s="14" t="s">
        <v>272</v>
      </c>
      <c r="E84" s="14" t="s">
        <v>143</v>
      </c>
      <c r="F84" s="15"/>
      <c r="G84" s="14"/>
      <c r="H84" s="14" t="s">
        <v>127</v>
      </c>
      <c r="I84" s="14" t="s">
        <v>180</v>
      </c>
      <c r="J84" s="16"/>
      <c r="K84" s="16"/>
      <c r="L84" s="16"/>
      <c r="M84" s="16"/>
      <c r="N84" s="16"/>
      <c r="O84" s="17" t="str">
        <f aca="false">IFERROR(INDEX(Lists!$B$3:$B$7,MATCH(K84,Lists!$A$3:$A$7,0)),"")</f>
        <v/>
      </c>
      <c r="P84" s="17" t="str">
        <f aca="false">IFERROR(INDEX('Evidence Pulls'!$P$6:$P$125,MATCH($J84,'Evidence Pulls'!$A$6:$A$125,0)),"")</f>
        <v/>
      </c>
      <c r="Q84" s="17" t="str">
        <f aca="false">IFERROR(INDEX('Evidence Pulls'!$H$6:$H$125,MATCH($J84,'Evidence Pulls'!$A$6:$A$125,0)),"")</f>
        <v/>
      </c>
      <c r="R84" s="17" t="str">
        <f aca="false">IFERROR(INDEX('Evidence Pulls'!$Q$6:$Q$125,MATCH($J84,'Evidence Pulls'!$A$6:$A$125,0)),"")</f>
        <v/>
      </c>
      <c r="S84" s="17" t="str">
        <f aca="false">IF(L84&lt;&gt;"",L84,IF(K84="","Not assessed",IF(N(O84)&gt;=3,"Demonstrated","Gap - remediate")))</f>
        <v>Not assessed</v>
      </c>
      <c r="T84" s="17" t="str">
        <f aca="false">IF(J84="","No evidence pull assigned",IF(COUNTIF('Evidence Pulls'!$A$6:$A$125,J84)=0,"Pull ID not on Evidence Pulls sheet",IF(K84="","Not graded",IF(AND(G84="MANDATORY",L84="Gap - recommend tailoring"),"INVALID: safety-mandatory, not tailorable",IF(OR(P84="",P84=0),"NO NAMED EXECUTOR",IF(AND(H84="Full",IFERROR(INDEX('Evidence Pulls'!$C$6:$C$125,MATCH($J84,'Evidence Pulls'!$A$6:$A$125,0)),"")&lt;&gt;"Artifact",N(O84)&gt;=3,N(IFERROR(INDEX('Evidence Pulls'!$K$6:$K$125,MATCH($J84,'Evidence Pulls'!$A$6:$A$125,0)),""))=0),"Operating claimed with no sample",IF(AND(N(O84)&gt;=3,P84=1),"Operating rests on one individual",IF(AND(L84&lt;&gt;"",N84=""),"Override with no rationale in column N",IF(AND(G84="MANDATORY",N(O84)&lt;3),"SAFETY GATE: below Operating","OK")))))))))</f>
        <v>No evidence pull assigned</v>
      </c>
    </row>
    <row r="85" customFormat="false" ht="15" hidden="false" customHeight="false" outlineLevel="0" collapsed="false">
      <c r="A85" s="14" t="s">
        <v>274</v>
      </c>
      <c r="B85" s="14" t="s">
        <v>177</v>
      </c>
      <c r="C85" s="14" t="s">
        <v>271</v>
      </c>
      <c r="D85" s="14" t="s">
        <v>272</v>
      </c>
      <c r="E85" s="14" t="s">
        <v>145</v>
      </c>
      <c r="F85" s="15"/>
      <c r="G85" s="14"/>
      <c r="H85" s="14" t="s">
        <v>127</v>
      </c>
      <c r="I85" s="14" t="s">
        <v>180</v>
      </c>
      <c r="J85" s="16"/>
      <c r="K85" s="16"/>
      <c r="L85" s="16"/>
      <c r="M85" s="16"/>
      <c r="N85" s="16"/>
      <c r="O85" s="17" t="str">
        <f aca="false">IFERROR(INDEX(Lists!$B$3:$B$7,MATCH(K85,Lists!$A$3:$A$7,0)),"")</f>
        <v/>
      </c>
      <c r="P85" s="17" t="str">
        <f aca="false">IFERROR(INDEX('Evidence Pulls'!$P$6:$P$125,MATCH($J85,'Evidence Pulls'!$A$6:$A$125,0)),"")</f>
        <v/>
      </c>
      <c r="Q85" s="17" t="str">
        <f aca="false">IFERROR(INDEX('Evidence Pulls'!$H$6:$H$125,MATCH($J85,'Evidence Pulls'!$A$6:$A$125,0)),"")</f>
        <v/>
      </c>
      <c r="R85" s="17" t="str">
        <f aca="false">IFERROR(INDEX('Evidence Pulls'!$Q$6:$Q$125,MATCH($J85,'Evidence Pulls'!$A$6:$A$125,0)),"")</f>
        <v/>
      </c>
      <c r="S85" s="17" t="str">
        <f aca="false">IF(L85&lt;&gt;"",L85,IF(K85="","Not assessed",IF(N(O85)&gt;=3,"Demonstrated","Gap - remediate")))</f>
        <v>Not assessed</v>
      </c>
      <c r="T85" s="17" t="str">
        <f aca="false">IF(J85="","No evidence pull assigned",IF(COUNTIF('Evidence Pulls'!$A$6:$A$125,J85)=0,"Pull ID not on Evidence Pulls sheet",IF(K85="","Not graded",IF(AND(G85="MANDATORY",L85="Gap - recommend tailoring"),"INVALID: safety-mandatory, not tailorable",IF(OR(P85="",P85=0),"NO NAMED EXECUTOR",IF(AND(H85="Full",IFERROR(INDEX('Evidence Pulls'!$C$6:$C$125,MATCH($J85,'Evidence Pulls'!$A$6:$A$125,0)),"")&lt;&gt;"Artifact",N(O85)&gt;=3,N(IFERROR(INDEX('Evidence Pulls'!$K$6:$K$125,MATCH($J85,'Evidence Pulls'!$A$6:$A$125,0)),""))=0),"Operating claimed with no sample",IF(AND(N(O85)&gt;=3,P85=1),"Operating rests on one individual",IF(AND(L85&lt;&gt;"",N85=""),"Override with no rationale in column N",IF(AND(G85="MANDATORY",N(O85)&lt;3),"SAFETY GATE: below Operating","OK")))))))))</f>
        <v>No evidence pull assigned</v>
      </c>
    </row>
    <row r="86" customFormat="false" ht="15" hidden="false" customHeight="false" outlineLevel="0" collapsed="false">
      <c r="A86" s="14" t="s">
        <v>275</v>
      </c>
      <c r="B86" s="14" t="s">
        <v>177</v>
      </c>
      <c r="C86" s="14" t="s">
        <v>271</v>
      </c>
      <c r="D86" s="14" t="s">
        <v>272</v>
      </c>
      <c r="E86" s="14" t="s">
        <v>147</v>
      </c>
      <c r="F86" s="15"/>
      <c r="G86" s="14"/>
      <c r="H86" s="14" t="s">
        <v>127</v>
      </c>
      <c r="I86" s="14" t="s">
        <v>180</v>
      </c>
      <c r="J86" s="16"/>
      <c r="K86" s="16"/>
      <c r="L86" s="16"/>
      <c r="M86" s="16"/>
      <c r="N86" s="16"/>
      <c r="O86" s="17" t="str">
        <f aca="false">IFERROR(INDEX(Lists!$B$3:$B$7,MATCH(K86,Lists!$A$3:$A$7,0)),"")</f>
        <v/>
      </c>
      <c r="P86" s="17" t="str">
        <f aca="false">IFERROR(INDEX('Evidence Pulls'!$P$6:$P$125,MATCH($J86,'Evidence Pulls'!$A$6:$A$125,0)),"")</f>
        <v/>
      </c>
      <c r="Q86" s="17" t="str">
        <f aca="false">IFERROR(INDEX('Evidence Pulls'!$H$6:$H$125,MATCH($J86,'Evidence Pulls'!$A$6:$A$125,0)),"")</f>
        <v/>
      </c>
      <c r="R86" s="17" t="str">
        <f aca="false">IFERROR(INDEX('Evidence Pulls'!$Q$6:$Q$125,MATCH($J86,'Evidence Pulls'!$A$6:$A$125,0)),"")</f>
        <v/>
      </c>
      <c r="S86" s="17" t="str">
        <f aca="false">IF(L86&lt;&gt;"",L86,IF(K86="","Not assessed",IF(N(O86)&gt;=3,"Demonstrated","Gap - remediate")))</f>
        <v>Not assessed</v>
      </c>
      <c r="T86" s="17" t="str">
        <f aca="false">IF(J86="","No evidence pull assigned",IF(COUNTIF('Evidence Pulls'!$A$6:$A$125,J86)=0,"Pull ID not on Evidence Pulls sheet",IF(K86="","Not graded",IF(AND(G86="MANDATORY",L86="Gap - recommend tailoring"),"INVALID: safety-mandatory, not tailorable",IF(OR(P86="",P86=0),"NO NAMED EXECUTOR",IF(AND(H86="Full",IFERROR(INDEX('Evidence Pulls'!$C$6:$C$125,MATCH($J86,'Evidence Pulls'!$A$6:$A$125,0)),"")&lt;&gt;"Artifact",N(O86)&gt;=3,N(IFERROR(INDEX('Evidence Pulls'!$K$6:$K$125,MATCH($J86,'Evidence Pulls'!$A$6:$A$125,0)),""))=0),"Operating claimed with no sample",IF(AND(N(O86)&gt;=3,P86=1),"Operating rests on one individual",IF(AND(L86&lt;&gt;"",N86=""),"Override with no rationale in column N",IF(AND(G86="MANDATORY",N(O86)&lt;3),"SAFETY GATE: below Operating","OK")))))))))</f>
        <v>No evidence pull assigned</v>
      </c>
    </row>
    <row r="87" customFormat="false" ht="15" hidden="false" customHeight="false" outlineLevel="0" collapsed="false">
      <c r="A87" s="14" t="s">
        <v>276</v>
      </c>
      <c r="B87" s="14" t="s">
        <v>177</v>
      </c>
      <c r="C87" s="14" t="s">
        <v>271</v>
      </c>
      <c r="D87" s="14" t="s">
        <v>272</v>
      </c>
      <c r="E87" s="14" t="s">
        <v>149</v>
      </c>
      <c r="F87" s="15"/>
      <c r="G87" s="14"/>
      <c r="H87" s="14" t="s">
        <v>127</v>
      </c>
      <c r="I87" s="14" t="s">
        <v>180</v>
      </c>
      <c r="J87" s="16"/>
      <c r="K87" s="16"/>
      <c r="L87" s="16"/>
      <c r="M87" s="16"/>
      <c r="N87" s="16"/>
      <c r="O87" s="17" t="str">
        <f aca="false">IFERROR(INDEX(Lists!$B$3:$B$7,MATCH(K87,Lists!$A$3:$A$7,0)),"")</f>
        <v/>
      </c>
      <c r="P87" s="17" t="str">
        <f aca="false">IFERROR(INDEX('Evidence Pulls'!$P$6:$P$125,MATCH($J87,'Evidence Pulls'!$A$6:$A$125,0)),"")</f>
        <v/>
      </c>
      <c r="Q87" s="17" t="str">
        <f aca="false">IFERROR(INDEX('Evidence Pulls'!$H$6:$H$125,MATCH($J87,'Evidence Pulls'!$A$6:$A$125,0)),"")</f>
        <v/>
      </c>
      <c r="R87" s="17" t="str">
        <f aca="false">IFERROR(INDEX('Evidence Pulls'!$Q$6:$Q$125,MATCH($J87,'Evidence Pulls'!$A$6:$A$125,0)),"")</f>
        <v/>
      </c>
      <c r="S87" s="17" t="str">
        <f aca="false">IF(L87&lt;&gt;"",L87,IF(K87="","Not assessed",IF(N(O87)&gt;=3,"Demonstrated","Gap - remediate")))</f>
        <v>Not assessed</v>
      </c>
      <c r="T87" s="17" t="str">
        <f aca="false">IF(J87="","No evidence pull assigned",IF(COUNTIF('Evidence Pulls'!$A$6:$A$125,J87)=0,"Pull ID not on Evidence Pulls sheet",IF(K87="","Not graded",IF(AND(G87="MANDATORY",L87="Gap - recommend tailoring"),"INVALID: safety-mandatory, not tailorable",IF(OR(P87="",P87=0),"NO NAMED EXECUTOR",IF(AND(H87="Full",IFERROR(INDEX('Evidence Pulls'!$C$6:$C$125,MATCH($J87,'Evidence Pulls'!$A$6:$A$125,0)),"")&lt;&gt;"Artifact",N(O87)&gt;=3,N(IFERROR(INDEX('Evidence Pulls'!$K$6:$K$125,MATCH($J87,'Evidence Pulls'!$A$6:$A$125,0)),""))=0),"Operating claimed with no sample",IF(AND(N(O87)&gt;=3,P87=1),"Operating rests on one individual",IF(AND(L87&lt;&gt;"",N87=""),"Override with no rationale in column N",IF(AND(G87="MANDATORY",N(O87)&lt;3),"SAFETY GATE: below Operating","OK")))))))))</f>
        <v>No evidence pull assigned</v>
      </c>
    </row>
    <row r="88" customFormat="false" ht="15" hidden="false" customHeight="false" outlineLevel="0" collapsed="false">
      <c r="A88" s="18" t="s">
        <v>277</v>
      </c>
      <c r="B88" s="18" t="s">
        <v>177</v>
      </c>
      <c r="C88" s="18" t="s">
        <v>278</v>
      </c>
      <c r="D88" s="18" t="s">
        <v>279</v>
      </c>
      <c r="E88" s="18" t="s">
        <v>126</v>
      </c>
      <c r="F88" s="18"/>
      <c r="G88" s="19" t="s">
        <v>131</v>
      </c>
      <c r="H88" s="19" t="s">
        <v>132</v>
      </c>
      <c r="I88" s="18" t="s">
        <v>180</v>
      </c>
      <c r="J88" s="16"/>
      <c r="K88" s="16"/>
      <c r="L88" s="16"/>
      <c r="M88" s="16"/>
      <c r="N88" s="16"/>
      <c r="O88" s="17" t="str">
        <f aca="false">IFERROR(INDEX(Lists!$B$3:$B$7,MATCH(K88,Lists!$A$3:$A$7,0)),"")</f>
        <v/>
      </c>
      <c r="P88" s="17" t="str">
        <f aca="false">IFERROR(INDEX('Evidence Pulls'!$P$6:$P$125,MATCH($J88,'Evidence Pulls'!$A$6:$A$125,0)),"")</f>
        <v/>
      </c>
      <c r="Q88" s="17" t="str">
        <f aca="false">IFERROR(INDEX('Evidence Pulls'!$H$6:$H$125,MATCH($J88,'Evidence Pulls'!$A$6:$A$125,0)),"")</f>
        <v/>
      </c>
      <c r="R88" s="17" t="str">
        <f aca="false">IFERROR(INDEX('Evidence Pulls'!$Q$6:$Q$125,MATCH($J88,'Evidence Pulls'!$A$6:$A$125,0)),"")</f>
        <v/>
      </c>
      <c r="S88" s="17" t="str">
        <f aca="false">IF(L88&lt;&gt;"",L88,IF(K88="","Not assessed",IF(N(O88)&gt;=3,"Demonstrated","Gap - remediate")))</f>
        <v>Not assessed</v>
      </c>
      <c r="T88" s="17" t="str">
        <f aca="false">IF(J88="","No evidence pull assigned",IF(COUNTIF('Evidence Pulls'!$A$6:$A$125,J88)=0,"Pull ID not on Evidence Pulls sheet",IF(K88="","Not graded",IF(AND(G88="MANDATORY",L88="Gap - recommend tailoring"),"INVALID: safety-mandatory, not tailorable",IF(OR(P88="",P88=0),"NO NAMED EXECUTOR",IF(AND(H88="Full",IFERROR(INDEX('Evidence Pulls'!$C$6:$C$125,MATCH($J88,'Evidence Pulls'!$A$6:$A$125,0)),"")&lt;&gt;"Artifact",N(O88)&gt;=3,N(IFERROR(INDEX('Evidence Pulls'!$K$6:$K$125,MATCH($J88,'Evidence Pulls'!$A$6:$A$125,0)),""))=0),"Operating claimed with no sample",IF(AND(N(O88)&gt;=3,P88=1),"Operating rests on one individual",IF(AND(L88&lt;&gt;"",N88=""),"Override with no rationale in column N",IF(AND(G88="MANDATORY",N(O88)&lt;3),"SAFETY GATE: below Operating","OK")))))))))</f>
        <v>No evidence pull assigned</v>
      </c>
    </row>
    <row r="89" customFormat="false" ht="15" hidden="false" customHeight="false" outlineLevel="0" collapsed="false">
      <c r="A89" s="18" t="s">
        <v>280</v>
      </c>
      <c r="B89" s="18" t="s">
        <v>177</v>
      </c>
      <c r="C89" s="18" t="s">
        <v>278</v>
      </c>
      <c r="D89" s="18" t="s">
        <v>279</v>
      </c>
      <c r="E89" s="18" t="s">
        <v>130</v>
      </c>
      <c r="F89" s="18"/>
      <c r="G89" s="19" t="s">
        <v>131</v>
      </c>
      <c r="H89" s="19" t="s">
        <v>132</v>
      </c>
      <c r="I89" s="18" t="s">
        <v>180</v>
      </c>
      <c r="J89" s="16"/>
      <c r="K89" s="16"/>
      <c r="L89" s="16"/>
      <c r="M89" s="16"/>
      <c r="N89" s="16"/>
      <c r="O89" s="17" t="str">
        <f aca="false">IFERROR(INDEX(Lists!$B$3:$B$7,MATCH(K89,Lists!$A$3:$A$7,0)),"")</f>
        <v/>
      </c>
      <c r="P89" s="17" t="str">
        <f aca="false">IFERROR(INDEX('Evidence Pulls'!$P$6:$P$125,MATCH($J89,'Evidence Pulls'!$A$6:$A$125,0)),"")</f>
        <v/>
      </c>
      <c r="Q89" s="17" t="str">
        <f aca="false">IFERROR(INDEX('Evidence Pulls'!$H$6:$H$125,MATCH($J89,'Evidence Pulls'!$A$6:$A$125,0)),"")</f>
        <v/>
      </c>
      <c r="R89" s="17" t="str">
        <f aca="false">IFERROR(INDEX('Evidence Pulls'!$Q$6:$Q$125,MATCH($J89,'Evidence Pulls'!$A$6:$A$125,0)),"")</f>
        <v/>
      </c>
      <c r="S89" s="17" t="str">
        <f aca="false">IF(L89&lt;&gt;"",L89,IF(K89="","Not assessed",IF(N(O89)&gt;=3,"Demonstrated","Gap - remediate")))</f>
        <v>Not assessed</v>
      </c>
      <c r="T89" s="17" t="str">
        <f aca="false">IF(J89="","No evidence pull assigned",IF(COUNTIF('Evidence Pulls'!$A$6:$A$125,J89)=0,"Pull ID not on Evidence Pulls sheet",IF(K89="","Not graded",IF(AND(G89="MANDATORY",L89="Gap - recommend tailoring"),"INVALID: safety-mandatory, not tailorable",IF(OR(P89="",P89=0),"NO NAMED EXECUTOR",IF(AND(H89="Full",IFERROR(INDEX('Evidence Pulls'!$C$6:$C$125,MATCH($J89,'Evidence Pulls'!$A$6:$A$125,0)),"")&lt;&gt;"Artifact",N(O89)&gt;=3,N(IFERROR(INDEX('Evidence Pulls'!$K$6:$K$125,MATCH($J89,'Evidence Pulls'!$A$6:$A$125,0)),""))=0),"Operating claimed with no sample",IF(AND(N(O89)&gt;=3,P89=1),"Operating rests on one individual",IF(AND(L89&lt;&gt;"",N89=""),"Override with no rationale in column N",IF(AND(G89="MANDATORY",N(O89)&lt;3),"SAFETY GATE: below Operating","OK")))))))))</f>
        <v>No evidence pull assigned</v>
      </c>
    </row>
    <row r="90" customFormat="false" ht="15" hidden="false" customHeight="false" outlineLevel="0" collapsed="false">
      <c r="A90" s="18" t="s">
        <v>281</v>
      </c>
      <c r="B90" s="18" t="s">
        <v>177</v>
      </c>
      <c r="C90" s="18" t="s">
        <v>278</v>
      </c>
      <c r="D90" s="18" t="s">
        <v>279</v>
      </c>
      <c r="E90" s="18" t="s">
        <v>134</v>
      </c>
      <c r="F90" s="18"/>
      <c r="G90" s="19" t="s">
        <v>131</v>
      </c>
      <c r="H90" s="19" t="s">
        <v>132</v>
      </c>
      <c r="I90" s="18" t="s">
        <v>180</v>
      </c>
      <c r="J90" s="16"/>
      <c r="K90" s="16"/>
      <c r="L90" s="16"/>
      <c r="M90" s="16"/>
      <c r="N90" s="16"/>
      <c r="O90" s="17" t="str">
        <f aca="false">IFERROR(INDEX(Lists!$B$3:$B$7,MATCH(K90,Lists!$A$3:$A$7,0)),"")</f>
        <v/>
      </c>
      <c r="P90" s="17" t="str">
        <f aca="false">IFERROR(INDEX('Evidence Pulls'!$P$6:$P$125,MATCH($J90,'Evidence Pulls'!$A$6:$A$125,0)),"")</f>
        <v/>
      </c>
      <c r="Q90" s="17" t="str">
        <f aca="false">IFERROR(INDEX('Evidence Pulls'!$H$6:$H$125,MATCH($J90,'Evidence Pulls'!$A$6:$A$125,0)),"")</f>
        <v/>
      </c>
      <c r="R90" s="17" t="str">
        <f aca="false">IFERROR(INDEX('Evidence Pulls'!$Q$6:$Q$125,MATCH($J90,'Evidence Pulls'!$A$6:$A$125,0)),"")</f>
        <v/>
      </c>
      <c r="S90" s="17" t="str">
        <f aca="false">IF(L90&lt;&gt;"",L90,IF(K90="","Not assessed",IF(N(O90)&gt;=3,"Demonstrated","Gap - remediate")))</f>
        <v>Not assessed</v>
      </c>
      <c r="T90" s="17" t="str">
        <f aca="false">IF(J90="","No evidence pull assigned",IF(COUNTIF('Evidence Pulls'!$A$6:$A$125,J90)=0,"Pull ID not on Evidence Pulls sheet",IF(K90="","Not graded",IF(AND(G90="MANDATORY",L90="Gap - recommend tailoring"),"INVALID: safety-mandatory, not tailorable",IF(OR(P90="",P90=0),"NO NAMED EXECUTOR",IF(AND(H90="Full",IFERROR(INDEX('Evidence Pulls'!$C$6:$C$125,MATCH($J90,'Evidence Pulls'!$A$6:$A$125,0)),"")&lt;&gt;"Artifact",N(O90)&gt;=3,N(IFERROR(INDEX('Evidence Pulls'!$K$6:$K$125,MATCH($J90,'Evidence Pulls'!$A$6:$A$125,0)),""))=0),"Operating claimed with no sample",IF(AND(N(O90)&gt;=3,P90=1),"Operating rests on one individual",IF(AND(L90&lt;&gt;"",N90=""),"Override with no rationale in column N",IF(AND(G90="MANDATORY",N(O90)&lt;3),"SAFETY GATE: below Operating","OK")))))))))</f>
        <v>No evidence pull assigned</v>
      </c>
    </row>
    <row r="91" customFormat="false" ht="15" hidden="false" customHeight="false" outlineLevel="0" collapsed="false">
      <c r="A91" s="14" t="s">
        <v>282</v>
      </c>
      <c r="B91" s="14" t="s">
        <v>177</v>
      </c>
      <c r="C91" s="14" t="s">
        <v>278</v>
      </c>
      <c r="D91" s="14" t="s">
        <v>279</v>
      </c>
      <c r="E91" s="14" t="s">
        <v>136</v>
      </c>
      <c r="F91" s="15"/>
      <c r="G91" s="14"/>
      <c r="H91" s="14" t="s">
        <v>127</v>
      </c>
      <c r="I91" s="14" t="s">
        <v>180</v>
      </c>
      <c r="J91" s="16"/>
      <c r="K91" s="16"/>
      <c r="L91" s="16"/>
      <c r="M91" s="16"/>
      <c r="N91" s="16"/>
      <c r="O91" s="17" t="str">
        <f aca="false">IFERROR(INDEX(Lists!$B$3:$B$7,MATCH(K91,Lists!$A$3:$A$7,0)),"")</f>
        <v/>
      </c>
      <c r="P91" s="17" t="str">
        <f aca="false">IFERROR(INDEX('Evidence Pulls'!$P$6:$P$125,MATCH($J91,'Evidence Pulls'!$A$6:$A$125,0)),"")</f>
        <v/>
      </c>
      <c r="Q91" s="17" t="str">
        <f aca="false">IFERROR(INDEX('Evidence Pulls'!$H$6:$H$125,MATCH($J91,'Evidence Pulls'!$A$6:$A$125,0)),"")</f>
        <v/>
      </c>
      <c r="R91" s="17" t="str">
        <f aca="false">IFERROR(INDEX('Evidence Pulls'!$Q$6:$Q$125,MATCH($J91,'Evidence Pulls'!$A$6:$A$125,0)),"")</f>
        <v/>
      </c>
      <c r="S91" s="17" t="str">
        <f aca="false">IF(L91&lt;&gt;"",L91,IF(K91="","Not assessed",IF(N(O91)&gt;=3,"Demonstrated","Gap - remediate")))</f>
        <v>Not assessed</v>
      </c>
      <c r="T91" s="17" t="str">
        <f aca="false">IF(J91="","No evidence pull assigned",IF(COUNTIF('Evidence Pulls'!$A$6:$A$125,J91)=0,"Pull ID not on Evidence Pulls sheet",IF(K91="","Not graded",IF(AND(G91="MANDATORY",L91="Gap - recommend tailoring"),"INVALID: safety-mandatory, not tailorable",IF(OR(P91="",P91=0),"NO NAMED EXECUTOR",IF(AND(H91="Full",IFERROR(INDEX('Evidence Pulls'!$C$6:$C$125,MATCH($J91,'Evidence Pulls'!$A$6:$A$125,0)),"")&lt;&gt;"Artifact",N(O91)&gt;=3,N(IFERROR(INDEX('Evidence Pulls'!$K$6:$K$125,MATCH($J91,'Evidence Pulls'!$A$6:$A$125,0)),""))=0),"Operating claimed with no sample",IF(AND(N(O91)&gt;=3,P91=1),"Operating rests on one individual",IF(AND(L91&lt;&gt;"",N91=""),"Override with no rationale in column N",IF(AND(G91="MANDATORY",N(O91)&lt;3),"SAFETY GATE: below Operating","OK")))))))))</f>
        <v>No evidence pull assigned</v>
      </c>
    </row>
    <row r="92" customFormat="false" ht="22.35" hidden="false" customHeight="false" outlineLevel="0" collapsed="false">
      <c r="A92" s="18" t="s">
        <v>283</v>
      </c>
      <c r="B92" s="18" t="s">
        <v>177</v>
      </c>
      <c r="C92" s="18" t="s">
        <v>284</v>
      </c>
      <c r="D92" s="18" t="s">
        <v>285</v>
      </c>
      <c r="E92" s="18" t="s">
        <v>126</v>
      </c>
      <c r="F92" s="18"/>
      <c r="G92" s="19" t="s">
        <v>131</v>
      </c>
      <c r="H92" s="19" t="s">
        <v>132</v>
      </c>
      <c r="I92" s="18" t="s">
        <v>180</v>
      </c>
      <c r="J92" s="16"/>
      <c r="K92" s="16"/>
      <c r="L92" s="16"/>
      <c r="M92" s="16"/>
      <c r="N92" s="16"/>
      <c r="O92" s="17" t="str">
        <f aca="false">IFERROR(INDEX(Lists!$B$3:$B$7,MATCH(K92,Lists!$A$3:$A$7,0)),"")</f>
        <v/>
      </c>
      <c r="P92" s="17" t="str">
        <f aca="false">IFERROR(INDEX('Evidence Pulls'!$P$6:$P$125,MATCH($J92,'Evidence Pulls'!$A$6:$A$125,0)),"")</f>
        <v/>
      </c>
      <c r="Q92" s="17" t="str">
        <f aca="false">IFERROR(INDEX('Evidence Pulls'!$H$6:$H$125,MATCH($J92,'Evidence Pulls'!$A$6:$A$125,0)),"")</f>
        <v/>
      </c>
      <c r="R92" s="17" t="str">
        <f aca="false">IFERROR(INDEX('Evidence Pulls'!$Q$6:$Q$125,MATCH($J92,'Evidence Pulls'!$A$6:$A$125,0)),"")</f>
        <v/>
      </c>
      <c r="S92" s="17" t="str">
        <f aca="false">IF(L92&lt;&gt;"",L92,IF(K92="","Not assessed",IF(N(O92)&gt;=3,"Demonstrated","Gap - remediate")))</f>
        <v>Not assessed</v>
      </c>
      <c r="T92" s="17" t="str">
        <f aca="false">IF(J92="","No evidence pull assigned",IF(COUNTIF('Evidence Pulls'!$A$6:$A$125,J92)=0,"Pull ID not on Evidence Pulls sheet",IF(K92="","Not graded",IF(AND(G92="MANDATORY",L92="Gap - recommend tailoring"),"INVALID: safety-mandatory, not tailorable",IF(OR(P92="",P92=0),"NO NAMED EXECUTOR",IF(AND(H92="Full",IFERROR(INDEX('Evidence Pulls'!$C$6:$C$125,MATCH($J92,'Evidence Pulls'!$A$6:$A$125,0)),"")&lt;&gt;"Artifact",N(O92)&gt;=3,N(IFERROR(INDEX('Evidence Pulls'!$K$6:$K$125,MATCH($J92,'Evidence Pulls'!$A$6:$A$125,0)),""))=0),"Operating claimed with no sample",IF(AND(N(O92)&gt;=3,P92=1),"Operating rests on one individual",IF(AND(L92&lt;&gt;"",N92=""),"Override with no rationale in column N",IF(AND(G92="MANDATORY",N(O92)&lt;3),"SAFETY GATE: below Operating","OK")))))))))</f>
        <v>No evidence pull assigned</v>
      </c>
    </row>
    <row r="93" customFormat="false" ht="22.35" hidden="false" customHeight="false" outlineLevel="0" collapsed="false">
      <c r="A93" s="14" t="s">
        <v>286</v>
      </c>
      <c r="B93" s="14" t="s">
        <v>177</v>
      </c>
      <c r="C93" s="14" t="s">
        <v>284</v>
      </c>
      <c r="D93" s="14" t="s">
        <v>285</v>
      </c>
      <c r="E93" s="14" t="s">
        <v>182</v>
      </c>
      <c r="F93" s="15"/>
      <c r="G93" s="14"/>
      <c r="H93" s="14" t="s">
        <v>127</v>
      </c>
      <c r="I93" s="14" t="s">
        <v>180</v>
      </c>
      <c r="J93" s="16"/>
      <c r="K93" s="16"/>
      <c r="L93" s="16"/>
      <c r="M93" s="16"/>
      <c r="N93" s="16"/>
      <c r="O93" s="17" t="str">
        <f aca="false">IFERROR(INDEX(Lists!$B$3:$B$7,MATCH(K93,Lists!$A$3:$A$7,0)),"")</f>
        <v/>
      </c>
      <c r="P93" s="17" t="str">
        <f aca="false">IFERROR(INDEX('Evidence Pulls'!$P$6:$P$125,MATCH($J93,'Evidence Pulls'!$A$6:$A$125,0)),"")</f>
        <v/>
      </c>
      <c r="Q93" s="17" t="str">
        <f aca="false">IFERROR(INDEX('Evidence Pulls'!$H$6:$H$125,MATCH($J93,'Evidence Pulls'!$A$6:$A$125,0)),"")</f>
        <v/>
      </c>
      <c r="R93" s="17" t="str">
        <f aca="false">IFERROR(INDEX('Evidence Pulls'!$Q$6:$Q$125,MATCH($J93,'Evidence Pulls'!$A$6:$A$125,0)),"")</f>
        <v/>
      </c>
      <c r="S93" s="17" t="str">
        <f aca="false">IF(L93&lt;&gt;"",L93,IF(K93="","Not assessed",IF(N(O93)&gt;=3,"Demonstrated","Gap - remediate")))</f>
        <v>Not assessed</v>
      </c>
      <c r="T93" s="17" t="str">
        <f aca="false">IF(J93="","No evidence pull assigned",IF(COUNTIF('Evidence Pulls'!$A$6:$A$125,J93)=0,"Pull ID not on Evidence Pulls sheet",IF(K93="","Not graded",IF(AND(G93="MANDATORY",L93="Gap - recommend tailoring"),"INVALID: safety-mandatory, not tailorable",IF(OR(P93="",P93=0),"NO NAMED EXECUTOR",IF(AND(H93="Full",IFERROR(INDEX('Evidence Pulls'!$C$6:$C$125,MATCH($J93,'Evidence Pulls'!$A$6:$A$125,0)),"")&lt;&gt;"Artifact",N(O93)&gt;=3,N(IFERROR(INDEX('Evidence Pulls'!$K$6:$K$125,MATCH($J93,'Evidence Pulls'!$A$6:$A$125,0)),""))=0),"Operating claimed with no sample",IF(AND(N(O93)&gt;=3,P93=1),"Operating rests on one individual",IF(AND(L93&lt;&gt;"",N93=""),"Override with no rationale in column N",IF(AND(G93="MANDATORY",N(O93)&lt;3),"SAFETY GATE: below Operating","OK")))))))))</f>
        <v>No evidence pull assigned</v>
      </c>
    </row>
    <row r="94" customFormat="false" ht="22.35" hidden="false" customHeight="false" outlineLevel="0" collapsed="false">
      <c r="A94" s="14" t="s">
        <v>287</v>
      </c>
      <c r="B94" s="14" t="s">
        <v>177</v>
      </c>
      <c r="C94" s="14" t="s">
        <v>284</v>
      </c>
      <c r="D94" s="14" t="s">
        <v>285</v>
      </c>
      <c r="E94" s="14" t="s">
        <v>184</v>
      </c>
      <c r="F94" s="15"/>
      <c r="G94" s="14"/>
      <c r="H94" s="14" t="s">
        <v>127</v>
      </c>
      <c r="I94" s="14" t="s">
        <v>180</v>
      </c>
      <c r="J94" s="16"/>
      <c r="K94" s="16"/>
      <c r="L94" s="16"/>
      <c r="M94" s="16"/>
      <c r="N94" s="16"/>
      <c r="O94" s="17" t="str">
        <f aca="false">IFERROR(INDEX(Lists!$B$3:$B$7,MATCH(K94,Lists!$A$3:$A$7,0)),"")</f>
        <v/>
      </c>
      <c r="P94" s="17" t="str">
        <f aca="false">IFERROR(INDEX('Evidence Pulls'!$P$6:$P$125,MATCH($J94,'Evidence Pulls'!$A$6:$A$125,0)),"")</f>
        <v/>
      </c>
      <c r="Q94" s="17" t="str">
        <f aca="false">IFERROR(INDEX('Evidence Pulls'!$H$6:$H$125,MATCH($J94,'Evidence Pulls'!$A$6:$A$125,0)),"")</f>
        <v/>
      </c>
      <c r="R94" s="17" t="str">
        <f aca="false">IFERROR(INDEX('Evidence Pulls'!$Q$6:$Q$125,MATCH($J94,'Evidence Pulls'!$A$6:$A$125,0)),"")</f>
        <v/>
      </c>
      <c r="S94" s="17" t="str">
        <f aca="false">IF(L94&lt;&gt;"",L94,IF(K94="","Not assessed",IF(N(O94)&gt;=3,"Demonstrated","Gap - remediate")))</f>
        <v>Not assessed</v>
      </c>
      <c r="T94" s="17" t="str">
        <f aca="false">IF(J94="","No evidence pull assigned",IF(COUNTIF('Evidence Pulls'!$A$6:$A$125,J94)=0,"Pull ID not on Evidence Pulls sheet",IF(K94="","Not graded",IF(AND(G94="MANDATORY",L94="Gap - recommend tailoring"),"INVALID: safety-mandatory, not tailorable",IF(OR(P94="",P94=0),"NO NAMED EXECUTOR",IF(AND(H94="Full",IFERROR(INDEX('Evidence Pulls'!$C$6:$C$125,MATCH($J94,'Evidence Pulls'!$A$6:$A$125,0)),"")&lt;&gt;"Artifact",N(O94)&gt;=3,N(IFERROR(INDEX('Evidence Pulls'!$K$6:$K$125,MATCH($J94,'Evidence Pulls'!$A$6:$A$125,0)),""))=0),"Operating claimed with no sample",IF(AND(N(O94)&gt;=3,P94=1),"Operating rests on one individual",IF(AND(L94&lt;&gt;"",N94=""),"Override with no rationale in column N",IF(AND(G94="MANDATORY",N(O94)&lt;3),"SAFETY GATE: below Operating","OK")))))))))</f>
        <v>No evidence pull assigned</v>
      </c>
    </row>
    <row r="95" customFormat="false" ht="22.35" hidden="false" customHeight="false" outlineLevel="0" collapsed="false">
      <c r="A95" s="14" t="s">
        <v>288</v>
      </c>
      <c r="B95" s="14" t="s">
        <v>177</v>
      </c>
      <c r="C95" s="14" t="s">
        <v>284</v>
      </c>
      <c r="D95" s="14" t="s">
        <v>285</v>
      </c>
      <c r="E95" s="14" t="s">
        <v>186</v>
      </c>
      <c r="F95" s="15"/>
      <c r="G95" s="14"/>
      <c r="H95" s="14" t="s">
        <v>127</v>
      </c>
      <c r="I95" s="14" t="s">
        <v>180</v>
      </c>
      <c r="J95" s="16"/>
      <c r="K95" s="16"/>
      <c r="L95" s="16"/>
      <c r="M95" s="16"/>
      <c r="N95" s="16"/>
      <c r="O95" s="17" t="str">
        <f aca="false">IFERROR(INDEX(Lists!$B$3:$B$7,MATCH(K95,Lists!$A$3:$A$7,0)),"")</f>
        <v/>
      </c>
      <c r="P95" s="17" t="str">
        <f aca="false">IFERROR(INDEX('Evidence Pulls'!$P$6:$P$125,MATCH($J95,'Evidence Pulls'!$A$6:$A$125,0)),"")</f>
        <v/>
      </c>
      <c r="Q95" s="17" t="str">
        <f aca="false">IFERROR(INDEX('Evidence Pulls'!$H$6:$H$125,MATCH($J95,'Evidence Pulls'!$A$6:$A$125,0)),"")</f>
        <v/>
      </c>
      <c r="R95" s="17" t="str">
        <f aca="false">IFERROR(INDEX('Evidence Pulls'!$Q$6:$Q$125,MATCH($J95,'Evidence Pulls'!$A$6:$A$125,0)),"")</f>
        <v/>
      </c>
      <c r="S95" s="17" t="str">
        <f aca="false">IF(L95&lt;&gt;"",L95,IF(K95="","Not assessed",IF(N(O95)&gt;=3,"Demonstrated","Gap - remediate")))</f>
        <v>Not assessed</v>
      </c>
      <c r="T95" s="17" t="str">
        <f aca="false">IF(J95="","No evidence pull assigned",IF(COUNTIF('Evidence Pulls'!$A$6:$A$125,J95)=0,"Pull ID not on Evidence Pulls sheet",IF(K95="","Not graded",IF(AND(G95="MANDATORY",L95="Gap - recommend tailoring"),"INVALID: safety-mandatory, not tailorable",IF(OR(P95="",P95=0),"NO NAMED EXECUTOR",IF(AND(H95="Full",IFERROR(INDEX('Evidence Pulls'!$C$6:$C$125,MATCH($J95,'Evidence Pulls'!$A$6:$A$125,0)),"")&lt;&gt;"Artifact",N(O95)&gt;=3,N(IFERROR(INDEX('Evidence Pulls'!$K$6:$K$125,MATCH($J95,'Evidence Pulls'!$A$6:$A$125,0)),""))=0),"Operating claimed with no sample",IF(AND(N(O95)&gt;=3,P95=1),"Operating rests on one individual",IF(AND(L95&lt;&gt;"",N95=""),"Override with no rationale in column N",IF(AND(G95="MANDATORY",N(O95)&lt;3),"SAFETY GATE: below Operating","OK")))))))))</f>
        <v>No evidence pull assigned</v>
      </c>
    </row>
    <row r="96" customFormat="false" ht="22.35" hidden="false" customHeight="false" outlineLevel="0" collapsed="false">
      <c r="A96" s="14" t="s">
        <v>289</v>
      </c>
      <c r="B96" s="14" t="s">
        <v>177</v>
      </c>
      <c r="C96" s="14" t="s">
        <v>284</v>
      </c>
      <c r="D96" s="14" t="s">
        <v>285</v>
      </c>
      <c r="E96" s="14" t="s">
        <v>188</v>
      </c>
      <c r="F96" s="15"/>
      <c r="G96" s="14"/>
      <c r="H96" s="14" t="s">
        <v>127</v>
      </c>
      <c r="I96" s="14" t="s">
        <v>180</v>
      </c>
      <c r="J96" s="16"/>
      <c r="K96" s="16"/>
      <c r="L96" s="16"/>
      <c r="M96" s="16"/>
      <c r="N96" s="16"/>
      <c r="O96" s="17" t="str">
        <f aca="false">IFERROR(INDEX(Lists!$B$3:$B$7,MATCH(K96,Lists!$A$3:$A$7,0)),"")</f>
        <v/>
      </c>
      <c r="P96" s="17" t="str">
        <f aca="false">IFERROR(INDEX('Evidence Pulls'!$P$6:$P$125,MATCH($J96,'Evidence Pulls'!$A$6:$A$125,0)),"")</f>
        <v/>
      </c>
      <c r="Q96" s="17" t="str">
        <f aca="false">IFERROR(INDEX('Evidence Pulls'!$H$6:$H$125,MATCH($J96,'Evidence Pulls'!$A$6:$A$125,0)),"")</f>
        <v/>
      </c>
      <c r="R96" s="17" t="str">
        <f aca="false">IFERROR(INDEX('Evidence Pulls'!$Q$6:$Q$125,MATCH($J96,'Evidence Pulls'!$A$6:$A$125,0)),"")</f>
        <v/>
      </c>
      <c r="S96" s="17" t="str">
        <f aca="false">IF(L96&lt;&gt;"",L96,IF(K96="","Not assessed",IF(N(O96)&gt;=3,"Demonstrated","Gap - remediate")))</f>
        <v>Not assessed</v>
      </c>
      <c r="T96" s="17" t="str">
        <f aca="false">IF(J96="","No evidence pull assigned",IF(COUNTIF('Evidence Pulls'!$A$6:$A$125,J96)=0,"Pull ID not on Evidence Pulls sheet",IF(K96="","Not graded",IF(AND(G96="MANDATORY",L96="Gap - recommend tailoring"),"INVALID: safety-mandatory, not tailorable",IF(OR(P96="",P96=0),"NO NAMED EXECUTOR",IF(AND(H96="Full",IFERROR(INDEX('Evidence Pulls'!$C$6:$C$125,MATCH($J96,'Evidence Pulls'!$A$6:$A$125,0)),"")&lt;&gt;"Artifact",N(O96)&gt;=3,N(IFERROR(INDEX('Evidence Pulls'!$K$6:$K$125,MATCH($J96,'Evidence Pulls'!$A$6:$A$125,0)),""))=0),"Operating claimed with no sample",IF(AND(N(O96)&gt;=3,P96=1),"Operating rests on one individual",IF(AND(L96&lt;&gt;"",N96=""),"Override with no rationale in column N",IF(AND(G96="MANDATORY",N(O96)&lt;3),"SAFETY GATE: below Operating","OK")))))))))</f>
        <v>No evidence pull assigned</v>
      </c>
    </row>
    <row r="97" customFormat="false" ht="22.35" hidden="false" customHeight="false" outlineLevel="0" collapsed="false">
      <c r="A97" s="18" t="s">
        <v>290</v>
      </c>
      <c r="B97" s="18" t="s">
        <v>291</v>
      </c>
      <c r="C97" s="18" t="s">
        <v>292</v>
      </c>
      <c r="D97" s="18" t="s">
        <v>293</v>
      </c>
      <c r="E97" s="18" t="s">
        <v>126</v>
      </c>
      <c r="F97" s="18"/>
      <c r="G97" s="19" t="s">
        <v>131</v>
      </c>
      <c r="H97" s="19" t="s">
        <v>132</v>
      </c>
      <c r="I97" s="18" t="s">
        <v>294</v>
      </c>
      <c r="J97" s="16"/>
      <c r="K97" s="16"/>
      <c r="L97" s="16"/>
      <c r="M97" s="16"/>
      <c r="N97" s="16"/>
      <c r="O97" s="17" t="str">
        <f aca="false">IFERROR(INDEX(Lists!$B$3:$B$7,MATCH(K97,Lists!$A$3:$A$7,0)),"")</f>
        <v/>
      </c>
      <c r="P97" s="17" t="str">
        <f aca="false">IFERROR(INDEX('Evidence Pulls'!$P$6:$P$125,MATCH($J97,'Evidence Pulls'!$A$6:$A$125,0)),"")</f>
        <v/>
      </c>
      <c r="Q97" s="17" t="str">
        <f aca="false">IFERROR(INDEX('Evidence Pulls'!$H$6:$H$125,MATCH($J97,'Evidence Pulls'!$A$6:$A$125,0)),"")</f>
        <v/>
      </c>
      <c r="R97" s="17" t="str">
        <f aca="false">IFERROR(INDEX('Evidence Pulls'!$Q$6:$Q$125,MATCH($J97,'Evidence Pulls'!$A$6:$A$125,0)),"")</f>
        <v/>
      </c>
      <c r="S97" s="17" t="str">
        <f aca="false">IF(L97&lt;&gt;"",L97,IF(K97="","Not assessed",IF(N(O97)&gt;=3,"Demonstrated","Gap - remediate")))</f>
        <v>Not assessed</v>
      </c>
      <c r="T97" s="17" t="str">
        <f aca="false">IF(J97="","No evidence pull assigned",IF(COUNTIF('Evidence Pulls'!$A$6:$A$125,J97)=0,"Pull ID not on Evidence Pulls sheet",IF(K97="","Not graded",IF(AND(G97="MANDATORY",L97="Gap - recommend tailoring"),"INVALID: safety-mandatory, not tailorable",IF(OR(P97="",P97=0),"NO NAMED EXECUTOR",IF(AND(H97="Full",IFERROR(INDEX('Evidence Pulls'!$C$6:$C$125,MATCH($J97,'Evidence Pulls'!$A$6:$A$125,0)),"")&lt;&gt;"Artifact",N(O97)&gt;=3,N(IFERROR(INDEX('Evidence Pulls'!$K$6:$K$125,MATCH($J97,'Evidence Pulls'!$A$6:$A$125,0)),""))=0),"Operating claimed with no sample",IF(AND(N(O97)&gt;=3,P97=1),"Operating rests on one individual",IF(AND(L97&lt;&gt;"",N97=""),"Override with no rationale in column N",IF(AND(G97="MANDATORY",N(O97)&lt;3),"SAFETY GATE: below Operating","OK")))))))))</f>
        <v>No evidence pull assigned</v>
      </c>
    </row>
    <row r="98" customFormat="false" ht="22.35" hidden="false" customHeight="false" outlineLevel="0" collapsed="false">
      <c r="A98" s="14" t="s">
        <v>295</v>
      </c>
      <c r="B98" s="14" t="s">
        <v>291</v>
      </c>
      <c r="C98" s="14" t="s">
        <v>292</v>
      </c>
      <c r="D98" s="14" t="s">
        <v>293</v>
      </c>
      <c r="E98" s="14" t="s">
        <v>182</v>
      </c>
      <c r="F98" s="15"/>
      <c r="G98" s="14"/>
      <c r="H98" s="14" t="s">
        <v>127</v>
      </c>
      <c r="I98" s="14" t="s">
        <v>294</v>
      </c>
      <c r="J98" s="16"/>
      <c r="K98" s="16"/>
      <c r="L98" s="16"/>
      <c r="M98" s="16"/>
      <c r="N98" s="16"/>
      <c r="O98" s="17" t="str">
        <f aca="false">IFERROR(INDEX(Lists!$B$3:$B$7,MATCH(K98,Lists!$A$3:$A$7,0)),"")</f>
        <v/>
      </c>
      <c r="P98" s="17" t="str">
        <f aca="false">IFERROR(INDEX('Evidence Pulls'!$P$6:$P$125,MATCH($J98,'Evidence Pulls'!$A$6:$A$125,0)),"")</f>
        <v/>
      </c>
      <c r="Q98" s="17" t="str">
        <f aca="false">IFERROR(INDEX('Evidence Pulls'!$H$6:$H$125,MATCH($J98,'Evidence Pulls'!$A$6:$A$125,0)),"")</f>
        <v/>
      </c>
      <c r="R98" s="17" t="str">
        <f aca="false">IFERROR(INDEX('Evidence Pulls'!$Q$6:$Q$125,MATCH($J98,'Evidence Pulls'!$A$6:$A$125,0)),"")</f>
        <v/>
      </c>
      <c r="S98" s="17" t="str">
        <f aca="false">IF(L98&lt;&gt;"",L98,IF(K98="","Not assessed",IF(N(O98)&gt;=3,"Demonstrated","Gap - remediate")))</f>
        <v>Not assessed</v>
      </c>
      <c r="T98" s="17" t="str">
        <f aca="false">IF(J98="","No evidence pull assigned",IF(COUNTIF('Evidence Pulls'!$A$6:$A$125,J98)=0,"Pull ID not on Evidence Pulls sheet",IF(K98="","Not graded",IF(AND(G98="MANDATORY",L98="Gap - recommend tailoring"),"INVALID: safety-mandatory, not tailorable",IF(OR(P98="",P98=0),"NO NAMED EXECUTOR",IF(AND(H98="Full",IFERROR(INDEX('Evidence Pulls'!$C$6:$C$125,MATCH($J98,'Evidence Pulls'!$A$6:$A$125,0)),"")&lt;&gt;"Artifact",N(O98)&gt;=3,N(IFERROR(INDEX('Evidence Pulls'!$K$6:$K$125,MATCH($J98,'Evidence Pulls'!$A$6:$A$125,0)),""))=0),"Operating claimed with no sample",IF(AND(N(O98)&gt;=3,P98=1),"Operating rests on one individual",IF(AND(L98&lt;&gt;"",N98=""),"Override with no rationale in column N",IF(AND(G98="MANDATORY",N(O98)&lt;3),"SAFETY GATE: below Operating","OK")))))))))</f>
        <v>No evidence pull assigned</v>
      </c>
    </row>
    <row r="99" customFormat="false" ht="22.35" hidden="false" customHeight="false" outlineLevel="0" collapsed="false">
      <c r="A99" s="14" t="s">
        <v>296</v>
      </c>
      <c r="B99" s="14" t="s">
        <v>291</v>
      </c>
      <c r="C99" s="14" t="s">
        <v>292</v>
      </c>
      <c r="D99" s="14" t="s">
        <v>293</v>
      </c>
      <c r="E99" s="14" t="s">
        <v>184</v>
      </c>
      <c r="F99" s="15"/>
      <c r="G99" s="14"/>
      <c r="H99" s="14" t="s">
        <v>127</v>
      </c>
      <c r="I99" s="14" t="s">
        <v>294</v>
      </c>
      <c r="J99" s="16"/>
      <c r="K99" s="16"/>
      <c r="L99" s="16"/>
      <c r="M99" s="16"/>
      <c r="N99" s="16"/>
      <c r="O99" s="17" t="str">
        <f aca="false">IFERROR(INDEX(Lists!$B$3:$B$7,MATCH(K99,Lists!$A$3:$A$7,0)),"")</f>
        <v/>
      </c>
      <c r="P99" s="17" t="str">
        <f aca="false">IFERROR(INDEX('Evidence Pulls'!$P$6:$P$125,MATCH($J99,'Evidence Pulls'!$A$6:$A$125,0)),"")</f>
        <v/>
      </c>
      <c r="Q99" s="17" t="str">
        <f aca="false">IFERROR(INDEX('Evidence Pulls'!$H$6:$H$125,MATCH($J99,'Evidence Pulls'!$A$6:$A$125,0)),"")</f>
        <v/>
      </c>
      <c r="R99" s="17" t="str">
        <f aca="false">IFERROR(INDEX('Evidence Pulls'!$Q$6:$Q$125,MATCH($J99,'Evidence Pulls'!$A$6:$A$125,0)),"")</f>
        <v/>
      </c>
      <c r="S99" s="17" t="str">
        <f aca="false">IF(L99&lt;&gt;"",L99,IF(K99="","Not assessed",IF(N(O99)&gt;=3,"Demonstrated","Gap - remediate")))</f>
        <v>Not assessed</v>
      </c>
      <c r="T99" s="17" t="str">
        <f aca="false">IF(J99="","No evidence pull assigned",IF(COUNTIF('Evidence Pulls'!$A$6:$A$125,J99)=0,"Pull ID not on Evidence Pulls sheet",IF(K99="","Not graded",IF(AND(G99="MANDATORY",L99="Gap - recommend tailoring"),"INVALID: safety-mandatory, not tailorable",IF(OR(P99="",P99=0),"NO NAMED EXECUTOR",IF(AND(H99="Full",IFERROR(INDEX('Evidence Pulls'!$C$6:$C$125,MATCH($J99,'Evidence Pulls'!$A$6:$A$125,0)),"")&lt;&gt;"Artifact",N(O99)&gt;=3,N(IFERROR(INDEX('Evidence Pulls'!$K$6:$K$125,MATCH($J99,'Evidence Pulls'!$A$6:$A$125,0)),""))=0),"Operating claimed with no sample",IF(AND(N(O99)&gt;=3,P99=1),"Operating rests on one individual",IF(AND(L99&lt;&gt;"",N99=""),"Override with no rationale in column N",IF(AND(G99="MANDATORY",N(O99)&lt;3),"SAFETY GATE: below Operating","OK")))))))))</f>
        <v>No evidence pull assigned</v>
      </c>
    </row>
    <row r="100" customFormat="false" ht="22.35" hidden="false" customHeight="false" outlineLevel="0" collapsed="false">
      <c r="A100" s="18" t="s">
        <v>297</v>
      </c>
      <c r="B100" s="18" t="s">
        <v>291</v>
      </c>
      <c r="C100" s="18" t="s">
        <v>292</v>
      </c>
      <c r="D100" s="18" t="s">
        <v>293</v>
      </c>
      <c r="E100" s="18" t="s">
        <v>186</v>
      </c>
      <c r="F100" s="18"/>
      <c r="G100" s="19" t="s">
        <v>131</v>
      </c>
      <c r="H100" s="19" t="s">
        <v>132</v>
      </c>
      <c r="I100" s="18" t="s">
        <v>294</v>
      </c>
      <c r="J100" s="16"/>
      <c r="K100" s="16"/>
      <c r="L100" s="16"/>
      <c r="M100" s="16"/>
      <c r="N100" s="16"/>
      <c r="O100" s="17" t="str">
        <f aca="false">IFERROR(INDEX(Lists!$B$3:$B$7,MATCH(K100,Lists!$A$3:$A$7,0)),"")</f>
        <v/>
      </c>
      <c r="P100" s="17" t="str">
        <f aca="false">IFERROR(INDEX('Evidence Pulls'!$P$6:$P$125,MATCH($J100,'Evidence Pulls'!$A$6:$A$125,0)),"")</f>
        <v/>
      </c>
      <c r="Q100" s="17" t="str">
        <f aca="false">IFERROR(INDEX('Evidence Pulls'!$H$6:$H$125,MATCH($J100,'Evidence Pulls'!$A$6:$A$125,0)),"")</f>
        <v/>
      </c>
      <c r="R100" s="17" t="str">
        <f aca="false">IFERROR(INDEX('Evidence Pulls'!$Q$6:$Q$125,MATCH($J100,'Evidence Pulls'!$A$6:$A$125,0)),"")</f>
        <v/>
      </c>
      <c r="S100" s="17" t="str">
        <f aca="false">IF(L100&lt;&gt;"",L100,IF(K100="","Not assessed",IF(N(O100)&gt;=3,"Demonstrated","Gap - remediate")))</f>
        <v>Not assessed</v>
      </c>
      <c r="T100" s="17" t="str">
        <f aca="false">IF(J100="","No evidence pull assigned",IF(COUNTIF('Evidence Pulls'!$A$6:$A$125,J100)=0,"Pull ID not on Evidence Pulls sheet",IF(K100="","Not graded",IF(AND(G100="MANDATORY",L100="Gap - recommend tailoring"),"INVALID: safety-mandatory, not tailorable",IF(OR(P100="",P100=0),"NO NAMED EXECUTOR",IF(AND(H100="Full",IFERROR(INDEX('Evidence Pulls'!$C$6:$C$125,MATCH($J100,'Evidence Pulls'!$A$6:$A$125,0)),"")&lt;&gt;"Artifact",N(O100)&gt;=3,N(IFERROR(INDEX('Evidence Pulls'!$K$6:$K$125,MATCH($J100,'Evidence Pulls'!$A$6:$A$125,0)),""))=0),"Operating claimed with no sample",IF(AND(N(O100)&gt;=3,P100=1),"Operating rests on one individual",IF(AND(L100&lt;&gt;"",N100=""),"Override with no rationale in column N",IF(AND(G100="MANDATORY",N(O100)&lt;3),"SAFETY GATE: below Operating","OK")))))))))</f>
        <v>No evidence pull assigned</v>
      </c>
    </row>
    <row r="101" customFormat="false" ht="22.35" hidden="false" customHeight="false" outlineLevel="0" collapsed="false">
      <c r="A101" s="14" t="s">
        <v>298</v>
      </c>
      <c r="B101" s="14" t="s">
        <v>291</v>
      </c>
      <c r="C101" s="14" t="s">
        <v>292</v>
      </c>
      <c r="D101" s="14" t="s">
        <v>293</v>
      </c>
      <c r="E101" s="14" t="s">
        <v>188</v>
      </c>
      <c r="F101" s="15"/>
      <c r="G101" s="14"/>
      <c r="H101" s="14" t="s">
        <v>127</v>
      </c>
      <c r="I101" s="14" t="s">
        <v>294</v>
      </c>
      <c r="J101" s="16"/>
      <c r="K101" s="16"/>
      <c r="L101" s="16"/>
      <c r="M101" s="16"/>
      <c r="N101" s="16"/>
      <c r="O101" s="17" t="str">
        <f aca="false">IFERROR(INDEX(Lists!$B$3:$B$7,MATCH(K101,Lists!$A$3:$A$7,0)),"")</f>
        <v/>
      </c>
      <c r="P101" s="17" t="str">
        <f aca="false">IFERROR(INDEX('Evidence Pulls'!$P$6:$P$125,MATCH($J101,'Evidence Pulls'!$A$6:$A$125,0)),"")</f>
        <v/>
      </c>
      <c r="Q101" s="17" t="str">
        <f aca="false">IFERROR(INDEX('Evidence Pulls'!$H$6:$H$125,MATCH($J101,'Evidence Pulls'!$A$6:$A$125,0)),"")</f>
        <v/>
      </c>
      <c r="R101" s="17" t="str">
        <f aca="false">IFERROR(INDEX('Evidence Pulls'!$Q$6:$Q$125,MATCH($J101,'Evidence Pulls'!$A$6:$A$125,0)),"")</f>
        <v/>
      </c>
      <c r="S101" s="17" t="str">
        <f aca="false">IF(L101&lt;&gt;"",L101,IF(K101="","Not assessed",IF(N(O101)&gt;=3,"Demonstrated","Gap - remediate")))</f>
        <v>Not assessed</v>
      </c>
      <c r="T101" s="17" t="str">
        <f aca="false">IF(J101="","No evidence pull assigned",IF(COUNTIF('Evidence Pulls'!$A$6:$A$125,J101)=0,"Pull ID not on Evidence Pulls sheet",IF(K101="","Not graded",IF(AND(G101="MANDATORY",L101="Gap - recommend tailoring"),"INVALID: safety-mandatory, not tailorable",IF(OR(P101="",P101=0),"NO NAMED EXECUTOR",IF(AND(H101="Full",IFERROR(INDEX('Evidence Pulls'!$C$6:$C$125,MATCH($J101,'Evidence Pulls'!$A$6:$A$125,0)),"")&lt;&gt;"Artifact",N(O101)&gt;=3,N(IFERROR(INDEX('Evidence Pulls'!$K$6:$K$125,MATCH($J101,'Evidence Pulls'!$A$6:$A$125,0)),""))=0),"Operating claimed with no sample",IF(AND(N(O101)&gt;=3,P101=1),"Operating rests on one individual",IF(AND(L101&lt;&gt;"",N101=""),"Override with no rationale in column N",IF(AND(G101="MANDATORY",N(O101)&lt;3),"SAFETY GATE: below Operating","OK")))))))))</f>
        <v>No evidence pull assigned</v>
      </c>
    </row>
    <row r="102" customFormat="false" ht="22.35" hidden="false" customHeight="false" outlineLevel="0" collapsed="false">
      <c r="A102" s="18" t="s">
        <v>299</v>
      </c>
      <c r="B102" s="18" t="s">
        <v>291</v>
      </c>
      <c r="C102" s="18" t="s">
        <v>292</v>
      </c>
      <c r="D102" s="18" t="s">
        <v>293</v>
      </c>
      <c r="E102" s="18" t="s">
        <v>190</v>
      </c>
      <c r="F102" s="18"/>
      <c r="G102" s="19" t="s">
        <v>131</v>
      </c>
      <c r="H102" s="19" t="s">
        <v>132</v>
      </c>
      <c r="I102" s="18" t="s">
        <v>294</v>
      </c>
      <c r="J102" s="16"/>
      <c r="K102" s="16"/>
      <c r="L102" s="16"/>
      <c r="M102" s="16"/>
      <c r="N102" s="16"/>
      <c r="O102" s="17" t="str">
        <f aca="false">IFERROR(INDEX(Lists!$B$3:$B$7,MATCH(K102,Lists!$A$3:$A$7,0)),"")</f>
        <v/>
      </c>
      <c r="P102" s="17" t="str">
        <f aca="false">IFERROR(INDEX('Evidence Pulls'!$P$6:$P$125,MATCH($J102,'Evidence Pulls'!$A$6:$A$125,0)),"")</f>
        <v/>
      </c>
      <c r="Q102" s="17" t="str">
        <f aca="false">IFERROR(INDEX('Evidence Pulls'!$H$6:$H$125,MATCH($J102,'Evidence Pulls'!$A$6:$A$125,0)),"")</f>
        <v/>
      </c>
      <c r="R102" s="17" t="str">
        <f aca="false">IFERROR(INDEX('Evidence Pulls'!$Q$6:$Q$125,MATCH($J102,'Evidence Pulls'!$A$6:$A$125,0)),"")</f>
        <v/>
      </c>
      <c r="S102" s="17" t="str">
        <f aca="false">IF(L102&lt;&gt;"",L102,IF(K102="","Not assessed",IF(N(O102)&gt;=3,"Demonstrated","Gap - remediate")))</f>
        <v>Not assessed</v>
      </c>
      <c r="T102" s="17" t="str">
        <f aca="false">IF(J102="","No evidence pull assigned",IF(COUNTIF('Evidence Pulls'!$A$6:$A$125,J102)=0,"Pull ID not on Evidence Pulls sheet",IF(K102="","Not graded",IF(AND(G102="MANDATORY",L102="Gap - recommend tailoring"),"INVALID: safety-mandatory, not tailorable",IF(OR(P102="",P102=0),"NO NAMED EXECUTOR",IF(AND(H102="Full",IFERROR(INDEX('Evidence Pulls'!$C$6:$C$125,MATCH($J102,'Evidence Pulls'!$A$6:$A$125,0)),"")&lt;&gt;"Artifact",N(O102)&gt;=3,N(IFERROR(INDEX('Evidence Pulls'!$K$6:$K$125,MATCH($J102,'Evidence Pulls'!$A$6:$A$125,0)),""))=0),"Operating claimed with no sample",IF(AND(N(O102)&gt;=3,P102=1),"Operating rests on one individual",IF(AND(L102&lt;&gt;"",N102=""),"Override with no rationale in column N",IF(AND(G102="MANDATORY",N(O102)&lt;3),"SAFETY GATE: below Operating","OK")))))))))</f>
        <v>No evidence pull assigned</v>
      </c>
    </row>
    <row r="103" customFormat="false" ht="22.35" hidden="false" customHeight="false" outlineLevel="0" collapsed="false">
      <c r="A103" s="18" t="s">
        <v>300</v>
      </c>
      <c r="B103" s="18" t="s">
        <v>291</v>
      </c>
      <c r="C103" s="18" t="s">
        <v>292</v>
      </c>
      <c r="D103" s="18" t="s">
        <v>293</v>
      </c>
      <c r="E103" s="18" t="s">
        <v>192</v>
      </c>
      <c r="F103" s="18"/>
      <c r="G103" s="19" t="s">
        <v>131</v>
      </c>
      <c r="H103" s="19" t="s">
        <v>132</v>
      </c>
      <c r="I103" s="18" t="s">
        <v>294</v>
      </c>
      <c r="J103" s="16"/>
      <c r="K103" s="16"/>
      <c r="L103" s="16"/>
      <c r="M103" s="16"/>
      <c r="N103" s="16"/>
      <c r="O103" s="17" t="str">
        <f aca="false">IFERROR(INDEX(Lists!$B$3:$B$7,MATCH(K103,Lists!$A$3:$A$7,0)),"")</f>
        <v/>
      </c>
      <c r="P103" s="17" t="str">
        <f aca="false">IFERROR(INDEX('Evidence Pulls'!$P$6:$P$125,MATCH($J103,'Evidence Pulls'!$A$6:$A$125,0)),"")</f>
        <v/>
      </c>
      <c r="Q103" s="17" t="str">
        <f aca="false">IFERROR(INDEX('Evidence Pulls'!$H$6:$H$125,MATCH($J103,'Evidence Pulls'!$A$6:$A$125,0)),"")</f>
        <v/>
      </c>
      <c r="R103" s="17" t="str">
        <f aca="false">IFERROR(INDEX('Evidence Pulls'!$Q$6:$Q$125,MATCH($J103,'Evidence Pulls'!$A$6:$A$125,0)),"")</f>
        <v/>
      </c>
      <c r="S103" s="17" t="str">
        <f aca="false">IF(L103&lt;&gt;"",L103,IF(K103="","Not assessed",IF(N(O103)&gt;=3,"Demonstrated","Gap - remediate")))</f>
        <v>Not assessed</v>
      </c>
      <c r="T103" s="17" t="str">
        <f aca="false">IF(J103="","No evidence pull assigned",IF(COUNTIF('Evidence Pulls'!$A$6:$A$125,J103)=0,"Pull ID not on Evidence Pulls sheet",IF(K103="","Not graded",IF(AND(G103="MANDATORY",L103="Gap - recommend tailoring"),"INVALID: safety-mandatory, not tailorable",IF(OR(P103="",P103=0),"NO NAMED EXECUTOR",IF(AND(H103="Full",IFERROR(INDEX('Evidence Pulls'!$C$6:$C$125,MATCH($J103,'Evidence Pulls'!$A$6:$A$125,0)),"")&lt;&gt;"Artifact",N(O103)&gt;=3,N(IFERROR(INDEX('Evidence Pulls'!$K$6:$K$125,MATCH($J103,'Evidence Pulls'!$A$6:$A$125,0)),""))=0),"Operating claimed with no sample",IF(AND(N(O103)&gt;=3,P103=1),"Operating rests on one individual",IF(AND(L103&lt;&gt;"",N103=""),"Override with no rationale in column N",IF(AND(G103="MANDATORY",N(O103)&lt;3),"SAFETY GATE: below Operating","OK")))))))))</f>
        <v>No evidence pull assigned</v>
      </c>
    </row>
    <row r="104" customFormat="false" ht="22.35" hidden="false" customHeight="false" outlineLevel="0" collapsed="false">
      <c r="A104" s="14" t="s">
        <v>301</v>
      </c>
      <c r="B104" s="14" t="s">
        <v>291</v>
      </c>
      <c r="C104" s="14" t="s">
        <v>292</v>
      </c>
      <c r="D104" s="14" t="s">
        <v>293</v>
      </c>
      <c r="E104" s="14" t="s">
        <v>194</v>
      </c>
      <c r="F104" s="15"/>
      <c r="G104" s="14"/>
      <c r="H104" s="14" t="s">
        <v>127</v>
      </c>
      <c r="I104" s="14" t="s">
        <v>294</v>
      </c>
      <c r="J104" s="16"/>
      <c r="K104" s="16"/>
      <c r="L104" s="16"/>
      <c r="M104" s="16"/>
      <c r="N104" s="16"/>
      <c r="O104" s="17" t="str">
        <f aca="false">IFERROR(INDEX(Lists!$B$3:$B$7,MATCH(K104,Lists!$A$3:$A$7,0)),"")</f>
        <v/>
      </c>
      <c r="P104" s="17" t="str">
        <f aca="false">IFERROR(INDEX('Evidence Pulls'!$P$6:$P$125,MATCH($J104,'Evidence Pulls'!$A$6:$A$125,0)),"")</f>
        <v/>
      </c>
      <c r="Q104" s="17" t="str">
        <f aca="false">IFERROR(INDEX('Evidence Pulls'!$H$6:$H$125,MATCH($J104,'Evidence Pulls'!$A$6:$A$125,0)),"")</f>
        <v/>
      </c>
      <c r="R104" s="17" t="str">
        <f aca="false">IFERROR(INDEX('Evidence Pulls'!$Q$6:$Q$125,MATCH($J104,'Evidence Pulls'!$A$6:$A$125,0)),"")</f>
        <v/>
      </c>
      <c r="S104" s="17" t="str">
        <f aca="false">IF(L104&lt;&gt;"",L104,IF(K104="","Not assessed",IF(N(O104)&gt;=3,"Demonstrated","Gap - remediate")))</f>
        <v>Not assessed</v>
      </c>
      <c r="T104" s="17" t="str">
        <f aca="false">IF(J104="","No evidence pull assigned",IF(COUNTIF('Evidence Pulls'!$A$6:$A$125,J104)=0,"Pull ID not on Evidence Pulls sheet",IF(K104="","Not graded",IF(AND(G104="MANDATORY",L104="Gap - recommend tailoring"),"INVALID: safety-mandatory, not tailorable",IF(OR(P104="",P104=0),"NO NAMED EXECUTOR",IF(AND(H104="Full",IFERROR(INDEX('Evidence Pulls'!$C$6:$C$125,MATCH($J104,'Evidence Pulls'!$A$6:$A$125,0)),"")&lt;&gt;"Artifact",N(O104)&gt;=3,N(IFERROR(INDEX('Evidence Pulls'!$K$6:$K$125,MATCH($J104,'Evidence Pulls'!$A$6:$A$125,0)),""))=0),"Operating claimed with no sample",IF(AND(N(O104)&gt;=3,P104=1),"Operating rests on one individual",IF(AND(L104&lt;&gt;"",N104=""),"Override with no rationale in column N",IF(AND(G104="MANDATORY",N(O104)&lt;3),"SAFETY GATE: below Operating","OK")))))))))</f>
        <v>No evidence pull assigned</v>
      </c>
    </row>
    <row r="105" customFormat="false" ht="22.35" hidden="false" customHeight="false" outlineLevel="0" collapsed="false">
      <c r="A105" s="18" t="s">
        <v>302</v>
      </c>
      <c r="B105" s="18" t="s">
        <v>291</v>
      </c>
      <c r="C105" s="18" t="s">
        <v>292</v>
      </c>
      <c r="D105" s="18" t="s">
        <v>293</v>
      </c>
      <c r="E105" s="18" t="s">
        <v>134</v>
      </c>
      <c r="F105" s="18"/>
      <c r="G105" s="19" t="s">
        <v>131</v>
      </c>
      <c r="H105" s="19" t="s">
        <v>132</v>
      </c>
      <c r="I105" s="18" t="s">
        <v>294</v>
      </c>
      <c r="J105" s="16"/>
      <c r="K105" s="16"/>
      <c r="L105" s="16"/>
      <c r="M105" s="16"/>
      <c r="N105" s="16"/>
      <c r="O105" s="17" t="str">
        <f aca="false">IFERROR(INDEX(Lists!$B$3:$B$7,MATCH(K105,Lists!$A$3:$A$7,0)),"")</f>
        <v/>
      </c>
      <c r="P105" s="17" t="str">
        <f aca="false">IFERROR(INDEX('Evidence Pulls'!$P$6:$P$125,MATCH($J105,'Evidence Pulls'!$A$6:$A$125,0)),"")</f>
        <v/>
      </c>
      <c r="Q105" s="17" t="str">
        <f aca="false">IFERROR(INDEX('Evidence Pulls'!$H$6:$H$125,MATCH($J105,'Evidence Pulls'!$A$6:$A$125,0)),"")</f>
        <v/>
      </c>
      <c r="R105" s="17" t="str">
        <f aca="false">IFERROR(INDEX('Evidence Pulls'!$Q$6:$Q$125,MATCH($J105,'Evidence Pulls'!$A$6:$A$125,0)),"")</f>
        <v/>
      </c>
      <c r="S105" s="17" t="str">
        <f aca="false">IF(L105&lt;&gt;"",L105,IF(K105="","Not assessed",IF(N(O105)&gt;=3,"Demonstrated","Gap - remediate")))</f>
        <v>Not assessed</v>
      </c>
      <c r="T105" s="17" t="str">
        <f aca="false">IF(J105="","No evidence pull assigned",IF(COUNTIF('Evidence Pulls'!$A$6:$A$125,J105)=0,"Pull ID not on Evidence Pulls sheet",IF(K105="","Not graded",IF(AND(G105="MANDATORY",L105="Gap - recommend tailoring"),"INVALID: safety-mandatory, not tailorable",IF(OR(P105="",P105=0),"NO NAMED EXECUTOR",IF(AND(H105="Full",IFERROR(INDEX('Evidence Pulls'!$C$6:$C$125,MATCH($J105,'Evidence Pulls'!$A$6:$A$125,0)),"")&lt;&gt;"Artifact",N(O105)&gt;=3,N(IFERROR(INDEX('Evidence Pulls'!$K$6:$K$125,MATCH($J105,'Evidence Pulls'!$A$6:$A$125,0)),""))=0),"Operating claimed with no sample",IF(AND(N(O105)&gt;=3,P105=1),"Operating rests on one individual",IF(AND(L105&lt;&gt;"",N105=""),"Override with no rationale in column N",IF(AND(G105="MANDATORY",N(O105)&lt;3),"SAFETY GATE: below Operating","OK")))))))))</f>
        <v>No evidence pull assigned</v>
      </c>
    </row>
    <row r="106" customFormat="false" ht="22.35" hidden="false" customHeight="false" outlineLevel="0" collapsed="false">
      <c r="A106" s="18" t="s">
        <v>303</v>
      </c>
      <c r="B106" s="18" t="s">
        <v>291</v>
      </c>
      <c r="C106" s="18" t="s">
        <v>304</v>
      </c>
      <c r="D106" s="18" t="s">
        <v>305</v>
      </c>
      <c r="E106" s="18" t="s">
        <v>126</v>
      </c>
      <c r="F106" s="18"/>
      <c r="G106" s="19" t="s">
        <v>131</v>
      </c>
      <c r="H106" s="19" t="s">
        <v>132</v>
      </c>
      <c r="I106" s="18" t="s">
        <v>294</v>
      </c>
      <c r="J106" s="16"/>
      <c r="K106" s="16"/>
      <c r="L106" s="16"/>
      <c r="M106" s="16"/>
      <c r="N106" s="16"/>
      <c r="O106" s="17" t="str">
        <f aca="false">IFERROR(INDEX(Lists!$B$3:$B$7,MATCH(K106,Lists!$A$3:$A$7,0)),"")</f>
        <v/>
      </c>
      <c r="P106" s="17" t="str">
        <f aca="false">IFERROR(INDEX('Evidence Pulls'!$P$6:$P$125,MATCH($J106,'Evidence Pulls'!$A$6:$A$125,0)),"")</f>
        <v/>
      </c>
      <c r="Q106" s="17" t="str">
        <f aca="false">IFERROR(INDEX('Evidence Pulls'!$H$6:$H$125,MATCH($J106,'Evidence Pulls'!$A$6:$A$125,0)),"")</f>
        <v/>
      </c>
      <c r="R106" s="17" t="str">
        <f aca="false">IFERROR(INDEX('Evidence Pulls'!$Q$6:$Q$125,MATCH($J106,'Evidence Pulls'!$A$6:$A$125,0)),"")</f>
        <v/>
      </c>
      <c r="S106" s="17" t="str">
        <f aca="false">IF(L106&lt;&gt;"",L106,IF(K106="","Not assessed",IF(N(O106)&gt;=3,"Demonstrated","Gap - remediate")))</f>
        <v>Not assessed</v>
      </c>
      <c r="T106" s="17" t="str">
        <f aca="false">IF(J106="","No evidence pull assigned",IF(COUNTIF('Evidence Pulls'!$A$6:$A$125,J106)=0,"Pull ID not on Evidence Pulls sheet",IF(K106="","Not graded",IF(AND(G106="MANDATORY",L106="Gap - recommend tailoring"),"INVALID: safety-mandatory, not tailorable",IF(OR(P106="",P106=0),"NO NAMED EXECUTOR",IF(AND(H106="Full",IFERROR(INDEX('Evidence Pulls'!$C$6:$C$125,MATCH($J106,'Evidence Pulls'!$A$6:$A$125,0)),"")&lt;&gt;"Artifact",N(O106)&gt;=3,N(IFERROR(INDEX('Evidence Pulls'!$K$6:$K$125,MATCH($J106,'Evidence Pulls'!$A$6:$A$125,0)),""))=0),"Operating claimed with no sample",IF(AND(N(O106)&gt;=3,P106=1),"Operating rests on one individual",IF(AND(L106&lt;&gt;"",N106=""),"Override with no rationale in column N",IF(AND(G106="MANDATORY",N(O106)&lt;3),"SAFETY GATE: below Operating","OK")))))))))</f>
        <v>No evidence pull assigned</v>
      </c>
    </row>
    <row r="107" customFormat="false" ht="22.35" hidden="false" customHeight="false" outlineLevel="0" collapsed="false">
      <c r="A107" s="18" t="s">
        <v>306</v>
      </c>
      <c r="B107" s="18" t="s">
        <v>291</v>
      </c>
      <c r="C107" s="18" t="s">
        <v>307</v>
      </c>
      <c r="D107" s="18" t="s">
        <v>308</v>
      </c>
      <c r="E107" s="18" t="s">
        <v>141</v>
      </c>
      <c r="F107" s="18"/>
      <c r="G107" s="19" t="s">
        <v>131</v>
      </c>
      <c r="H107" s="19" t="s">
        <v>132</v>
      </c>
      <c r="I107" s="18" t="s">
        <v>294</v>
      </c>
      <c r="J107" s="16"/>
      <c r="K107" s="16"/>
      <c r="L107" s="16"/>
      <c r="M107" s="16"/>
      <c r="N107" s="16"/>
      <c r="O107" s="17" t="str">
        <f aca="false">IFERROR(INDEX(Lists!$B$3:$B$7,MATCH(K107,Lists!$A$3:$A$7,0)),"")</f>
        <v/>
      </c>
      <c r="P107" s="17" t="str">
        <f aca="false">IFERROR(INDEX('Evidence Pulls'!$P$6:$P$125,MATCH($J107,'Evidence Pulls'!$A$6:$A$125,0)),"")</f>
        <v/>
      </c>
      <c r="Q107" s="17" t="str">
        <f aca="false">IFERROR(INDEX('Evidence Pulls'!$H$6:$H$125,MATCH($J107,'Evidence Pulls'!$A$6:$A$125,0)),"")</f>
        <v/>
      </c>
      <c r="R107" s="17" t="str">
        <f aca="false">IFERROR(INDEX('Evidence Pulls'!$Q$6:$Q$125,MATCH($J107,'Evidence Pulls'!$A$6:$A$125,0)),"")</f>
        <v/>
      </c>
      <c r="S107" s="17" t="str">
        <f aca="false">IF(L107&lt;&gt;"",L107,IF(K107="","Not assessed",IF(N(O107)&gt;=3,"Demonstrated","Gap - remediate")))</f>
        <v>Not assessed</v>
      </c>
      <c r="T107" s="17" t="str">
        <f aca="false">IF(J107="","No evidence pull assigned",IF(COUNTIF('Evidence Pulls'!$A$6:$A$125,J107)=0,"Pull ID not on Evidence Pulls sheet",IF(K107="","Not graded",IF(AND(G107="MANDATORY",L107="Gap - recommend tailoring"),"INVALID: safety-mandatory, not tailorable",IF(OR(P107="",P107=0),"NO NAMED EXECUTOR",IF(AND(H107="Full",IFERROR(INDEX('Evidence Pulls'!$C$6:$C$125,MATCH($J107,'Evidence Pulls'!$A$6:$A$125,0)),"")&lt;&gt;"Artifact",N(O107)&gt;=3,N(IFERROR(INDEX('Evidence Pulls'!$K$6:$K$125,MATCH($J107,'Evidence Pulls'!$A$6:$A$125,0)),""))=0),"Operating claimed with no sample",IF(AND(N(O107)&gt;=3,P107=1),"Operating rests on one individual",IF(AND(L107&lt;&gt;"",N107=""),"Override with no rationale in column N",IF(AND(G107="MANDATORY",N(O107)&lt;3),"SAFETY GATE: below Operating","OK")))))))))</f>
        <v>No evidence pull assigned</v>
      </c>
    </row>
    <row r="108" customFormat="false" ht="22.35" hidden="false" customHeight="false" outlineLevel="0" collapsed="false">
      <c r="A108" s="14" t="s">
        <v>309</v>
      </c>
      <c r="B108" s="14" t="s">
        <v>291</v>
      </c>
      <c r="C108" s="14" t="s">
        <v>307</v>
      </c>
      <c r="D108" s="14" t="s">
        <v>308</v>
      </c>
      <c r="E108" s="14" t="s">
        <v>143</v>
      </c>
      <c r="F108" s="15"/>
      <c r="G108" s="14"/>
      <c r="H108" s="14" t="s">
        <v>127</v>
      </c>
      <c r="I108" s="14" t="s">
        <v>294</v>
      </c>
      <c r="J108" s="16"/>
      <c r="K108" s="16"/>
      <c r="L108" s="16"/>
      <c r="M108" s="16"/>
      <c r="N108" s="16"/>
      <c r="O108" s="17" t="str">
        <f aca="false">IFERROR(INDEX(Lists!$B$3:$B$7,MATCH(K108,Lists!$A$3:$A$7,0)),"")</f>
        <v/>
      </c>
      <c r="P108" s="17" t="str">
        <f aca="false">IFERROR(INDEX('Evidence Pulls'!$P$6:$P$125,MATCH($J108,'Evidence Pulls'!$A$6:$A$125,0)),"")</f>
        <v/>
      </c>
      <c r="Q108" s="17" t="str">
        <f aca="false">IFERROR(INDEX('Evidence Pulls'!$H$6:$H$125,MATCH($J108,'Evidence Pulls'!$A$6:$A$125,0)),"")</f>
        <v/>
      </c>
      <c r="R108" s="17" t="str">
        <f aca="false">IFERROR(INDEX('Evidence Pulls'!$Q$6:$Q$125,MATCH($J108,'Evidence Pulls'!$A$6:$A$125,0)),"")</f>
        <v/>
      </c>
      <c r="S108" s="17" t="str">
        <f aca="false">IF(L108&lt;&gt;"",L108,IF(K108="","Not assessed",IF(N(O108)&gt;=3,"Demonstrated","Gap - remediate")))</f>
        <v>Not assessed</v>
      </c>
      <c r="T108" s="17" t="str">
        <f aca="false">IF(J108="","No evidence pull assigned",IF(COUNTIF('Evidence Pulls'!$A$6:$A$125,J108)=0,"Pull ID not on Evidence Pulls sheet",IF(K108="","Not graded",IF(AND(G108="MANDATORY",L108="Gap - recommend tailoring"),"INVALID: safety-mandatory, not tailorable",IF(OR(P108="",P108=0),"NO NAMED EXECUTOR",IF(AND(H108="Full",IFERROR(INDEX('Evidence Pulls'!$C$6:$C$125,MATCH($J108,'Evidence Pulls'!$A$6:$A$125,0)),"")&lt;&gt;"Artifact",N(O108)&gt;=3,N(IFERROR(INDEX('Evidence Pulls'!$K$6:$K$125,MATCH($J108,'Evidence Pulls'!$A$6:$A$125,0)),""))=0),"Operating claimed with no sample",IF(AND(N(O108)&gt;=3,P108=1),"Operating rests on one individual",IF(AND(L108&lt;&gt;"",N108=""),"Override with no rationale in column N",IF(AND(G108="MANDATORY",N(O108)&lt;3),"SAFETY GATE: below Operating","OK")))))))))</f>
        <v>No evidence pull assigned</v>
      </c>
    </row>
    <row r="109" customFormat="false" ht="22.35" hidden="false" customHeight="false" outlineLevel="0" collapsed="false">
      <c r="A109" s="18" t="s">
        <v>310</v>
      </c>
      <c r="B109" s="18" t="s">
        <v>291</v>
      </c>
      <c r="C109" s="18" t="s">
        <v>307</v>
      </c>
      <c r="D109" s="18" t="s">
        <v>308</v>
      </c>
      <c r="E109" s="18" t="s">
        <v>145</v>
      </c>
      <c r="F109" s="18"/>
      <c r="G109" s="19" t="s">
        <v>131</v>
      </c>
      <c r="H109" s="19" t="s">
        <v>132</v>
      </c>
      <c r="I109" s="18" t="s">
        <v>294</v>
      </c>
      <c r="J109" s="16"/>
      <c r="K109" s="16"/>
      <c r="L109" s="16"/>
      <c r="M109" s="16"/>
      <c r="N109" s="16"/>
      <c r="O109" s="17" t="str">
        <f aca="false">IFERROR(INDEX(Lists!$B$3:$B$7,MATCH(K109,Lists!$A$3:$A$7,0)),"")</f>
        <v/>
      </c>
      <c r="P109" s="17" t="str">
        <f aca="false">IFERROR(INDEX('Evidence Pulls'!$P$6:$P$125,MATCH($J109,'Evidence Pulls'!$A$6:$A$125,0)),"")</f>
        <v/>
      </c>
      <c r="Q109" s="17" t="str">
        <f aca="false">IFERROR(INDEX('Evidence Pulls'!$H$6:$H$125,MATCH($J109,'Evidence Pulls'!$A$6:$A$125,0)),"")</f>
        <v/>
      </c>
      <c r="R109" s="17" t="str">
        <f aca="false">IFERROR(INDEX('Evidence Pulls'!$Q$6:$Q$125,MATCH($J109,'Evidence Pulls'!$A$6:$A$125,0)),"")</f>
        <v/>
      </c>
      <c r="S109" s="17" t="str">
        <f aca="false">IF(L109&lt;&gt;"",L109,IF(K109="","Not assessed",IF(N(O109)&gt;=3,"Demonstrated","Gap - remediate")))</f>
        <v>Not assessed</v>
      </c>
      <c r="T109" s="17" t="str">
        <f aca="false">IF(J109="","No evidence pull assigned",IF(COUNTIF('Evidence Pulls'!$A$6:$A$125,J109)=0,"Pull ID not on Evidence Pulls sheet",IF(K109="","Not graded",IF(AND(G109="MANDATORY",L109="Gap - recommend tailoring"),"INVALID: safety-mandatory, not tailorable",IF(OR(P109="",P109=0),"NO NAMED EXECUTOR",IF(AND(H109="Full",IFERROR(INDEX('Evidence Pulls'!$C$6:$C$125,MATCH($J109,'Evidence Pulls'!$A$6:$A$125,0)),"")&lt;&gt;"Artifact",N(O109)&gt;=3,N(IFERROR(INDEX('Evidence Pulls'!$K$6:$K$125,MATCH($J109,'Evidence Pulls'!$A$6:$A$125,0)),""))=0),"Operating claimed with no sample",IF(AND(N(O109)&gt;=3,P109=1),"Operating rests on one individual",IF(AND(L109&lt;&gt;"",N109=""),"Override with no rationale in column N",IF(AND(G109="MANDATORY",N(O109)&lt;3),"SAFETY GATE: below Operating","OK")))))))))</f>
        <v>No evidence pull assigned</v>
      </c>
    </row>
    <row r="110" customFormat="false" ht="22.35" hidden="false" customHeight="false" outlineLevel="0" collapsed="false">
      <c r="A110" s="14" t="s">
        <v>311</v>
      </c>
      <c r="B110" s="14" t="s">
        <v>291</v>
      </c>
      <c r="C110" s="14" t="s">
        <v>307</v>
      </c>
      <c r="D110" s="14" t="s">
        <v>308</v>
      </c>
      <c r="E110" s="14" t="s">
        <v>147</v>
      </c>
      <c r="F110" s="15"/>
      <c r="G110" s="14"/>
      <c r="H110" s="14" t="s">
        <v>127</v>
      </c>
      <c r="I110" s="14" t="s">
        <v>294</v>
      </c>
      <c r="J110" s="16"/>
      <c r="K110" s="16"/>
      <c r="L110" s="16"/>
      <c r="M110" s="16"/>
      <c r="N110" s="16"/>
      <c r="O110" s="17" t="str">
        <f aca="false">IFERROR(INDEX(Lists!$B$3:$B$7,MATCH(K110,Lists!$A$3:$A$7,0)),"")</f>
        <v/>
      </c>
      <c r="P110" s="17" t="str">
        <f aca="false">IFERROR(INDEX('Evidence Pulls'!$P$6:$P$125,MATCH($J110,'Evidence Pulls'!$A$6:$A$125,0)),"")</f>
        <v/>
      </c>
      <c r="Q110" s="17" t="str">
        <f aca="false">IFERROR(INDEX('Evidence Pulls'!$H$6:$H$125,MATCH($J110,'Evidence Pulls'!$A$6:$A$125,0)),"")</f>
        <v/>
      </c>
      <c r="R110" s="17" t="str">
        <f aca="false">IFERROR(INDEX('Evidence Pulls'!$Q$6:$Q$125,MATCH($J110,'Evidence Pulls'!$A$6:$A$125,0)),"")</f>
        <v/>
      </c>
      <c r="S110" s="17" t="str">
        <f aca="false">IF(L110&lt;&gt;"",L110,IF(K110="","Not assessed",IF(N(O110)&gt;=3,"Demonstrated","Gap - remediate")))</f>
        <v>Not assessed</v>
      </c>
      <c r="T110" s="17" t="str">
        <f aca="false">IF(J110="","No evidence pull assigned",IF(COUNTIF('Evidence Pulls'!$A$6:$A$125,J110)=0,"Pull ID not on Evidence Pulls sheet",IF(K110="","Not graded",IF(AND(G110="MANDATORY",L110="Gap - recommend tailoring"),"INVALID: safety-mandatory, not tailorable",IF(OR(P110="",P110=0),"NO NAMED EXECUTOR",IF(AND(H110="Full",IFERROR(INDEX('Evidence Pulls'!$C$6:$C$125,MATCH($J110,'Evidence Pulls'!$A$6:$A$125,0)),"")&lt;&gt;"Artifact",N(O110)&gt;=3,N(IFERROR(INDEX('Evidence Pulls'!$K$6:$K$125,MATCH($J110,'Evidence Pulls'!$A$6:$A$125,0)),""))=0),"Operating claimed with no sample",IF(AND(N(O110)&gt;=3,P110=1),"Operating rests on one individual",IF(AND(L110&lt;&gt;"",N110=""),"Override with no rationale in column N",IF(AND(G110="MANDATORY",N(O110)&lt;3),"SAFETY GATE: below Operating","OK")))))))))</f>
        <v>No evidence pull assigned</v>
      </c>
    </row>
    <row r="111" customFormat="false" ht="22.35" hidden="false" customHeight="false" outlineLevel="0" collapsed="false">
      <c r="A111" s="18" t="s">
        <v>312</v>
      </c>
      <c r="B111" s="18" t="s">
        <v>291</v>
      </c>
      <c r="C111" s="18" t="s">
        <v>307</v>
      </c>
      <c r="D111" s="18" t="s">
        <v>308</v>
      </c>
      <c r="E111" s="18" t="s">
        <v>149</v>
      </c>
      <c r="F111" s="18"/>
      <c r="G111" s="19" t="s">
        <v>131</v>
      </c>
      <c r="H111" s="19" t="s">
        <v>132</v>
      </c>
      <c r="I111" s="18" t="s">
        <v>294</v>
      </c>
      <c r="J111" s="16"/>
      <c r="K111" s="16"/>
      <c r="L111" s="16"/>
      <c r="M111" s="16"/>
      <c r="N111" s="16"/>
      <c r="O111" s="17" t="str">
        <f aca="false">IFERROR(INDEX(Lists!$B$3:$B$7,MATCH(K111,Lists!$A$3:$A$7,0)),"")</f>
        <v/>
      </c>
      <c r="P111" s="17" t="str">
        <f aca="false">IFERROR(INDEX('Evidence Pulls'!$P$6:$P$125,MATCH($J111,'Evidence Pulls'!$A$6:$A$125,0)),"")</f>
        <v/>
      </c>
      <c r="Q111" s="17" t="str">
        <f aca="false">IFERROR(INDEX('Evidence Pulls'!$H$6:$H$125,MATCH($J111,'Evidence Pulls'!$A$6:$A$125,0)),"")</f>
        <v/>
      </c>
      <c r="R111" s="17" t="str">
        <f aca="false">IFERROR(INDEX('Evidence Pulls'!$Q$6:$Q$125,MATCH($J111,'Evidence Pulls'!$A$6:$A$125,0)),"")</f>
        <v/>
      </c>
      <c r="S111" s="17" t="str">
        <f aca="false">IF(L111&lt;&gt;"",L111,IF(K111="","Not assessed",IF(N(O111)&gt;=3,"Demonstrated","Gap - remediate")))</f>
        <v>Not assessed</v>
      </c>
      <c r="T111" s="17" t="str">
        <f aca="false">IF(J111="","No evidence pull assigned",IF(COUNTIF('Evidence Pulls'!$A$6:$A$125,J111)=0,"Pull ID not on Evidence Pulls sheet",IF(K111="","Not graded",IF(AND(G111="MANDATORY",L111="Gap - recommend tailoring"),"INVALID: safety-mandatory, not tailorable",IF(OR(P111="",P111=0),"NO NAMED EXECUTOR",IF(AND(H111="Full",IFERROR(INDEX('Evidence Pulls'!$C$6:$C$125,MATCH($J111,'Evidence Pulls'!$A$6:$A$125,0)),"")&lt;&gt;"Artifact",N(O111)&gt;=3,N(IFERROR(INDEX('Evidence Pulls'!$K$6:$K$125,MATCH($J111,'Evidence Pulls'!$A$6:$A$125,0)),""))=0),"Operating claimed with no sample",IF(AND(N(O111)&gt;=3,P111=1),"Operating rests on one individual",IF(AND(L111&lt;&gt;"",N111=""),"Override with no rationale in column N",IF(AND(G111="MANDATORY",N(O111)&lt;3),"SAFETY GATE: below Operating","OK")))))))))</f>
        <v>No evidence pull assigned</v>
      </c>
    </row>
    <row r="112" customFormat="false" ht="22.35" hidden="false" customHeight="false" outlineLevel="0" collapsed="false">
      <c r="A112" s="18" t="s">
        <v>313</v>
      </c>
      <c r="B112" s="18" t="s">
        <v>291</v>
      </c>
      <c r="C112" s="18" t="s">
        <v>307</v>
      </c>
      <c r="D112" s="18" t="s">
        <v>308</v>
      </c>
      <c r="E112" s="18" t="s">
        <v>151</v>
      </c>
      <c r="F112" s="18"/>
      <c r="G112" s="19" t="s">
        <v>131</v>
      </c>
      <c r="H112" s="19" t="s">
        <v>132</v>
      </c>
      <c r="I112" s="18" t="s">
        <v>294</v>
      </c>
      <c r="J112" s="16"/>
      <c r="K112" s="16"/>
      <c r="L112" s="16"/>
      <c r="M112" s="16"/>
      <c r="N112" s="16"/>
      <c r="O112" s="17" t="str">
        <f aca="false">IFERROR(INDEX(Lists!$B$3:$B$7,MATCH(K112,Lists!$A$3:$A$7,0)),"")</f>
        <v/>
      </c>
      <c r="P112" s="17" t="str">
        <f aca="false">IFERROR(INDEX('Evidence Pulls'!$P$6:$P$125,MATCH($J112,'Evidence Pulls'!$A$6:$A$125,0)),"")</f>
        <v/>
      </c>
      <c r="Q112" s="17" t="str">
        <f aca="false">IFERROR(INDEX('Evidence Pulls'!$H$6:$H$125,MATCH($J112,'Evidence Pulls'!$A$6:$A$125,0)),"")</f>
        <v/>
      </c>
      <c r="R112" s="17" t="str">
        <f aca="false">IFERROR(INDEX('Evidence Pulls'!$Q$6:$Q$125,MATCH($J112,'Evidence Pulls'!$A$6:$A$125,0)),"")</f>
        <v/>
      </c>
      <c r="S112" s="17" t="str">
        <f aca="false">IF(L112&lt;&gt;"",L112,IF(K112="","Not assessed",IF(N(O112)&gt;=3,"Demonstrated","Gap - remediate")))</f>
        <v>Not assessed</v>
      </c>
      <c r="T112" s="17" t="str">
        <f aca="false">IF(J112="","No evidence pull assigned",IF(COUNTIF('Evidence Pulls'!$A$6:$A$125,J112)=0,"Pull ID not on Evidence Pulls sheet",IF(K112="","Not graded",IF(AND(G112="MANDATORY",L112="Gap - recommend tailoring"),"INVALID: safety-mandatory, not tailorable",IF(OR(P112="",P112=0),"NO NAMED EXECUTOR",IF(AND(H112="Full",IFERROR(INDEX('Evidence Pulls'!$C$6:$C$125,MATCH($J112,'Evidence Pulls'!$A$6:$A$125,0)),"")&lt;&gt;"Artifact",N(O112)&gt;=3,N(IFERROR(INDEX('Evidence Pulls'!$K$6:$K$125,MATCH($J112,'Evidence Pulls'!$A$6:$A$125,0)),""))=0),"Operating claimed with no sample",IF(AND(N(O112)&gt;=3,P112=1),"Operating rests on one individual",IF(AND(L112&lt;&gt;"",N112=""),"Override with no rationale in column N",IF(AND(G112="MANDATORY",N(O112)&lt;3),"SAFETY GATE: below Operating","OK")))))))))</f>
        <v>No evidence pull assigned</v>
      </c>
    </row>
    <row r="113" customFormat="false" ht="22.35" hidden="false" customHeight="false" outlineLevel="0" collapsed="false">
      <c r="A113" s="18" t="s">
        <v>314</v>
      </c>
      <c r="B113" s="18" t="s">
        <v>291</v>
      </c>
      <c r="C113" s="18" t="s">
        <v>307</v>
      </c>
      <c r="D113" s="18" t="s">
        <v>308</v>
      </c>
      <c r="E113" s="18" t="s">
        <v>153</v>
      </c>
      <c r="F113" s="18"/>
      <c r="G113" s="19" t="s">
        <v>131</v>
      </c>
      <c r="H113" s="19" t="s">
        <v>132</v>
      </c>
      <c r="I113" s="18" t="s">
        <v>294</v>
      </c>
      <c r="J113" s="16"/>
      <c r="K113" s="16"/>
      <c r="L113" s="16"/>
      <c r="M113" s="16"/>
      <c r="N113" s="16"/>
      <c r="O113" s="17" t="str">
        <f aca="false">IFERROR(INDEX(Lists!$B$3:$B$7,MATCH(K113,Lists!$A$3:$A$7,0)),"")</f>
        <v/>
      </c>
      <c r="P113" s="17" t="str">
        <f aca="false">IFERROR(INDEX('Evidence Pulls'!$P$6:$P$125,MATCH($J113,'Evidence Pulls'!$A$6:$A$125,0)),"")</f>
        <v/>
      </c>
      <c r="Q113" s="17" t="str">
        <f aca="false">IFERROR(INDEX('Evidence Pulls'!$H$6:$H$125,MATCH($J113,'Evidence Pulls'!$A$6:$A$125,0)),"")</f>
        <v/>
      </c>
      <c r="R113" s="17" t="str">
        <f aca="false">IFERROR(INDEX('Evidence Pulls'!$Q$6:$Q$125,MATCH($J113,'Evidence Pulls'!$A$6:$A$125,0)),"")</f>
        <v/>
      </c>
      <c r="S113" s="17" t="str">
        <f aca="false">IF(L113&lt;&gt;"",L113,IF(K113="","Not assessed",IF(N(O113)&gt;=3,"Demonstrated","Gap - remediate")))</f>
        <v>Not assessed</v>
      </c>
      <c r="T113" s="17" t="str">
        <f aca="false">IF(J113="","No evidence pull assigned",IF(COUNTIF('Evidence Pulls'!$A$6:$A$125,J113)=0,"Pull ID not on Evidence Pulls sheet",IF(K113="","Not graded",IF(AND(G113="MANDATORY",L113="Gap - recommend tailoring"),"INVALID: safety-mandatory, not tailorable",IF(OR(P113="",P113=0),"NO NAMED EXECUTOR",IF(AND(H113="Full",IFERROR(INDEX('Evidence Pulls'!$C$6:$C$125,MATCH($J113,'Evidence Pulls'!$A$6:$A$125,0)),"")&lt;&gt;"Artifact",N(O113)&gt;=3,N(IFERROR(INDEX('Evidence Pulls'!$K$6:$K$125,MATCH($J113,'Evidence Pulls'!$A$6:$A$125,0)),""))=0),"Operating claimed with no sample",IF(AND(N(O113)&gt;=3,P113=1),"Operating rests on one individual",IF(AND(L113&lt;&gt;"",N113=""),"Override with no rationale in column N",IF(AND(G113="MANDATORY",N(O113)&lt;3),"SAFETY GATE: below Operating","OK")))))))))</f>
        <v>No evidence pull assigned</v>
      </c>
    </row>
    <row r="114" customFormat="false" ht="22.35" hidden="false" customHeight="false" outlineLevel="0" collapsed="false">
      <c r="A114" s="18" t="s">
        <v>315</v>
      </c>
      <c r="B114" s="18" t="s">
        <v>291</v>
      </c>
      <c r="C114" s="18" t="s">
        <v>307</v>
      </c>
      <c r="D114" s="18" t="s">
        <v>308</v>
      </c>
      <c r="E114" s="18" t="s">
        <v>155</v>
      </c>
      <c r="F114" s="18"/>
      <c r="G114" s="19" t="s">
        <v>131</v>
      </c>
      <c r="H114" s="19" t="s">
        <v>132</v>
      </c>
      <c r="I114" s="18" t="s">
        <v>294</v>
      </c>
      <c r="J114" s="16"/>
      <c r="K114" s="16"/>
      <c r="L114" s="16"/>
      <c r="M114" s="16"/>
      <c r="N114" s="16"/>
      <c r="O114" s="17" t="str">
        <f aca="false">IFERROR(INDEX(Lists!$B$3:$B$7,MATCH(K114,Lists!$A$3:$A$7,0)),"")</f>
        <v/>
      </c>
      <c r="P114" s="17" t="str">
        <f aca="false">IFERROR(INDEX('Evidence Pulls'!$P$6:$P$125,MATCH($J114,'Evidence Pulls'!$A$6:$A$125,0)),"")</f>
        <v/>
      </c>
      <c r="Q114" s="17" t="str">
        <f aca="false">IFERROR(INDEX('Evidence Pulls'!$H$6:$H$125,MATCH($J114,'Evidence Pulls'!$A$6:$A$125,0)),"")</f>
        <v/>
      </c>
      <c r="R114" s="17" t="str">
        <f aca="false">IFERROR(INDEX('Evidence Pulls'!$Q$6:$Q$125,MATCH($J114,'Evidence Pulls'!$A$6:$A$125,0)),"")</f>
        <v/>
      </c>
      <c r="S114" s="17" t="str">
        <f aca="false">IF(L114&lt;&gt;"",L114,IF(K114="","Not assessed",IF(N(O114)&gt;=3,"Demonstrated","Gap - remediate")))</f>
        <v>Not assessed</v>
      </c>
      <c r="T114" s="17" t="str">
        <f aca="false">IF(J114="","No evidence pull assigned",IF(COUNTIF('Evidence Pulls'!$A$6:$A$125,J114)=0,"Pull ID not on Evidence Pulls sheet",IF(K114="","Not graded",IF(AND(G114="MANDATORY",L114="Gap - recommend tailoring"),"INVALID: safety-mandatory, not tailorable",IF(OR(P114="",P114=0),"NO NAMED EXECUTOR",IF(AND(H114="Full",IFERROR(INDEX('Evidence Pulls'!$C$6:$C$125,MATCH($J114,'Evidence Pulls'!$A$6:$A$125,0)),"")&lt;&gt;"Artifact",N(O114)&gt;=3,N(IFERROR(INDEX('Evidence Pulls'!$K$6:$K$125,MATCH($J114,'Evidence Pulls'!$A$6:$A$125,0)),""))=0),"Operating claimed with no sample",IF(AND(N(O114)&gt;=3,P114=1),"Operating rests on one individual",IF(AND(L114&lt;&gt;"",N114=""),"Override with no rationale in column N",IF(AND(G114="MANDATORY",N(O114)&lt;3),"SAFETY GATE: below Operating","OK")))))))))</f>
        <v>No evidence pull assigned</v>
      </c>
    </row>
    <row r="115" customFormat="false" ht="22.35" hidden="false" customHeight="false" outlineLevel="0" collapsed="false">
      <c r="A115" s="14" t="s">
        <v>316</v>
      </c>
      <c r="B115" s="14" t="s">
        <v>291</v>
      </c>
      <c r="C115" s="14" t="s">
        <v>307</v>
      </c>
      <c r="D115" s="14" t="s">
        <v>308</v>
      </c>
      <c r="E115" s="14" t="s">
        <v>157</v>
      </c>
      <c r="F115" s="15"/>
      <c r="G115" s="14"/>
      <c r="H115" s="14" t="s">
        <v>127</v>
      </c>
      <c r="I115" s="14" t="s">
        <v>294</v>
      </c>
      <c r="J115" s="16"/>
      <c r="K115" s="16"/>
      <c r="L115" s="16"/>
      <c r="M115" s="16"/>
      <c r="N115" s="16"/>
      <c r="O115" s="17" t="str">
        <f aca="false">IFERROR(INDEX(Lists!$B$3:$B$7,MATCH(K115,Lists!$A$3:$A$7,0)),"")</f>
        <v/>
      </c>
      <c r="P115" s="17" t="str">
        <f aca="false">IFERROR(INDEX('Evidence Pulls'!$P$6:$P$125,MATCH($J115,'Evidence Pulls'!$A$6:$A$125,0)),"")</f>
        <v/>
      </c>
      <c r="Q115" s="17" t="str">
        <f aca="false">IFERROR(INDEX('Evidence Pulls'!$H$6:$H$125,MATCH($J115,'Evidence Pulls'!$A$6:$A$125,0)),"")</f>
        <v/>
      </c>
      <c r="R115" s="17" t="str">
        <f aca="false">IFERROR(INDEX('Evidence Pulls'!$Q$6:$Q$125,MATCH($J115,'Evidence Pulls'!$A$6:$A$125,0)),"")</f>
        <v/>
      </c>
      <c r="S115" s="17" t="str">
        <f aca="false">IF(L115&lt;&gt;"",L115,IF(K115="","Not assessed",IF(N(O115)&gt;=3,"Demonstrated","Gap - remediate")))</f>
        <v>Not assessed</v>
      </c>
      <c r="T115" s="17" t="str">
        <f aca="false">IF(J115="","No evidence pull assigned",IF(COUNTIF('Evidence Pulls'!$A$6:$A$125,J115)=0,"Pull ID not on Evidence Pulls sheet",IF(K115="","Not graded",IF(AND(G115="MANDATORY",L115="Gap - recommend tailoring"),"INVALID: safety-mandatory, not tailorable",IF(OR(P115="",P115=0),"NO NAMED EXECUTOR",IF(AND(H115="Full",IFERROR(INDEX('Evidence Pulls'!$C$6:$C$125,MATCH($J115,'Evidence Pulls'!$A$6:$A$125,0)),"")&lt;&gt;"Artifact",N(O115)&gt;=3,N(IFERROR(INDEX('Evidence Pulls'!$K$6:$K$125,MATCH($J115,'Evidence Pulls'!$A$6:$A$125,0)),""))=0),"Operating claimed with no sample",IF(AND(N(O115)&gt;=3,P115=1),"Operating rests on one individual",IF(AND(L115&lt;&gt;"",N115=""),"Override with no rationale in column N",IF(AND(G115="MANDATORY",N(O115)&lt;3),"SAFETY GATE: below Operating","OK")))))))))</f>
        <v>No evidence pull assigned</v>
      </c>
    </row>
    <row r="116" customFormat="false" ht="22.35" hidden="false" customHeight="false" outlineLevel="0" collapsed="false">
      <c r="A116" s="14" t="s">
        <v>317</v>
      </c>
      <c r="B116" s="14" t="s">
        <v>291</v>
      </c>
      <c r="C116" s="14" t="s">
        <v>307</v>
      </c>
      <c r="D116" s="14" t="s">
        <v>308</v>
      </c>
      <c r="E116" s="14" t="s">
        <v>159</v>
      </c>
      <c r="F116" s="15"/>
      <c r="G116" s="14"/>
      <c r="H116" s="14" t="s">
        <v>127</v>
      </c>
      <c r="I116" s="14" t="s">
        <v>294</v>
      </c>
      <c r="J116" s="16"/>
      <c r="K116" s="16"/>
      <c r="L116" s="16"/>
      <c r="M116" s="16"/>
      <c r="N116" s="16"/>
      <c r="O116" s="17" t="str">
        <f aca="false">IFERROR(INDEX(Lists!$B$3:$B$7,MATCH(K116,Lists!$A$3:$A$7,0)),"")</f>
        <v/>
      </c>
      <c r="P116" s="17" t="str">
        <f aca="false">IFERROR(INDEX('Evidence Pulls'!$P$6:$P$125,MATCH($J116,'Evidence Pulls'!$A$6:$A$125,0)),"")</f>
        <v/>
      </c>
      <c r="Q116" s="17" t="str">
        <f aca="false">IFERROR(INDEX('Evidence Pulls'!$H$6:$H$125,MATCH($J116,'Evidence Pulls'!$A$6:$A$125,0)),"")</f>
        <v/>
      </c>
      <c r="R116" s="17" t="str">
        <f aca="false">IFERROR(INDEX('Evidence Pulls'!$Q$6:$Q$125,MATCH($J116,'Evidence Pulls'!$A$6:$A$125,0)),"")</f>
        <v/>
      </c>
      <c r="S116" s="17" t="str">
        <f aca="false">IF(L116&lt;&gt;"",L116,IF(K116="","Not assessed",IF(N(O116)&gt;=3,"Demonstrated","Gap - remediate")))</f>
        <v>Not assessed</v>
      </c>
      <c r="T116" s="17" t="str">
        <f aca="false">IF(J116="","No evidence pull assigned",IF(COUNTIF('Evidence Pulls'!$A$6:$A$125,J116)=0,"Pull ID not on Evidence Pulls sheet",IF(K116="","Not graded",IF(AND(G116="MANDATORY",L116="Gap - recommend tailoring"),"INVALID: safety-mandatory, not tailorable",IF(OR(P116="",P116=0),"NO NAMED EXECUTOR",IF(AND(H116="Full",IFERROR(INDEX('Evidence Pulls'!$C$6:$C$125,MATCH($J116,'Evidence Pulls'!$A$6:$A$125,0)),"")&lt;&gt;"Artifact",N(O116)&gt;=3,N(IFERROR(INDEX('Evidence Pulls'!$K$6:$K$125,MATCH($J116,'Evidence Pulls'!$A$6:$A$125,0)),""))=0),"Operating claimed with no sample",IF(AND(N(O116)&gt;=3,P116=1),"Operating rests on one individual",IF(AND(L116&lt;&gt;"",N116=""),"Override with no rationale in column N",IF(AND(G116="MANDATORY",N(O116)&lt;3),"SAFETY GATE: below Operating","OK")))))))))</f>
        <v>No evidence pull assigned</v>
      </c>
    </row>
    <row r="117" customFormat="false" ht="22.35" hidden="false" customHeight="false" outlineLevel="0" collapsed="false">
      <c r="A117" s="14" t="s">
        <v>318</v>
      </c>
      <c r="B117" s="14" t="s">
        <v>291</v>
      </c>
      <c r="C117" s="14" t="s">
        <v>307</v>
      </c>
      <c r="D117" s="14" t="s">
        <v>308</v>
      </c>
      <c r="E117" s="14" t="s">
        <v>161</v>
      </c>
      <c r="F117" s="15"/>
      <c r="G117" s="14"/>
      <c r="H117" s="14" t="s">
        <v>127</v>
      </c>
      <c r="I117" s="14" t="s">
        <v>294</v>
      </c>
      <c r="J117" s="16"/>
      <c r="K117" s="16"/>
      <c r="L117" s="16"/>
      <c r="M117" s="16"/>
      <c r="N117" s="16"/>
      <c r="O117" s="17" t="str">
        <f aca="false">IFERROR(INDEX(Lists!$B$3:$B$7,MATCH(K117,Lists!$A$3:$A$7,0)),"")</f>
        <v/>
      </c>
      <c r="P117" s="17" t="str">
        <f aca="false">IFERROR(INDEX('Evidence Pulls'!$P$6:$P$125,MATCH($J117,'Evidence Pulls'!$A$6:$A$125,0)),"")</f>
        <v/>
      </c>
      <c r="Q117" s="17" t="str">
        <f aca="false">IFERROR(INDEX('Evidence Pulls'!$H$6:$H$125,MATCH($J117,'Evidence Pulls'!$A$6:$A$125,0)),"")</f>
        <v/>
      </c>
      <c r="R117" s="17" t="str">
        <f aca="false">IFERROR(INDEX('Evidence Pulls'!$Q$6:$Q$125,MATCH($J117,'Evidence Pulls'!$A$6:$A$125,0)),"")</f>
        <v/>
      </c>
      <c r="S117" s="17" t="str">
        <f aca="false">IF(L117&lt;&gt;"",L117,IF(K117="","Not assessed",IF(N(O117)&gt;=3,"Demonstrated","Gap - remediate")))</f>
        <v>Not assessed</v>
      </c>
      <c r="T117" s="17" t="str">
        <f aca="false">IF(J117="","No evidence pull assigned",IF(COUNTIF('Evidence Pulls'!$A$6:$A$125,J117)=0,"Pull ID not on Evidence Pulls sheet",IF(K117="","Not graded",IF(AND(G117="MANDATORY",L117="Gap - recommend tailoring"),"INVALID: safety-mandatory, not tailorable",IF(OR(P117="",P117=0),"NO NAMED EXECUTOR",IF(AND(H117="Full",IFERROR(INDEX('Evidence Pulls'!$C$6:$C$125,MATCH($J117,'Evidence Pulls'!$A$6:$A$125,0)),"")&lt;&gt;"Artifact",N(O117)&gt;=3,N(IFERROR(INDEX('Evidence Pulls'!$K$6:$K$125,MATCH($J117,'Evidence Pulls'!$A$6:$A$125,0)),""))=0),"Operating claimed with no sample",IF(AND(N(O117)&gt;=3,P117=1),"Operating rests on one individual",IF(AND(L117&lt;&gt;"",N117=""),"Override with no rationale in column N",IF(AND(G117="MANDATORY",N(O117)&lt;3),"SAFETY GATE: below Operating","OK")))))))))</f>
        <v>No evidence pull assigned</v>
      </c>
    </row>
    <row r="118" customFormat="false" ht="22.35" hidden="false" customHeight="false" outlineLevel="0" collapsed="false">
      <c r="A118" s="14" t="s">
        <v>319</v>
      </c>
      <c r="B118" s="14" t="s">
        <v>291</v>
      </c>
      <c r="C118" s="14" t="s">
        <v>307</v>
      </c>
      <c r="D118" s="14" t="s">
        <v>308</v>
      </c>
      <c r="E118" s="14" t="s">
        <v>320</v>
      </c>
      <c r="F118" s="15"/>
      <c r="G118" s="14"/>
      <c r="H118" s="14" t="s">
        <v>127</v>
      </c>
      <c r="I118" s="14" t="s">
        <v>294</v>
      </c>
      <c r="J118" s="16"/>
      <c r="K118" s="16"/>
      <c r="L118" s="16"/>
      <c r="M118" s="16"/>
      <c r="N118" s="16"/>
      <c r="O118" s="17" t="str">
        <f aca="false">IFERROR(INDEX(Lists!$B$3:$B$7,MATCH(K118,Lists!$A$3:$A$7,0)),"")</f>
        <v/>
      </c>
      <c r="P118" s="17" t="str">
        <f aca="false">IFERROR(INDEX('Evidence Pulls'!$P$6:$P$125,MATCH($J118,'Evidence Pulls'!$A$6:$A$125,0)),"")</f>
        <v/>
      </c>
      <c r="Q118" s="17" t="str">
        <f aca="false">IFERROR(INDEX('Evidence Pulls'!$H$6:$H$125,MATCH($J118,'Evidence Pulls'!$A$6:$A$125,0)),"")</f>
        <v/>
      </c>
      <c r="R118" s="17" t="str">
        <f aca="false">IFERROR(INDEX('Evidence Pulls'!$Q$6:$Q$125,MATCH($J118,'Evidence Pulls'!$A$6:$A$125,0)),"")</f>
        <v/>
      </c>
      <c r="S118" s="17" t="str">
        <f aca="false">IF(L118&lt;&gt;"",L118,IF(K118="","Not assessed",IF(N(O118)&gt;=3,"Demonstrated","Gap - remediate")))</f>
        <v>Not assessed</v>
      </c>
      <c r="T118" s="17" t="str">
        <f aca="false">IF(J118="","No evidence pull assigned",IF(COUNTIF('Evidence Pulls'!$A$6:$A$125,J118)=0,"Pull ID not on Evidence Pulls sheet",IF(K118="","Not graded",IF(AND(G118="MANDATORY",L118="Gap - recommend tailoring"),"INVALID: safety-mandatory, not tailorable",IF(OR(P118="",P118=0),"NO NAMED EXECUTOR",IF(AND(H118="Full",IFERROR(INDEX('Evidence Pulls'!$C$6:$C$125,MATCH($J118,'Evidence Pulls'!$A$6:$A$125,0)),"")&lt;&gt;"Artifact",N(O118)&gt;=3,N(IFERROR(INDEX('Evidence Pulls'!$K$6:$K$125,MATCH($J118,'Evidence Pulls'!$A$6:$A$125,0)),""))=0),"Operating claimed with no sample",IF(AND(N(O118)&gt;=3,P118=1),"Operating rests on one individual",IF(AND(L118&lt;&gt;"",N118=""),"Override with no rationale in column N",IF(AND(G118="MANDATORY",N(O118)&lt;3),"SAFETY GATE: below Operating","OK")))))))))</f>
        <v>No evidence pull assigned</v>
      </c>
    </row>
    <row r="119" customFormat="false" ht="22.35" hidden="false" customHeight="false" outlineLevel="0" collapsed="false">
      <c r="A119" s="18" t="s">
        <v>321</v>
      </c>
      <c r="B119" s="18" t="s">
        <v>291</v>
      </c>
      <c r="C119" s="18" t="s">
        <v>322</v>
      </c>
      <c r="D119" s="18" t="s">
        <v>323</v>
      </c>
      <c r="E119" s="18" t="s">
        <v>126</v>
      </c>
      <c r="F119" s="18"/>
      <c r="G119" s="19" t="s">
        <v>131</v>
      </c>
      <c r="H119" s="19" t="s">
        <v>132</v>
      </c>
      <c r="I119" s="18" t="s">
        <v>294</v>
      </c>
      <c r="J119" s="16"/>
      <c r="K119" s="16"/>
      <c r="L119" s="16"/>
      <c r="M119" s="16"/>
      <c r="N119" s="16"/>
      <c r="O119" s="17" t="str">
        <f aca="false">IFERROR(INDEX(Lists!$B$3:$B$7,MATCH(K119,Lists!$A$3:$A$7,0)),"")</f>
        <v/>
      </c>
      <c r="P119" s="17" t="str">
        <f aca="false">IFERROR(INDEX('Evidence Pulls'!$P$6:$P$125,MATCH($J119,'Evidence Pulls'!$A$6:$A$125,0)),"")</f>
        <v/>
      </c>
      <c r="Q119" s="17" t="str">
        <f aca="false">IFERROR(INDEX('Evidence Pulls'!$H$6:$H$125,MATCH($J119,'Evidence Pulls'!$A$6:$A$125,0)),"")</f>
        <v/>
      </c>
      <c r="R119" s="17" t="str">
        <f aca="false">IFERROR(INDEX('Evidence Pulls'!$Q$6:$Q$125,MATCH($J119,'Evidence Pulls'!$A$6:$A$125,0)),"")</f>
        <v/>
      </c>
      <c r="S119" s="17" t="str">
        <f aca="false">IF(L119&lt;&gt;"",L119,IF(K119="","Not assessed",IF(N(O119)&gt;=3,"Demonstrated","Gap - remediate")))</f>
        <v>Not assessed</v>
      </c>
      <c r="T119" s="17" t="str">
        <f aca="false">IF(J119="","No evidence pull assigned",IF(COUNTIF('Evidence Pulls'!$A$6:$A$125,J119)=0,"Pull ID not on Evidence Pulls sheet",IF(K119="","Not graded",IF(AND(G119="MANDATORY",L119="Gap - recommend tailoring"),"INVALID: safety-mandatory, not tailorable",IF(OR(P119="",P119=0),"NO NAMED EXECUTOR",IF(AND(H119="Full",IFERROR(INDEX('Evidence Pulls'!$C$6:$C$125,MATCH($J119,'Evidence Pulls'!$A$6:$A$125,0)),"")&lt;&gt;"Artifact",N(O119)&gt;=3,N(IFERROR(INDEX('Evidence Pulls'!$K$6:$K$125,MATCH($J119,'Evidence Pulls'!$A$6:$A$125,0)),""))=0),"Operating claimed with no sample",IF(AND(N(O119)&gt;=3,P119=1),"Operating rests on one individual",IF(AND(L119&lt;&gt;"",N119=""),"Override with no rationale in column N",IF(AND(G119="MANDATORY",N(O119)&lt;3),"SAFETY GATE: below Operating","OK")))))))))</f>
        <v>No evidence pull assigned</v>
      </c>
    </row>
    <row r="120" customFormat="false" ht="22.35" hidden="false" customHeight="false" outlineLevel="0" collapsed="false">
      <c r="A120" s="14" t="s">
        <v>324</v>
      </c>
      <c r="B120" s="14" t="s">
        <v>291</v>
      </c>
      <c r="C120" s="14" t="s">
        <v>322</v>
      </c>
      <c r="D120" s="14" t="s">
        <v>323</v>
      </c>
      <c r="E120" s="14" t="s">
        <v>182</v>
      </c>
      <c r="F120" s="15"/>
      <c r="G120" s="14"/>
      <c r="H120" s="14" t="s">
        <v>127</v>
      </c>
      <c r="I120" s="14" t="s">
        <v>294</v>
      </c>
      <c r="J120" s="16"/>
      <c r="K120" s="16"/>
      <c r="L120" s="16"/>
      <c r="M120" s="16"/>
      <c r="N120" s="16"/>
      <c r="O120" s="17" t="str">
        <f aca="false">IFERROR(INDEX(Lists!$B$3:$B$7,MATCH(K120,Lists!$A$3:$A$7,0)),"")</f>
        <v/>
      </c>
      <c r="P120" s="17" t="str">
        <f aca="false">IFERROR(INDEX('Evidence Pulls'!$P$6:$P$125,MATCH($J120,'Evidence Pulls'!$A$6:$A$125,0)),"")</f>
        <v/>
      </c>
      <c r="Q120" s="17" t="str">
        <f aca="false">IFERROR(INDEX('Evidence Pulls'!$H$6:$H$125,MATCH($J120,'Evidence Pulls'!$A$6:$A$125,0)),"")</f>
        <v/>
      </c>
      <c r="R120" s="17" t="str">
        <f aca="false">IFERROR(INDEX('Evidence Pulls'!$Q$6:$Q$125,MATCH($J120,'Evidence Pulls'!$A$6:$A$125,0)),"")</f>
        <v/>
      </c>
      <c r="S120" s="17" t="str">
        <f aca="false">IF(L120&lt;&gt;"",L120,IF(K120="","Not assessed",IF(N(O120)&gt;=3,"Demonstrated","Gap - remediate")))</f>
        <v>Not assessed</v>
      </c>
      <c r="T120" s="17" t="str">
        <f aca="false">IF(J120="","No evidence pull assigned",IF(COUNTIF('Evidence Pulls'!$A$6:$A$125,J120)=0,"Pull ID not on Evidence Pulls sheet",IF(K120="","Not graded",IF(AND(G120="MANDATORY",L120="Gap - recommend tailoring"),"INVALID: safety-mandatory, not tailorable",IF(OR(P120="",P120=0),"NO NAMED EXECUTOR",IF(AND(H120="Full",IFERROR(INDEX('Evidence Pulls'!$C$6:$C$125,MATCH($J120,'Evidence Pulls'!$A$6:$A$125,0)),"")&lt;&gt;"Artifact",N(O120)&gt;=3,N(IFERROR(INDEX('Evidence Pulls'!$K$6:$K$125,MATCH($J120,'Evidence Pulls'!$A$6:$A$125,0)),""))=0),"Operating claimed with no sample",IF(AND(N(O120)&gt;=3,P120=1),"Operating rests on one individual",IF(AND(L120&lt;&gt;"",N120=""),"Override with no rationale in column N",IF(AND(G120="MANDATORY",N(O120)&lt;3),"SAFETY GATE: below Operating","OK")))))))))</f>
        <v>No evidence pull assigned</v>
      </c>
    </row>
    <row r="121" customFormat="false" ht="22.35" hidden="false" customHeight="false" outlineLevel="0" collapsed="false">
      <c r="A121" s="14" t="s">
        <v>325</v>
      </c>
      <c r="B121" s="14" t="s">
        <v>291</v>
      </c>
      <c r="C121" s="14" t="s">
        <v>322</v>
      </c>
      <c r="D121" s="14" t="s">
        <v>323</v>
      </c>
      <c r="E121" s="14" t="s">
        <v>184</v>
      </c>
      <c r="F121" s="15"/>
      <c r="G121" s="14"/>
      <c r="H121" s="14" t="s">
        <v>127</v>
      </c>
      <c r="I121" s="14" t="s">
        <v>294</v>
      </c>
      <c r="J121" s="16"/>
      <c r="K121" s="16"/>
      <c r="L121" s="16"/>
      <c r="M121" s="16"/>
      <c r="N121" s="16"/>
      <c r="O121" s="17" t="str">
        <f aca="false">IFERROR(INDEX(Lists!$B$3:$B$7,MATCH(K121,Lists!$A$3:$A$7,0)),"")</f>
        <v/>
      </c>
      <c r="P121" s="17" t="str">
        <f aca="false">IFERROR(INDEX('Evidence Pulls'!$P$6:$P$125,MATCH($J121,'Evidence Pulls'!$A$6:$A$125,0)),"")</f>
        <v/>
      </c>
      <c r="Q121" s="17" t="str">
        <f aca="false">IFERROR(INDEX('Evidence Pulls'!$H$6:$H$125,MATCH($J121,'Evidence Pulls'!$A$6:$A$125,0)),"")</f>
        <v/>
      </c>
      <c r="R121" s="17" t="str">
        <f aca="false">IFERROR(INDEX('Evidence Pulls'!$Q$6:$Q$125,MATCH($J121,'Evidence Pulls'!$A$6:$A$125,0)),"")</f>
        <v/>
      </c>
      <c r="S121" s="17" t="str">
        <f aca="false">IF(L121&lt;&gt;"",L121,IF(K121="","Not assessed",IF(N(O121)&gt;=3,"Demonstrated","Gap - remediate")))</f>
        <v>Not assessed</v>
      </c>
      <c r="T121" s="17" t="str">
        <f aca="false">IF(J121="","No evidence pull assigned",IF(COUNTIF('Evidence Pulls'!$A$6:$A$125,J121)=0,"Pull ID not on Evidence Pulls sheet",IF(K121="","Not graded",IF(AND(G121="MANDATORY",L121="Gap - recommend tailoring"),"INVALID: safety-mandatory, not tailorable",IF(OR(P121="",P121=0),"NO NAMED EXECUTOR",IF(AND(H121="Full",IFERROR(INDEX('Evidence Pulls'!$C$6:$C$125,MATCH($J121,'Evidence Pulls'!$A$6:$A$125,0)),"")&lt;&gt;"Artifact",N(O121)&gt;=3,N(IFERROR(INDEX('Evidence Pulls'!$K$6:$K$125,MATCH($J121,'Evidence Pulls'!$A$6:$A$125,0)),""))=0),"Operating claimed with no sample",IF(AND(N(O121)&gt;=3,P121=1),"Operating rests on one individual",IF(AND(L121&lt;&gt;"",N121=""),"Override with no rationale in column N",IF(AND(G121="MANDATORY",N(O121)&lt;3),"SAFETY GATE: below Operating","OK")))))))))</f>
        <v>No evidence pull assigned</v>
      </c>
    </row>
    <row r="122" customFormat="false" ht="22.35" hidden="false" customHeight="false" outlineLevel="0" collapsed="false">
      <c r="A122" s="14" t="s">
        <v>326</v>
      </c>
      <c r="B122" s="14" t="s">
        <v>291</v>
      </c>
      <c r="C122" s="14" t="s">
        <v>322</v>
      </c>
      <c r="D122" s="14" t="s">
        <v>323</v>
      </c>
      <c r="E122" s="14" t="s">
        <v>186</v>
      </c>
      <c r="F122" s="15"/>
      <c r="G122" s="14"/>
      <c r="H122" s="14" t="s">
        <v>127</v>
      </c>
      <c r="I122" s="14" t="s">
        <v>294</v>
      </c>
      <c r="J122" s="16"/>
      <c r="K122" s="16"/>
      <c r="L122" s="16"/>
      <c r="M122" s="16"/>
      <c r="N122" s="16"/>
      <c r="O122" s="17" t="str">
        <f aca="false">IFERROR(INDEX(Lists!$B$3:$B$7,MATCH(K122,Lists!$A$3:$A$7,0)),"")</f>
        <v/>
      </c>
      <c r="P122" s="17" t="str">
        <f aca="false">IFERROR(INDEX('Evidence Pulls'!$P$6:$P$125,MATCH($J122,'Evidence Pulls'!$A$6:$A$125,0)),"")</f>
        <v/>
      </c>
      <c r="Q122" s="17" t="str">
        <f aca="false">IFERROR(INDEX('Evidence Pulls'!$H$6:$H$125,MATCH($J122,'Evidence Pulls'!$A$6:$A$125,0)),"")</f>
        <v/>
      </c>
      <c r="R122" s="17" t="str">
        <f aca="false">IFERROR(INDEX('Evidence Pulls'!$Q$6:$Q$125,MATCH($J122,'Evidence Pulls'!$A$6:$A$125,0)),"")</f>
        <v/>
      </c>
      <c r="S122" s="17" t="str">
        <f aca="false">IF(L122&lt;&gt;"",L122,IF(K122="","Not assessed",IF(N(O122)&gt;=3,"Demonstrated","Gap - remediate")))</f>
        <v>Not assessed</v>
      </c>
      <c r="T122" s="17" t="str">
        <f aca="false">IF(J122="","No evidence pull assigned",IF(COUNTIF('Evidence Pulls'!$A$6:$A$125,J122)=0,"Pull ID not on Evidence Pulls sheet",IF(K122="","Not graded",IF(AND(G122="MANDATORY",L122="Gap - recommend tailoring"),"INVALID: safety-mandatory, not tailorable",IF(OR(P122="",P122=0),"NO NAMED EXECUTOR",IF(AND(H122="Full",IFERROR(INDEX('Evidence Pulls'!$C$6:$C$125,MATCH($J122,'Evidence Pulls'!$A$6:$A$125,0)),"")&lt;&gt;"Artifact",N(O122)&gt;=3,N(IFERROR(INDEX('Evidence Pulls'!$K$6:$K$125,MATCH($J122,'Evidence Pulls'!$A$6:$A$125,0)),""))=0),"Operating claimed with no sample",IF(AND(N(O122)&gt;=3,P122=1),"Operating rests on one individual",IF(AND(L122&lt;&gt;"",N122=""),"Override with no rationale in column N",IF(AND(G122="MANDATORY",N(O122)&lt;3),"SAFETY GATE: below Operating","OK")))))))))</f>
        <v>No evidence pull assigned</v>
      </c>
    </row>
    <row r="123" customFormat="false" ht="22.35" hidden="false" customHeight="false" outlineLevel="0" collapsed="false">
      <c r="A123" s="14" t="s">
        <v>327</v>
      </c>
      <c r="B123" s="14" t="s">
        <v>291</v>
      </c>
      <c r="C123" s="14" t="s">
        <v>322</v>
      </c>
      <c r="D123" s="14" t="s">
        <v>323</v>
      </c>
      <c r="E123" s="14" t="s">
        <v>188</v>
      </c>
      <c r="F123" s="15"/>
      <c r="G123" s="14"/>
      <c r="H123" s="14" t="s">
        <v>127</v>
      </c>
      <c r="I123" s="14" t="s">
        <v>294</v>
      </c>
      <c r="J123" s="16"/>
      <c r="K123" s="16"/>
      <c r="L123" s="16"/>
      <c r="M123" s="16"/>
      <c r="N123" s="16"/>
      <c r="O123" s="17" t="str">
        <f aca="false">IFERROR(INDEX(Lists!$B$3:$B$7,MATCH(K123,Lists!$A$3:$A$7,0)),"")</f>
        <v/>
      </c>
      <c r="P123" s="17" t="str">
        <f aca="false">IFERROR(INDEX('Evidence Pulls'!$P$6:$P$125,MATCH($J123,'Evidence Pulls'!$A$6:$A$125,0)),"")</f>
        <v/>
      </c>
      <c r="Q123" s="17" t="str">
        <f aca="false">IFERROR(INDEX('Evidence Pulls'!$H$6:$H$125,MATCH($J123,'Evidence Pulls'!$A$6:$A$125,0)),"")</f>
        <v/>
      </c>
      <c r="R123" s="17" t="str">
        <f aca="false">IFERROR(INDEX('Evidence Pulls'!$Q$6:$Q$125,MATCH($J123,'Evidence Pulls'!$A$6:$A$125,0)),"")</f>
        <v/>
      </c>
      <c r="S123" s="17" t="str">
        <f aca="false">IF(L123&lt;&gt;"",L123,IF(K123="","Not assessed",IF(N(O123)&gt;=3,"Demonstrated","Gap - remediate")))</f>
        <v>Not assessed</v>
      </c>
      <c r="T123" s="17" t="str">
        <f aca="false">IF(J123="","No evidence pull assigned",IF(COUNTIF('Evidence Pulls'!$A$6:$A$125,J123)=0,"Pull ID not on Evidence Pulls sheet",IF(K123="","Not graded",IF(AND(G123="MANDATORY",L123="Gap - recommend tailoring"),"INVALID: safety-mandatory, not tailorable",IF(OR(P123="",P123=0),"NO NAMED EXECUTOR",IF(AND(H123="Full",IFERROR(INDEX('Evidence Pulls'!$C$6:$C$125,MATCH($J123,'Evidence Pulls'!$A$6:$A$125,0)),"")&lt;&gt;"Artifact",N(O123)&gt;=3,N(IFERROR(INDEX('Evidence Pulls'!$K$6:$K$125,MATCH($J123,'Evidence Pulls'!$A$6:$A$125,0)),""))=0),"Operating claimed with no sample",IF(AND(N(O123)&gt;=3,P123=1),"Operating rests on one individual",IF(AND(L123&lt;&gt;"",N123=""),"Override with no rationale in column N",IF(AND(G123="MANDATORY",N(O123)&lt;3),"SAFETY GATE: below Operating","OK")))))))))</f>
        <v>No evidence pull assigned</v>
      </c>
    </row>
    <row r="124" customFormat="false" ht="22.35" hidden="false" customHeight="false" outlineLevel="0" collapsed="false">
      <c r="A124" s="14" t="s">
        <v>328</v>
      </c>
      <c r="B124" s="14" t="s">
        <v>291</v>
      </c>
      <c r="C124" s="14" t="s">
        <v>322</v>
      </c>
      <c r="D124" s="14" t="s">
        <v>323</v>
      </c>
      <c r="E124" s="14" t="s">
        <v>192</v>
      </c>
      <c r="F124" s="15"/>
      <c r="G124" s="14"/>
      <c r="H124" s="14" t="s">
        <v>127</v>
      </c>
      <c r="I124" s="14" t="s">
        <v>294</v>
      </c>
      <c r="J124" s="16"/>
      <c r="K124" s="16"/>
      <c r="L124" s="16"/>
      <c r="M124" s="16"/>
      <c r="N124" s="16"/>
      <c r="O124" s="17" t="str">
        <f aca="false">IFERROR(INDEX(Lists!$B$3:$B$7,MATCH(K124,Lists!$A$3:$A$7,0)),"")</f>
        <v/>
      </c>
      <c r="P124" s="17" t="str">
        <f aca="false">IFERROR(INDEX('Evidence Pulls'!$P$6:$P$125,MATCH($J124,'Evidence Pulls'!$A$6:$A$125,0)),"")</f>
        <v/>
      </c>
      <c r="Q124" s="17" t="str">
        <f aca="false">IFERROR(INDEX('Evidence Pulls'!$H$6:$H$125,MATCH($J124,'Evidence Pulls'!$A$6:$A$125,0)),"")</f>
        <v/>
      </c>
      <c r="R124" s="17" t="str">
        <f aca="false">IFERROR(INDEX('Evidence Pulls'!$Q$6:$Q$125,MATCH($J124,'Evidence Pulls'!$A$6:$A$125,0)),"")</f>
        <v/>
      </c>
      <c r="S124" s="17" t="str">
        <f aca="false">IF(L124&lt;&gt;"",L124,IF(K124="","Not assessed",IF(N(O124)&gt;=3,"Demonstrated","Gap - remediate")))</f>
        <v>Not assessed</v>
      </c>
      <c r="T124" s="17" t="str">
        <f aca="false">IF(J124="","No evidence pull assigned",IF(COUNTIF('Evidence Pulls'!$A$6:$A$125,J124)=0,"Pull ID not on Evidence Pulls sheet",IF(K124="","Not graded",IF(AND(G124="MANDATORY",L124="Gap - recommend tailoring"),"INVALID: safety-mandatory, not tailorable",IF(OR(P124="",P124=0),"NO NAMED EXECUTOR",IF(AND(H124="Full",IFERROR(INDEX('Evidence Pulls'!$C$6:$C$125,MATCH($J124,'Evidence Pulls'!$A$6:$A$125,0)),"")&lt;&gt;"Artifact",N(O124)&gt;=3,N(IFERROR(INDEX('Evidence Pulls'!$K$6:$K$125,MATCH($J124,'Evidence Pulls'!$A$6:$A$125,0)),""))=0),"Operating claimed with no sample",IF(AND(N(O124)&gt;=3,P124=1),"Operating rests on one individual",IF(AND(L124&lt;&gt;"",N124=""),"Override with no rationale in column N",IF(AND(G124="MANDATORY",N(O124)&lt;3),"SAFETY GATE: below Operating","OK")))))))))</f>
        <v>No evidence pull assigned</v>
      </c>
    </row>
    <row r="125" customFormat="false" ht="22.35" hidden="false" customHeight="false" outlineLevel="0" collapsed="false">
      <c r="A125" s="14" t="s">
        <v>329</v>
      </c>
      <c r="B125" s="14" t="s">
        <v>291</v>
      </c>
      <c r="C125" s="14" t="s">
        <v>322</v>
      </c>
      <c r="D125" s="14" t="s">
        <v>323</v>
      </c>
      <c r="E125" s="14" t="s">
        <v>194</v>
      </c>
      <c r="F125" s="15"/>
      <c r="G125" s="14"/>
      <c r="H125" s="14" t="s">
        <v>127</v>
      </c>
      <c r="I125" s="14" t="s">
        <v>294</v>
      </c>
      <c r="J125" s="16"/>
      <c r="K125" s="16"/>
      <c r="L125" s="16"/>
      <c r="M125" s="16"/>
      <c r="N125" s="16"/>
      <c r="O125" s="17" t="str">
        <f aca="false">IFERROR(INDEX(Lists!$B$3:$B$7,MATCH(K125,Lists!$A$3:$A$7,0)),"")</f>
        <v/>
      </c>
      <c r="P125" s="17" t="str">
        <f aca="false">IFERROR(INDEX('Evidence Pulls'!$P$6:$P$125,MATCH($J125,'Evidence Pulls'!$A$6:$A$125,0)),"")</f>
        <v/>
      </c>
      <c r="Q125" s="17" t="str">
        <f aca="false">IFERROR(INDEX('Evidence Pulls'!$H$6:$H$125,MATCH($J125,'Evidence Pulls'!$A$6:$A$125,0)),"")</f>
        <v/>
      </c>
      <c r="R125" s="17" t="str">
        <f aca="false">IFERROR(INDEX('Evidence Pulls'!$Q$6:$Q$125,MATCH($J125,'Evidence Pulls'!$A$6:$A$125,0)),"")</f>
        <v/>
      </c>
      <c r="S125" s="17" t="str">
        <f aca="false">IF(L125&lt;&gt;"",L125,IF(K125="","Not assessed",IF(N(O125)&gt;=3,"Demonstrated","Gap - remediate")))</f>
        <v>Not assessed</v>
      </c>
      <c r="T125" s="17" t="str">
        <f aca="false">IF(J125="","No evidence pull assigned",IF(COUNTIF('Evidence Pulls'!$A$6:$A$125,J125)=0,"Pull ID not on Evidence Pulls sheet",IF(K125="","Not graded",IF(AND(G125="MANDATORY",L125="Gap - recommend tailoring"),"INVALID: safety-mandatory, not tailorable",IF(OR(P125="",P125=0),"NO NAMED EXECUTOR",IF(AND(H125="Full",IFERROR(INDEX('Evidence Pulls'!$C$6:$C$125,MATCH($J125,'Evidence Pulls'!$A$6:$A$125,0)),"")&lt;&gt;"Artifact",N(O125)&gt;=3,N(IFERROR(INDEX('Evidence Pulls'!$K$6:$K$125,MATCH($J125,'Evidence Pulls'!$A$6:$A$125,0)),""))=0),"Operating claimed with no sample",IF(AND(N(O125)&gt;=3,P125=1),"Operating rests on one individual",IF(AND(L125&lt;&gt;"",N125=""),"Override with no rationale in column N",IF(AND(G125="MANDATORY",N(O125)&lt;3),"SAFETY GATE: below Operating","OK")))))))))</f>
        <v>No evidence pull assigned</v>
      </c>
    </row>
    <row r="126" customFormat="false" ht="22.35" hidden="false" customHeight="false" outlineLevel="0" collapsed="false">
      <c r="A126" s="14" t="s">
        <v>330</v>
      </c>
      <c r="B126" s="14" t="s">
        <v>291</v>
      </c>
      <c r="C126" s="14" t="s">
        <v>322</v>
      </c>
      <c r="D126" s="14" t="s">
        <v>323</v>
      </c>
      <c r="E126" s="14" t="s">
        <v>196</v>
      </c>
      <c r="F126" s="15"/>
      <c r="G126" s="14"/>
      <c r="H126" s="14" t="s">
        <v>127</v>
      </c>
      <c r="I126" s="14" t="s">
        <v>294</v>
      </c>
      <c r="J126" s="16"/>
      <c r="K126" s="16"/>
      <c r="L126" s="16"/>
      <c r="M126" s="16"/>
      <c r="N126" s="16"/>
      <c r="O126" s="17" t="str">
        <f aca="false">IFERROR(INDEX(Lists!$B$3:$B$7,MATCH(K126,Lists!$A$3:$A$7,0)),"")</f>
        <v/>
      </c>
      <c r="P126" s="17" t="str">
        <f aca="false">IFERROR(INDEX('Evidence Pulls'!$P$6:$P$125,MATCH($J126,'Evidence Pulls'!$A$6:$A$125,0)),"")</f>
        <v/>
      </c>
      <c r="Q126" s="17" t="str">
        <f aca="false">IFERROR(INDEX('Evidence Pulls'!$H$6:$H$125,MATCH($J126,'Evidence Pulls'!$A$6:$A$125,0)),"")</f>
        <v/>
      </c>
      <c r="R126" s="17" t="str">
        <f aca="false">IFERROR(INDEX('Evidence Pulls'!$Q$6:$Q$125,MATCH($J126,'Evidence Pulls'!$A$6:$A$125,0)),"")</f>
        <v/>
      </c>
      <c r="S126" s="17" t="str">
        <f aca="false">IF(L126&lt;&gt;"",L126,IF(K126="","Not assessed",IF(N(O126)&gt;=3,"Demonstrated","Gap - remediate")))</f>
        <v>Not assessed</v>
      </c>
      <c r="T126" s="17" t="str">
        <f aca="false">IF(J126="","No evidence pull assigned",IF(COUNTIF('Evidence Pulls'!$A$6:$A$125,J126)=0,"Pull ID not on Evidence Pulls sheet",IF(K126="","Not graded",IF(AND(G126="MANDATORY",L126="Gap - recommend tailoring"),"INVALID: safety-mandatory, not tailorable",IF(OR(P126="",P126=0),"NO NAMED EXECUTOR",IF(AND(H126="Full",IFERROR(INDEX('Evidence Pulls'!$C$6:$C$125,MATCH($J126,'Evidence Pulls'!$A$6:$A$125,0)),"")&lt;&gt;"Artifact",N(O126)&gt;=3,N(IFERROR(INDEX('Evidence Pulls'!$K$6:$K$125,MATCH($J126,'Evidence Pulls'!$A$6:$A$125,0)),""))=0),"Operating claimed with no sample",IF(AND(N(O126)&gt;=3,P126=1),"Operating rests on one individual",IF(AND(L126&lt;&gt;"",N126=""),"Override with no rationale in column N",IF(AND(G126="MANDATORY",N(O126)&lt;3),"SAFETY GATE: below Operating","OK")))))))))</f>
        <v>No evidence pull assigned</v>
      </c>
    </row>
    <row r="127" customFormat="false" ht="22.35" hidden="false" customHeight="false" outlineLevel="0" collapsed="false">
      <c r="A127" s="14" t="s">
        <v>331</v>
      </c>
      <c r="B127" s="14" t="s">
        <v>291</v>
      </c>
      <c r="C127" s="14" t="s">
        <v>322</v>
      </c>
      <c r="D127" s="14" t="s">
        <v>323</v>
      </c>
      <c r="E127" s="14" t="s">
        <v>198</v>
      </c>
      <c r="F127" s="15"/>
      <c r="G127" s="14"/>
      <c r="H127" s="14" t="s">
        <v>127</v>
      </c>
      <c r="I127" s="14" t="s">
        <v>294</v>
      </c>
      <c r="J127" s="16"/>
      <c r="K127" s="16"/>
      <c r="L127" s="16"/>
      <c r="M127" s="16"/>
      <c r="N127" s="16"/>
      <c r="O127" s="17" t="str">
        <f aca="false">IFERROR(INDEX(Lists!$B$3:$B$7,MATCH(K127,Lists!$A$3:$A$7,0)),"")</f>
        <v/>
      </c>
      <c r="P127" s="17" t="str">
        <f aca="false">IFERROR(INDEX('Evidence Pulls'!$P$6:$P$125,MATCH($J127,'Evidence Pulls'!$A$6:$A$125,0)),"")</f>
        <v/>
      </c>
      <c r="Q127" s="17" t="str">
        <f aca="false">IFERROR(INDEX('Evidence Pulls'!$H$6:$H$125,MATCH($J127,'Evidence Pulls'!$A$6:$A$125,0)),"")</f>
        <v/>
      </c>
      <c r="R127" s="17" t="str">
        <f aca="false">IFERROR(INDEX('Evidence Pulls'!$Q$6:$Q$125,MATCH($J127,'Evidence Pulls'!$A$6:$A$125,0)),"")</f>
        <v/>
      </c>
      <c r="S127" s="17" t="str">
        <f aca="false">IF(L127&lt;&gt;"",L127,IF(K127="","Not assessed",IF(N(O127)&gt;=3,"Demonstrated","Gap - remediate")))</f>
        <v>Not assessed</v>
      </c>
      <c r="T127" s="17" t="str">
        <f aca="false">IF(J127="","No evidence pull assigned",IF(COUNTIF('Evidence Pulls'!$A$6:$A$125,J127)=0,"Pull ID not on Evidence Pulls sheet",IF(K127="","Not graded",IF(AND(G127="MANDATORY",L127="Gap - recommend tailoring"),"INVALID: safety-mandatory, not tailorable",IF(OR(P127="",P127=0),"NO NAMED EXECUTOR",IF(AND(H127="Full",IFERROR(INDEX('Evidence Pulls'!$C$6:$C$125,MATCH($J127,'Evidence Pulls'!$A$6:$A$125,0)),"")&lt;&gt;"Artifact",N(O127)&gt;=3,N(IFERROR(INDEX('Evidence Pulls'!$K$6:$K$125,MATCH($J127,'Evidence Pulls'!$A$6:$A$125,0)),""))=0),"Operating claimed with no sample",IF(AND(N(O127)&gt;=3,P127=1),"Operating rests on one individual",IF(AND(L127&lt;&gt;"",N127=""),"Override with no rationale in column N",IF(AND(G127="MANDATORY",N(O127)&lt;3),"SAFETY GATE: below Operating","OK")))))))))</f>
        <v>No evidence pull assigned</v>
      </c>
    </row>
    <row r="128" customFormat="false" ht="22.35" hidden="false" customHeight="false" outlineLevel="0" collapsed="false">
      <c r="A128" s="14" t="s">
        <v>332</v>
      </c>
      <c r="B128" s="14" t="s">
        <v>291</v>
      </c>
      <c r="C128" s="14" t="s">
        <v>322</v>
      </c>
      <c r="D128" s="14" t="s">
        <v>323</v>
      </c>
      <c r="E128" s="14" t="s">
        <v>200</v>
      </c>
      <c r="F128" s="15"/>
      <c r="G128" s="14"/>
      <c r="H128" s="14" t="s">
        <v>127</v>
      </c>
      <c r="I128" s="14" t="s">
        <v>294</v>
      </c>
      <c r="J128" s="16"/>
      <c r="K128" s="16"/>
      <c r="L128" s="16"/>
      <c r="M128" s="16"/>
      <c r="N128" s="16"/>
      <c r="O128" s="17" t="str">
        <f aca="false">IFERROR(INDEX(Lists!$B$3:$B$7,MATCH(K128,Lists!$A$3:$A$7,0)),"")</f>
        <v/>
      </c>
      <c r="P128" s="17" t="str">
        <f aca="false">IFERROR(INDEX('Evidence Pulls'!$P$6:$P$125,MATCH($J128,'Evidence Pulls'!$A$6:$A$125,0)),"")</f>
        <v/>
      </c>
      <c r="Q128" s="17" t="str">
        <f aca="false">IFERROR(INDEX('Evidence Pulls'!$H$6:$H$125,MATCH($J128,'Evidence Pulls'!$A$6:$A$125,0)),"")</f>
        <v/>
      </c>
      <c r="R128" s="17" t="str">
        <f aca="false">IFERROR(INDEX('Evidence Pulls'!$Q$6:$Q$125,MATCH($J128,'Evidence Pulls'!$A$6:$A$125,0)),"")</f>
        <v/>
      </c>
      <c r="S128" s="17" t="str">
        <f aca="false">IF(L128&lt;&gt;"",L128,IF(K128="","Not assessed",IF(N(O128)&gt;=3,"Demonstrated","Gap - remediate")))</f>
        <v>Not assessed</v>
      </c>
      <c r="T128" s="17" t="str">
        <f aca="false">IF(J128="","No evidence pull assigned",IF(COUNTIF('Evidence Pulls'!$A$6:$A$125,J128)=0,"Pull ID not on Evidence Pulls sheet",IF(K128="","Not graded",IF(AND(G128="MANDATORY",L128="Gap - recommend tailoring"),"INVALID: safety-mandatory, not tailorable",IF(OR(P128="",P128=0),"NO NAMED EXECUTOR",IF(AND(H128="Full",IFERROR(INDEX('Evidence Pulls'!$C$6:$C$125,MATCH($J128,'Evidence Pulls'!$A$6:$A$125,0)),"")&lt;&gt;"Artifact",N(O128)&gt;=3,N(IFERROR(INDEX('Evidence Pulls'!$K$6:$K$125,MATCH($J128,'Evidence Pulls'!$A$6:$A$125,0)),""))=0),"Operating claimed with no sample",IF(AND(N(O128)&gt;=3,P128=1),"Operating rests on one individual",IF(AND(L128&lt;&gt;"",N128=""),"Override with no rationale in column N",IF(AND(G128="MANDATORY",N(O128)&lt;3),"SAFETY GATE: below Operating","OK")))))))))</f>
        <v>No evidence pull assigned</v>
      </c>
    </row>
    <row r="129" customFormat="false" ht="22.35" hidden="false" customHeight="false" outlineLevel="0" collapsed="false">
      <c r="A129" s="14" t="s">
        <v>333</v>
      </c>
      <c r="B129" s="14" t="s">
        <v>291</v>
      </c>
      <c r="C129" s="14" t="s">
        <v>322</v>
      </c>
      <c r="D129" s="14" t="s">
        <v>323</v>
      </c>
      <c r="E129" s="14" t="s">
        <v>202</v>
      </c>
      <c r="F129" s="15"/>
      <c r="G129" s="14"/>
      <c r="H129" s="14" t="s">
        <v>127</v>
      </c>
      <c r="I129" s="14" t="s">
        <v>294</v>
      </c>
      <c r="J129" s="16"/>
      <c r="K129" s="16"/>
      <c r="L129" s="16"/>
      <c r="M129" s="16"/>
      <c r="N129" s="16"/>
      <c r="O129" s="17" t="str">
        <f aca="false">IFERROR(INDEX(Lists!$B$3:$B$7,MATCH(K129,Lists!$A$3:$A$7,0)),"")</f>
        <v/>
      </c>
      <c r="P129" s="17" t="str">
        <f aca="false">IFERROR(INDEX('Evidence Pulls'!$P$6:$P$125,MATCH($J129,'Evidence Pulls'!$A$6:$A$125,0)),"")</f>
        <v/>
      </c>
      <c r="Q129" s="17" t="str">
        <f aca="false">IFERROR(INDEX('Evidence Pulls'!$H$6:$H$125,MATCH($J129,'Evidence Pulls'!$A$6:$A$125,0)),"")</f>
        <v/>
      </c>
      <c r="R129" s="17" t="str">
        <f aca="false">IFERROR(INDEX('Evidence Pulls'!$Q$6:$Q$125,MATCH($J129,'Evidence Pulls'!$A$6:$A$125,0)),"")</f>
        <v/>
      </c>
      <c r="S129" s="17" t="str">
        <f aca="false">IF(L129&lt;&gt;"",L129,IF(K129="","Not assessed",IF(N(O129)&gt;=3,"Demonstrated","Gap - remediate")))</f>
        <v>Not assessed</v>
      </c>
      <c r="T129" s="17" t="str">
        <f aca="false">IF(J129="","No evidence pull assigned",IF(COUNTIF('Evidence Pulls'!$A$6:$A$125,J129)=0,"Pull ID not on Evidence Pulls sheet",IF(K129="","Not graded",IF(AND(G129="MANDATORY",L129="Gap - recommend tailoring"),"INVALID: safety-mandatory, not tailorable",IF(OR(P129="",P129=0),"NO NAMED EXECUTOR",IF(AND(H129="Full",IFERROR(INDEX('Evidence Pulls'!$C$6:$C$125,MATCH($J129,'Evidence Pulls'!$A$6:$A$125,0)),"")&lt;&gt;"Artifact",N(O129)&gt;=3,N(IFERROR(INDEX('Evidence Pulls'!$K$6:$K$125,MATCH($J129,'Evidence Pulls'!$A$6:$A$125,0)),""))=0),"Operating claimed with no sample",IF(AND(N(O129)&gt;=3,P129=1),"Operating rests on one individual",IF(AND(L129&lt;&gt;"",N129=""),"Override with no rationale in column N",IF(AND(G129="MANDATORY",N(O129)&lt;3),"SAFETY GATE: below Operating","OK")))))))))</f>
        <v>No evidence pull assigned</v>
      </c>
    </row>
    <row r="130" customFormat="false" ht="22.35" hidden="false" customHeight="false" outlineLevel="0" collapsed="false">
      <c r="A130" s="14" t="s">
        <v>334</v>
      </c>
      <c r="B130" s="14" t="s">
        <v>291</v>
      </c>
      <c r="C130" s="14" t="s">
        <v>322</v>
      </c>
      <c r="D130" s="14" t="s">
        <v>323</v>
      </c>
      <c r="E130" s="14" t="s">
        <v>335</v>
      </c>
      <c r="F130" s="15"/>
      <c r="G130" s="14"/>
      <c r="H130" s="14" t="s">
        <v>127</v>
      </c>
      <c r="I130" s="14" t="s">
        <v>294</v>
      </c>
      <c r="J130" s="16"/>
      <c r="K130" s="16"/>
      <c r="L130" s="16"/>
      <c r="M130" s="16"/>
      <c r="N130" s="16"/>
      <c r="O130" s="17" t="str">
        <f aca="false">IFERROR(INDEX(Lists!$B$3:$B$7,MATCH(K130,Lists!$A$3:$A$7,0)),"")</f>
        <v/>
      </c>
      <c r="P130" s="17" t="str">
        <f aca="false">IFERROR(INDEX('Evidence Pulls'!$P$6:$P$125,MATCH($J130,'Evidence Pulls'!$A$6:$A$125,0)),"")</f>
        <v/>
      </c>
      <c r="Q130" s="17" t="str">
        <f aca="false">IFERROR(INDEX('Evidence Pulls'!$H$6:$H$125,MATCH($J130,'Evidence Pulls'!$A$6:$A$125,0)),"")</f>
        <v/>
      </c>
      <c r="R130" s="17" t="str">
        <f aca="false">IFERROR(INDEX('Evidence Pulls'!$Q$6:$Q$125,MATCH($J130,'Evidence Pulls'!$A$6:$A$125,0)),"")</f>
        <v/>
      </c>
      <c r="S130" s="17" t="str">
        <f aca="false">IF(L130&lt;&gt;"",L130,IF(K130="","Not assessed",IF(N(O130)&gt;=3,"Demonstrated","Gap - remediate")))</f>
        <v>Not assessed</v>
      </c>
      <c r="T130" s="17" t="str">
        <f aca="false">IF(J130="","No evidence pull assigned",IF(COUNTIF('Evidence Pulls'!$A$6:$A$125,J130)=0,"Pull ID not on Evidence Pulls sheet",IF(K130="","Not graded",IF(AND(G130="MANDATORY",L130="Gap - recommend tailoring"),"INVALID: safety-mandatory, not tailorable",IF(OR(P130="",P130=0),"NO NAMED EXECUTOR",IF(AND(H130="Full",IFERROR(INDEX('Evidence Pulls'!$C$6:$C$125,MATCH($J130,'Evidence Pulls'!$A$6:$A$125,0)),"")&lt;&gt;"Artifact",N(O130)&gt;=3,N(IFERROR(INDEX('Evidence Pulls'!$K$6:$K$125,MATCH($J130,'Evidence Pulls'!$A$6:$A$125,0)),""))=0),"Operating claimed with no sample",IF(AND(N(O130)&gt;=3,P130=1),"Operating rests on one individual",IF(AND(L130&lt;&gt;"",N130=""),"Override with no rationale in column N",IF(AND(G130="MANDATORY",N(O130)&lt;3),"SAFETY GATE: below Operating","OK")))))))))</f>
        <v>No evidence pull assigned</v>
      </c>
    </row>
    <row r="131" customFormat="false" ht="22.35" hidden="false" customHeight="false" outlineLevel="0" collapsed="false">
      <c r="A131" s="14" t="s">
        <v>336</v>
      </c>
      <c r="B131" s="14" t="s">
        <v>291</v>
      </c>
      <c r="C131" s="14" t="s">
        <v>322</v>
      </c>
      <c r="D131" s="14" t="s">
        <v>323</v>
      </c>
      <c r="E131" s="14" t="s">
        <v>337</v>
      </c>
      <c r="F131" s="15"/>
      <c r="G131" s="14"/>
      <c r="H131" s="14" t="s">
        <v>127</v>
      </c>
      <c r="I131" s="14" t="s">
        <v>294</v>
      </c>
      <c r="J131" s="16"/>
      <c r="K131" s="16"/>
      <c r="L131" s="16"/>
      <c r="M131" s="16"/>
      <c r="N131" s="16"/>
      <c r="O131" s="17" t="str">
        <f aca="false">IFERROR(INDEX(Lists!$B$3:$B$7,MATCH(K131,Lists!$A$3:$A$7,0)),"")</f>
        <v/>
      </c>
      <c r="P131" s="17" t="str">
        <f aca="false">IFERROR(INDEX('Evidence Pulls'!$P$6:$P$125,MATCH($J131,'Evidence Pulls'!$A$6:$A$125,0)),"")</f>
        <v/>
      </c>
      <c r="Q131" s="17" t="str">
        <f aca="false">IFERROR(INDEX('Evidence Pulls'!$H$6:$H$125,MATCH($J131,'Evidence Pulls'!$A$6:$A$125,0)),"")</f>
        <v/>
      </c>
      <c r="R131" s="17" t="str">
        <f aca="false">IFERROR(INDEX('Evidence Pulls'!$Q$6:$Q$125,MATCH($J131,'Evidence Pulls'!$A$6:$A$125,0)),"")</f>
        <v/>
      </c>
      <c r="S131" s="17" t="str">
        <f aca="false">IF(L131&lt;&gt;"",L131,IF(K131="","Not assessed",IF(N(O131)&gt;=3,"Demonstrated","Gap - remediate")))</f>
        <v>Not assessed</v>
      </c>
      <c r="T131" s="17" t="str">
        <f aca="false">IF(J131="","No evidence pull assigned",IF(COUNTIF('Evidence Pulls'!$A$6:$A$125,J131)=0,"Pull ID not on Evidence Pulls sheet",IF(K131="","Not graded",IF(AND(G131="MANDATORY",L131="Gap - recommend tailoring"),"INVALID: safety-mandatory, not tailorable",IF(OR(P131="",P131=0),"NO NAMED EXECUTOR",IF(AND(H131="Full",IFERROR(INDEX('Evidence Pulls'!$C$6:$C$125,MATCH($J131,'Evidence Pulls'!$A$6:$A$125,0)),"")&lt;&gt;"Artifact",N(O131)&gt;=3,N(IFERROR(INDEX('Evidence Pulls'!$K$6:$K$125,MATCH($J131,'Evidence Pulls'!$A$6:$A$125,0)),""))=0),"Operating claimed with no sample",IF(AND(N(O131)&gt;=3,P131=1),"Operating rests on one individual",IF(AND(L131&lt;&gt;"",N131=""),"Override with no rationale in column N",IF(AND(G131="MANDATORY",N(O131)&lt;3),"SAFETY GATE: below Operating","OK")))))))))</f>
        <v>No evidence pull assigned</v>
      </c>
    </row>
    <row r="132" customFormat="false" ht="22.35" hidden="false" customHeight="false" outlineLevel="0" collapsed="false">
      <c r="A132" s="14" t="s">
        <v>338</v>
      </c>
      <c r="B132" s="14" t="s">
        <v>291</v>
      </c>
      <c r="C132" s="14" t="s">
        <v>322</v>
      </c>
      <c r="D132" s="14" t="s">
        <v>323</v>
      </c>
      <c r="E132" s="14" t="s">
        <v>339</v>
      </c>
      <c r="F132" s="15"/>
      <c r="G132" s="14"/>
      <c r="H132" s="14" t="s">
        <v>127</v>
      </c>
      <c r="I132" s="14" t="s">
        <v>294</v>
      </c>
      <c r="J132" s="16"/>
      <c r="K132" s="16"/>
      <c r="L132" s="16"/>
      <c r="M132" s="16"/>
      <c r="N132" s="16"/>
      <c r="O132" s="17" t="str">
        <f aca="false">IFERROR(INDEX(Lists!$B$3:$B$7,MATCH(K132,Lists!$A$3:$A$7,0)),"")</f>
        <v/>
      </c>
      <c r="P132" s="17" t="str">
        <f aca="false">IFERROR(INDEX('Evidence Pulls'!$P$6:$P$125,MATCH($J132,'Evidence Pulls'!$A$6:$A$125,0)),"")</f>
        <v/>
      </c>
      <c r="Q132" s="17" t="str">
        <f aca="false">IFERROR(INDEX('Evidence Pulls'!$H$6:$H$125,MATCH($J132,'Evidence Pulls'!$A$6:$A$125,0)),"")</f>
        <v/>
      </c>
      <c r="R132" s="17" t="str">
        <f aca="false">IFERROR(INDEX('Evidence Pulls'!$Q$6:$Q$125,MATCH($J132,'Evidence Pulls'!$A$6:$A$125,0)),"")</f>
        <v/>
      </c>
      <c r="S132" s="17" t="str">
        <f aca="false">IF(L132&lt;&gt;"",L132,IF(K132="","Not assessed",IF(N(O132)&gt;=3,"Demonstrated","Gap - remediate")))</f>
        <v>Not assessed</v>
      </c>
      <c r="T132" s="17" t="str">
        <f aca="false">IF(J132="","No evidence pull assigned",IF(COUNTIF('Evidence Pulls'!$A$6:$A$125,J132)=0,"Pull ID not on Evidence Pulls sheet",IF(K132="","Not graded",IF(AND(G132="MANDATORY",L132="Gap - recommend tailoring"),"INVALID: safety-mandatory, not tailorable",IF(OR(P132="",P132=0),"NO NAMED EXECUTOR",IF(AND(H132="Full",IFERROR(INDEX('Evidence Pulls'!$C$6:$C$125,MATCH($J132,'Evidence Pulls'!$A$6:$A$125,0)),"")&lt;&gt;"Artifact",N(O132)&gt;=3,N(IFERROR(INDEX('Evidence Pulls'!$K$6:$K$125,MATCH($J132,'Evidence Pulls'!$A$6:$A$125,0)),""))=0),"Operating claimed with no sample",IF(AND(N(O132)&gt;=3,P132=1),"Operating rests on one individual",IF(AND(L132&lt;&gt;"",N132=""),"Override with no rationale in column N",IF(AND(G132="MANDATORY",N(O132)&lt;3),"SAFETY GATE: below Operating","OK")))))))))</f>
        <v>No evidence pull assigned</v>
      </c>
    </row>
    <row r="133" customFormat="false" ht="22.35" hidden="false" customHeight="false" outlineLevel="0" collapsed="false">
      <c r="A133" s="14" t="s">
        <v>340</v>
      </c>
      <c r="B133" s="14" t="s">
        <v>291</v>
      </c>
      <c r="C133" s="14" t="s">
        <v>322</v>
      </c>
      <c r="D133" s="14" t="s">
        <v>323</v>
      </c>
      <c r="E133" s="14" t="s">
        <v>341</v>
      </c>
      <c r="F133" s="15"/>
      <c r="G133" s="14"/>
      <c r="H133" s="14" t="s">
        <v>127</v>
      </c>
      <c r="I133" s="14" t="s">
        <v>294</v>
      </c>
      <c r="J133" s="16"/>
      <c r="K133" s="16"/>
      <c r="L133" s="16"/>
      <c r="M133" s="16"/>
      <c r="N133" s="16"/>
      <c r="O133" s="17" t="str">
        <f aca="false">IFERROR(INDEX(Lists!$B$3:$B$7,MATCH(K133,Lists!$A$3:$A$7,0)),"")</f>
        <v/>
      </c>
      <c r="P133" s="17" t="str">
        <f aca="false">IFERROR(INDEX('Evidence Pulls'!$P$6:$P$125,MATCH($J133,'Evidence Pulls'!$A$6:$A$125,0)),"")</f>
        <v/>
      </c>
      <c r="Q133" s="17" t="str">
        <f aca="false">IFERROR(INDEX('Evidence Pulls'!$H$6:$H$125,MATCH($J133,'Evidence Pulls'!$A$6:$A$125,0)),"")</f>
        <v/>
      </c>
      <c r="R133" s="17" t="str">
        <f aca="false">IFERROR(INDEX('Evidence Pulls'!$Q$6:$Q$125,MATCH($J133,'Evidence Pulls'!$A$6:$A$125,0)),"")</f>
        <v/>
      </c>
      <c r="S133" s="17" t="str">
        <f aca="false">IF(L133&lt;&gt;"",L133,IF(K133="","Not assessed",IF(N(O133)&gt;=3,"Demonstrated","Gap - remediate")))</f>
        <v>Not assessed</v>
      </c>
      <c r="T133" s="17" t="str">
        <f aca="false">IF(J133="","No evidence pull assigned",IF(COUNTIF('Evidence Pulls'!$A$6:$A$125,J133)=0,"Pull ID not on Evidence Pulls sheet",IF(K133="","Not graded",IF(AND(G133="MANDATORY",L133="Gap - recommend tailoring"),"INVALID: safety-mandatory, not tailorable",IF(OR(P133="",P133=0),"NO NAMED EXECUTOR",IF(AND(H133="Full",IFERROR(INDEX('Evidence Pulls'!$C$6:$C$125,MATCH($J133,'Evidence Pulls'!$A$6:$A$125,0)),"")&lt;&gt;"Artifact",N(O133)&gt;=3,N(IFERROR(INDEX('Evidence Pulls'!$K$6:$K$125,MATCH($J133,'Evidence Pulls'!$A$6:$A$125,0)),""))=0),"Operating claimed with no sample",IF(AND(N(O133)&gt;=3,P133=1),"Operating rests on one individual",IF(AND(L133&lt;&gt;"",N133=""),"Override with no rationale in column N",IF(AND(G133="MANDATORY",N(O133)&lt;3),"SAFETY GATE: below Operating","OK")))))))))</f>
        <v>No evidence pull assigned</v>
      </c>
    </row>
    <row r="134" customFormat="false" ht="22.35" hidden="false" customHeight="false" outlineLevel="0" collapsed="false">
      <c r="A134" s="14" t="s">
        <v>342</v>
      </c>
      <c r="B134" s="14" t="s">
        <v>291</v>
      </c>
      <c r="C134" s="14" t="s">
        <v>322</v>
      </c>
      <c r="D134" s="14" t="s">
        <v>323</v>
      </c>
      <c r="E134" s="14" t="s">
        <v>343</v>
      </c>
      <c r="F134" s="15"/>
      <c r="G134" s="14"/>
      <c r="H134" s="14" t="s">
        <v>127</v>
      </c>
      <c r="I134" s="14" t="s">
        <v>294</v>
      </c>
      <c r="J134" s="16"/>
      <c r="K134" s="16"/>
      <c r="L134" s="16"/>
      <c r="M134" s="16"/>
      <c r="N134" s="16"/>
      <c r="O134" s="17" t="str">
        <f aca="false">IFERROR(INDEX(Lists!$B$3:$B$7,MATCH(K134,Lists!$A$3:$A$7,0)),"")</f>
        <v/>
      </c>
      <c r="P134" s="17" t="str">
        <f aca="false">IFERROR(INDEX('Evidence Pulls'!$P$6:$P$125,MATCH($J134,'Evidence Pulls'!$A$6:$A$125,0)),"")</f>
        <v/>
      </c>
      <c r="Q134" s="17" t="str">
        <f aca="false">IFERROR(INDEX('Evidence Pulls'!$H$6:$H$125,MATCH($J134,'Evidence Pulls'!$A$6:$A$125,0)),"")</f>
        <v/>
      </c>
      <c r="R134" s="17" t="str">
        <f aca="false">IFERROR(INDEX('Evidence Pulls'!$Q$6:$Q$125,MATCH($J134,'Evidence Pulls'!$A$6:$A$125,0)),"")</f>
        <v/>
      </c>
      <c r="S134" s="17" t="str">
        <f aca="false">IF(L134&lt;&gt;"",L134,IF(K134="","Not assessed",IF(N(O134)&gt;=3,"Demonstrated","Gap - remediate")))</f>
        <v>Not assessed</v>
      </c>
      <c r="T134" s="17" t="str">
        <f aca="false">IF(J134="","No evidence pull assigned",IF(COUNTIF('Evidence Pulls'!$A$6:$A$125,J134)=0,"Pull ID not on Evidence Pulls sheet",IF(K134="","Not graded",IF(AND(G134="MANDATORY",L134="Gap - recommend tailoring"),"INVALID: safety-mandatory, not tailorable",IF(OR(P134="",P134=0),"NO NAMED EXECUTOR",IF(AND(H134="Full",IFERROR(INDEX('Evidence Pulls'!$C$6:$C$125,MATCH($J134,'Evidence Pulls'!$A$6:$A$125,0)),"")&lt;&gt;"Artifact",N(O134)&gt;=3,N(IFERROR(INDEX('Evidence Pulls'!$K$6:$K$125,MATCH($J134,'Evidence Pulls'!$A$6:$A$125,0)),""))=0),"Operating claimed with no sample",IF(AND(N(O134)&gt;=3,P134=1),"Operating rests on one individual",IF(AND(L134&lt;&gt;"",N134=""),"Override with no rationale in column N",IF(AND(G134="MANDATORY",N(O134)&lt;3),"SAFETY GATE: below Operating","OK")))))))))</f>
        <v>No evidence pull assigned</v>
      </c>
    </row>
    <row r="135" customFormat="false" ht="22.35" hidden="false" customHeight="false" outlineLevel="0" collapsed="false">
      <c r="A135" s="14" t="s">
        <v>344</v>
      </c>
      <c r="B135" s="14" t="s">
        <v>291</v>
      </c>
      <c r="C135" s="14" t="s">
        <v>322</v>
      </c>
      <c r="D135" s="14" t="s">
        <v>323</v>
      </c>
      <c r="E135" s="14" t="s">
        <v>345</v>
      </c>
      <c r="F135" s="15"/>
      <c r="G135" s="14"/>
      <c r="H135" s="14" t="s">
        <v>127</v>
      </c>
      <c r="I135" s="14" t="s">
        <v>294</v>
      </c>
      <c r="J135" s="16"/>
      <c r="K135" s="16"/>
      <c r="L135" s="16"/>
      <c r="M135" s="16"/>
      <c r="N135" s="16"/>
      <c r="O135" s="17" t="str">
        <f aca="false">IFERROR(INDEX(Lists!$B$3:$B$7,MATCH(K135,Lists!$A$3:$A$7,0)),"")</f>
        <v/>
      </c>
      <c r="P135" s="17" t="str">
        <f aca="false">IFERROR(INDEX('Evidence Pulls'!$P$6:$P$125,MATCH($J135,'Evidence Pulls'!$A$6:$A$125,0)),"")</f>
        <v/>
      </c>
      <c r="Q135" s="17" t="str">
        <f aca="false">IFERROR(INDEX('Evidence Pulls'!$H$6:$H$125,MATCH($J135,'Evidence Pulls'!$A$6:$A$125,0)),"")</f>
        <v/>
      </c>
      <c r="R135" s="17" t="str">
        <f aca="false">IFERROR(INDEX('Evidence Pulls'!$Q$6:$Q$125,MATCH($J135,'Evidence Pulls'!$A$6:$A$125,0)),"")</f>
        <v/>
      </c>
      <c r="S135" s="17" t="str">
        <f aca="false">IF(L135&lt;&gt;"",L135,IF(K135="","Not assessed",IF(N(O135)&gt;=3,"Demonstrated","Gap - remediate")))</f>
        <v>Not assessed</v>
      </c>
      <c r="T135" s="17" t="str">
        <f aca="false">IF(J135="","No evidence pull assigned",IF(COUNTIF('Evidence Pulls'!$A$6:$A$125,J135)=0,"Pull ID not on Evidence Pulls sheet",IF(K135="","Not graded",IF(AND(G135="MANDATORY",L135="Gap - recommend tailoring"),"INVALID: safety-mandatory, not tailorable",IF(OR(P135="",P135=0),"NO NAMED EXECUTOR",IF(AND(H135="Full",IFERROR(INDEX('Evidence Pulls'!$C$6:$C$125,MATCH($J135,'Evidence Pulls'!$A$6:$A$125,0)),"")&lt;&gt;"Artifact",N(O135)&gt;=3,N(IFERROR(INDEX('Evidence Pulls'!$K$6:$K$125,MATCH($J135,'Evidence Pulls'!$A$6:$A$125,0)),""))=0),"Operating claimed with no sample",IF(AND(N(O135)&gt;=3,P135=1),"Operating rests on one individual",IF(AND(L135&lt;&gt;"",N135=""),"Override with no rationale in column N",IF(AND(G135="MANDATORY",N(O135)&lt;3),"SAFETY GATE: below Operating","OK")))))))))</f>
        <v>No evidence pull assigned</v>
      </c>
    </row>
    <row r="136" customFormat="false" ht="22.35" hidden="false" customHeight="false" outlineLevel="0" collapsed="false">
      <c r="A136" s="14" t="s">
        <v>346</v>
      </c>
      <c r="B136" s="14" t="s">
        <v>291</v>
      </c>
      <c r="C136" s="14" t="s">
        <v>322</v>
      </c>
      <c r="D136" s="14" t="s">
        <v>323</v>
      </c>
      <c r="E136" s="14" t="s">
        <v>347</v>
      </c>
      <c r="F136" s="15"/>
      <c r="G136" s="14"/>
      <c r="H136" s="14" t="s">
        <v>127</v>
      </c>
      <c r="I136" s="14" t="s">
        <v>294</v>
      </c>
      <c r="J136" s="16"/>
      <c r="K136" s="16"/>
      <c r="L136" s="16"/>
      <c r="M136" s="16"/>
      <c r="N136" s="16"/>
      <c r="O136" s="17" t="str">
        <f aca="false">IFERROR(INDEX(Lists!$B$3:$B$7,MATCH(K136,Lists!$A$3:$A$7,0)),"")</f>
        <v/>
      </c>
      <c r="P136" s="17" t="str">
        <f aca="false">IFERROR(INDEX('Evidence Pulls'!$P$6:$P$125,MATCH($J136,'Evidence Pulls'!$A$6:$A$125,0)),"")</f>
        <v/>
      </c>
      <c r="Q136" s="17" t="str">
        <f aca="false">IFERROR(INDEX('Evidence Pulls'!$H$6:$H$125,MATCH($J136,'Evidence Pulls'!$A$6:$A$125,0)),"")</f>
        <v/>
      </c>
      <c r="R136" s="17" t="str">
        <f aca="false">IFERROR(INDEX('Evidence Pulls'!$Q$6:$Q$125,MATCH($J136,'Evidence Pulls'!$A$6:$A$125,0)),"")</f>
        <v/>
      </c>
      <c r="S136" s="17" t="str">
        <f aca="false">IF(L136&lt;&gt;"",L136,IF(K136="","Not assessed",IF(N(O136)&gt;=3,"Demonstrated","Gap - remediate")))</f>
        <v>Not assessed</v>
      </c>
      <c r="T136" s="17" t="str">
        <f aca="false">IF(J136="","No evidence pull assigned",IF(COUNTIF('Evidence Pulls'!$A$6:$A$125,J136)=0,"Pull ID not on Evidence Pulls sheet",IF(K136="","Not graded",IF(AND(G136="MANDATORY",L136="Gap - recommend tailoring"),"INVALID: safety-mandatory, not tailorable",IF(OR(P136="",P136=0),"NO NAMED EXECUTOR",IF(AND(H136="Full",IFERROR(INDEX('Evidence Pulls'!$C$6:$C$125,MATCH($J136,'Evidence Pulls'!$A$6:$A$125,0)),"")&lt;&gt;"Artifact",N(O136)&gt;=3,N(IFERROR(INDEX('Evidence Pulls'!$K$6:$K$125,MATCH($J136,'Evidence Pulls'!$A$6:$A$125,0)),""))=0),"Operating claimed with no sample",IF(AND(N(O136)&gt;=3,P136=1),"Operating rests on one individual",IF(AND(L136&lt;&gt;"",N136=""),"Override with no rationale in column N",IF(AND(G136="MANDATORY",N(O136)&lt;3),"SAFETY GATE: below Operating","OK")))))))))</f>
        <v>No evidence pull assigned</v>
      </c>
    </row>
    <row r="137" customFormat="false" ht="22.35" hidden="false" customHeight="false" outlineLevel="0" collapsed="false">
      <c r="A137" s="14" t="s">
        <v>348</v>
      </c>
      <c r="B137" s="14" t="s">
        <v>291</v>
      </c>
      <c r="C137" s="14" t="s">
        <v>322</v>
      </c>
      <c r="D137" s="14" t="s">
        <v>323</v>
      </c>
      <c r="E137" s="14" t="s">
        <v>349</v>
      </c>
      <c r="F137" s="15"/>
      <c r="G137" s="14"/>
      <c r="H137" s="14" t="s">
        <v>127</v>
      </c>
      <c r="I137" s="14" t="s">
        <v>294</v>
      </c>
      <c r="J137" s="16"/>
      <c r="K137" s="16"/>
      <c r="L137" s="16"/>
      <c r="M137" s="16"/>
      <c r="N137" s="16"/>
      <c r="O137" s="17" t="str">
        <f aca="false">IFERROR(INDEX(Lists!$B$3:$B$7,MATCH(K137,Lists!$A$3:$A$7,0)),"")</f>
        <v/>
      </c>
      <c r="P137" s="17" t="str">
        <f aca="false">IFERROR(INDEX('Evidence Pulls'!$P$6:$P$125,MATCH($J137,'Evidence Pulls'!$A$6:$A$125,0)),"")</f>
        <v/>
      </c>
      <c r="Q137" s="17" t="str">
        <f aca="false">IFERROR(INDEX('Evidence Pulls'!$H$6:$H$125,MATCH($J137,'Evidence Pulls'!$A$6:$A$125,0)),"")</f>
        <v/>
      </c>
      <c r="R137" s="17" t="str">
        <f aca="false">IFERROR(INDEX('Evidence Pulls'!$Q$6:$Q$125,MATCH($J137,'Evidence Pulls'!$A$6:$A$125,0)),"")</f>
        <v/>
      </c>
      <c r="S137" s="17" t="str">
        <f aca="false">IF(L137&lt;&gt;"",L137,IF(K137="","Not assessed",IF(N(O137)&gt;=3,"Demonstrated","Gap - remediate")))</f>
        <v>Not assessed</v>
      </c>
      <c r="T137" s="17" t="str">
        <f aca="false">IF(J137="","No evidence pull assigned",IF(COUNTIF('Evidence Pulls'!$A$6:$A$125,J137)=0,"Pull ID not on Evidence Pulls sheet",IF(K137="","Not graded",IF(AND(G137="MANDATORY",L137="Gap - recommend tailoring"),"INVALID: safety-mandatory, not tailorable",IF(OR(P137="",P137=0),"NO NAMED EXECUTOR",IF(AND(H137="Full",IFERROR(INDEX('Evidence Pulls'!$C$6:$C$125,MATCH($J137,'Evidence Pulls'!$A$6:$A$125,0)),"")&lt;&gt;"Artifact",N(O137)&gt;=3,N(IFERROR(INDEX('Evidence Pulls'!$K$6:$K$125,MATCH($J137,'Evidence Pulls'!$A$6:$A$125,0)),""))=0),"Operating claimed with no sample",IF(AND(N(O137)&gt;=3,P137=1),"Operating rests on one individual",IF(AND(L137&lt;&gt;"",N137=""),"Override with no rationale in column N",IF(AND(G137="MANDATORY",N(O137)&lt;3),"SAFETY GATE: below Operating","OK")))))))))</f>
        <v>No evidence pull assigned</v>
      </c>
    </row>
    <row r="138" customFormat="false" ht="22.35" hidden="false" customHeight="false" outlineLevel="0" collapsed="false">
      <c r="A138" s="14" t="s">
        <v>350</v>
      </c>
      <c r="B138" s="14" t="s">
        <v>291</v>
      </c>
      <c r="C138" s="14" t="s">
        <v>322</v>
      </c>
      <c r="D138" s="14" t="s">
        <v>323</v>
      </c>
      <c r="E138" s="14" t="s">
        <v>351</v>
      </c>
      <c r="F138" s="15"/>
      <c r="G138" s="14"/>
      <c r="H138" s="14" t="s">
        <v>127</v>
      </c>
      <c r="I138" s="14" t="s">
        <v>294</v>
      </c>
      <c r="J138" s="16"/>
      <c r="K138" s="16"/>
      <c r="L138" s="16"/>
      <c r="M138" s="16"/>
      <c r="N138" s="16"/>
      <c r="O138" s="17" t="str">
        <f aca="false">IFERROR(INDEX(Lists!$B$3:$B$7,MATCH(K138,Lists!$A$3:$A$7,0)),"")</f>
        <v/>
      </c>
      <c r="P138" s="17" t="str">
        <f aca="false">IFERROR(INDEX('Evidence Pulls'!$P$6:$P$125,MATCH($J138,'Evidence Pulls'!$A$6:$A$125,0)),"")</f>
        <v/>
      </c>
      <c r="Q138" s="17" t="str">
        <f aca="false">IFERROR(INDEX('Evidence Pulls'!$H$6:$H$125,MATCH($J138,'Evidence Pulls'!$A$6:$A$125,0)),"")</f>
        <v/>
      </c>
      <c r="R138" s="17" t="str">
        <f aca="false">IFERROR(INDEX('Evidence Pulls'!$Q$6:$Q$125,MATCH($J138,'Evidence Pulls'!$A$6:$A$125,0)),"")</f>
        <v/>
      </c>
      <c r="S138" s="17" t="str">
        <f aca="false">IF(L138&lt;&gt;"",L138,IF(K138="","Not assessed",IF(N(O138)&gt;=3,"Demonstrated","Gap - remediate")))</f>
        <v>Not assessed</v>
      </c>
      <c r="T138" s="17" t="str">
        <f aca="false">IF(J138="","No evidence pull assigned",IF(COUNTIF('Evidence Pulls'!$A$6:$A$125,J138)=0,"Pull ID not on Evidence Pulls sheet",IF(K138="","Not graded",IF(AND(G138="MANDATORY",L138="Gap - recommend tailoring"),"INVALID: safety-mandatory, not tailorable",IF(OR(P138="",P138=0),"NO NAMED EXECUTOR",IF(AND(H138="Full",IFERROR(INDEX('Evidence Pulls'!$C$6:$C$125,MATCH($J138,'Evidence Pulls'!$A$6:$A$125,0)),"")&lt;&gt;"Artifact",N(O138)&gt;=3,N(IFERROR(INDEX('Evidence Pulls'!$K$6:$K$125,MATCH($J138,'Evidence Pulls'!$A$6:$A$125,0)),""))=0),"Operating claimed with no sample",IF(AND(N(O138)&gt;=3,P138=1),"Operating rests on one individual",IF(AND(L138&lt;&gt;"",N138=""),"Override with no rationale in column N",IF(AND(G138="MANDATORY",N(O138)&lt;3),"SAFETY GATE: below Operating","OK")))))))))</f>
        <v>No evidence pull assigned</v>
      </c>
    </row>
    <row r="139" customFormat="false" ht="22.35" hidden="false" customHeight="false" outlineLevel="0" collapsed="false">
      <c r="A139" s="14" t="s">
        <v>352</v>
      </c>
      <c r="B139" s="14" t="s">
        <v>291</v>
      </c>
      <c r="C139" s="14" t="s">
        <v>322</v>
      </c>
      <c r="D139" s="14" t="s">
        <v>323</v>
      </c>
      <c r="E139" s="14" t="s">
        <v>353</v>
      </c>
      <c r="F139" s="15"/>
      <c r="G139" s="14"/>
      <c r="H139" s="14" t="s">
        <v>127</v>
      </c>
      <c r="I139" s="14" t="s">
        <v>294</v>
      </c>
      <c r="J139" s="16"/>
      <c r="K139" s="16"/>
      <c r="L139" s="16"/>
      <c r="M139" s="16"/>
      <c r="N139" s="16"/>
      <c r="O139" s="17" t="str">
        <f aca="false">IFERROR(INDEX(Lists!$B$3:$B$7,MATCH(K139,Lists!$A$3:$A$7,0)),"")</f>
        <v/>
      </c>
      <c r="P139" s="17" t="str">
        <f aca="false">IFERROR(INDEX('Evidence Pulls'!$P$6:$P$125,MATCH($J139,'Evidence Pulls'!$A$6:$A$125,0)),"")</f>
        <v/>
      </c>
      <c r="Q139" s="17" t="str">
        <f aca="false">IFERROR(INDEX('Evidence Pulls'!$H$6:$H$125,MATCH($J139,'Evidence Pulls'!$A$6:$A$125,0)),"")</f>
        <v/>
      </c>
      <c r="R139" s="17" t="str">
        <f aca="false">IFERROR(INDEX('Evidence Pulls'!$Q$6:$Q$125,MATCH($J139,'Evidence Pulls'!$A$6:$A$125,0)),"")</f>
        <v/>
      </c>
      <c r="S139" s="17" t="str">
        <f aca="false">IF(L139&lt;&gt;"",L139,IF(K139="","Not assessed",IF(N(O139)&gt;=3,"Demonstrated","Gap - remediate")))</f>
        <v>Not assessed</v>
      </c>
      <c r="T139" s="17" t="str">
        <f aca="false">IF(J139="","No evidence pull assigned",IF(COUNTIF('Evidence Pulls'!$A$6:$A$125,J139)=0,"Pull ID not on Evidence Pulls sheet",IF(K139="","Not graded",IF(AND(G139="MANDATORY",L139="Gap - recommend tailoring"),"INVALID: safety-mandatory, not tailorable",IF(OR(P139="",P139=0),"NO NAMED EXECUTOR",IF(AND(H139="Full",IFERROR(INDEX('Evidence Pulls'!$C$6:$C$125,MATCH($J139,'Evidence Pulls'!$A$6:$A$125,0)),"")&lt;&gt;"Artifact",N(O139)&gt;=3,N(IFERROR(INDEX('Evidence Pulls'!$K$6:$K$125,MATCH($J139,'Evidence Pulls'!$A$6:$A$125,0)),""))=0),"Operating claimed with no sample",IF(AND(N(O139)&gt;=3,P139=1),"Operating rests on one individual",IF(AND(L139&lt;&gt;"",N139=""),"Override with no rationale in column N",IF(AND(G139="MANDATORY",N(O139)&lt;3),"SAFETY GATE: below Operating","OK")))))))))</f>
        <v>No evidence pull assigned</v>
      </c>
    </row>
    <row r="140" customFormat="false" ht="22.35" hidden="false" customHeight="false" outlineLevel="0" collapsed="false">
      <c r="A140" s="14" t="s">
        <v>354</v>
      </c>
      <c r="B140" s="14" t="s">
        <v>291</v>
      </c>
      <c r="C140" s="14" t="s">
        <v>322</v>
      </c>
      <c r="D140" s="14" t="s">
        <v>323</v>
      </c>
      <c r="E140" s="14" t="s">
        <v>355</v>
      </c>
      <c r="F140" s="15"/>
      <c r="G140" s="14"/>
      <c r="H140" s="14" t="s">
        <v>127</v>
      </c>
      <c r="I140" s="14" t="s">
        <v>294</v>
      </c>
      <c r="J140" s="16"/>
      <c r="K140" s="16"/>
      <c r="L140" s="16"/>
      <c r="M140" s="16"/>
      <c r="N140" s="16"/>
      <c r="O140" s="17" t="str">
        <f aca="false">IFERROR(INDEX(Lists!$B$3:$B$7,MATCH(K140,Lists!$A$3:$A$7,0)),"")</f>
        <v/>
      </c>
      <c r="P140" s="17" t="str">
        <f aca="false">IFERROR(INDEX('Evidence Pulls'!$P$6:$P$125,MATCH($J140,'Evidence Pulls'!$A$6:$A$125,0)),"")</f>
        <v/>
      </c>
      <c r="Q140" s="17" t="str">
        <f aca="false">IFERROR(INDEX('Evidence Pulls'!$H$6:$H$125,MATCH($J140,'Evidence Pulls'!$A$6:$A$125,0)),"")</f>
        <v/>
      </c>
      <c r="R140" s="17" t="str">
        <f aca="false">IFERROR(INDEX('Evidence Pulls'!$Q$6:$Q$125,MATCH($J140,'Evidence Pulls'!$A$6:$A$125,0)),"")</f>
        <v/>
      </c>
      <c r="S140" s="17" t="str">
        <f aca="false">IF(L140&lt;&gt;"",L140,IF(K140="","Not assessed",IF(N(O140)&gt;=3,"Demonstrated","Gap - remediate")))</f>
        <v>Not assessed</v>
      </c>
      <c r="T140" s="17" t="str">
        <f aca="false">IF(J140="","No evidence pull assigned",IF(COUNTIF('Evidence Pulls'!$A$6:$A$125,J140)=0,"Pull ID not on Evidence Pulls sheet",IF(K140="","Not graded",IF(AND(G140="MANDATORY",L140="Gap - recommend tailoring"),"INVALID: safety-mandatory, not tailorable",IF(OR(P140="",P140=0),"NO NAMED EXECUTOR",IF(AND(H140="Full",IFERROR(INDEX('Evidence Pulls'!$C$6:$C$125,MATCH($J140,'Evidence Pulls'!$A$6:$A$125,0)),"")&lt;&gt;"Artifact",N(O140)&gt;=3,N(IFERROR(INDEX('Evidence Pulls'!$K$6:$K$125,MATCH($J140,'Evidence Pulls'!$A$6:$A$125,0)),""))=0),"Operating claimed with no sample",IF(AND(N(O140)&gt;=3,P140=1),"Operating rests on one individual",IF(AND(L140&lt;&gt;"",N140=""),"Override with no rationale in column N",IF(AND(G140="MANDATORY",N(O140)&lt;3),"SAFETY GATE: below Operating","OK")))))))))</f>
        <v>No evidence pull assigned</v>
      </c>
    </row>
    <row r="141" customFormat="false" ht="22.35" hidden="false" customHeight="false" outlineLevel="0" collapsed="false">
      <c r="A141" s="14" t="s">
        <v>356</v>
      </c>
      <c r="B141" s="14" t="s">
        <v>291</v>
      </c>
      <c r="C141" s="14" t="s">
        <v>322</v>
      </c>
      <c r="D141" s="14" t="s">
        <v>323</v>
      </c>
      <c r="E141" s="14" t="s">
        <v>357</v>
      </c>
      <c r="F141" s="15"/>
      <c r="G141" s="14"/>
      <c r="H141" s="14" t="s">
        <v>127</v>
      </c>
      <c r="I141" s="14" t="s">
        <v>294</v>
      </c>
      <c r="J141" s="16"/>
      <c r="K141" s="16"/>
      <c r="L141" s="16"/>
      <c r="M141" s="16"/>
      <c r="N141" s="16"/>
      <c r="O141" s="17" t="str">
        <f aca="false">IFERROR(INDEX(Lists!$B$3:$B$7,MATCH(K141,Lists!$A$3:$A$7,0)),"")</f>
        <v/>
      </c>
      <c r="P141" s="17" t="str">
        <f aca="false">IFERROR(INDEX('Evidence Pulls'!$P$6:$P$125,MATCH($J141,'Evidence Pulls'!$A$6:$A$125,0)),"")</f>
        <v/>
      </c>
      <c r="Q141" s="17" t="str">
        <f aca="false">IFERROR(INDEX('Evidence Pulls'!$H$6:$H$125,MATCH($J141,'Evidence Pulls'!$A$6:$A$125,0)),"")</f>
        <v/>
      </c>
      <c r="R141" s="17" t="str">
        <f aca="false">IFERROR(INDEX('Evidence Pulls'!$Q$6:$Q$125,MATCH($J141,'Evidence Pulls'!$A$6:$A$125,0)),"")</f>
        <v/>
      </c>
      <c r="S141" s="17" t="str">
        <f aca="false">IF(L141&lt;&gt;"",L141,IF(K141="","Not assessed",IF(N(O141)&gt;=3,"Demonstrated","Gap - remediate")))</f>
        <v>Not assessed</v>
      </c>
      <c r="T141" s="17" t="str">
        <f aca="false">IF(J141="","No evidence pull assigned",IF(COUNTIF('Evidence Pulls'!$A$6:$A$125,J141)=0,"Pull ID not on Evidence Pulls sheet",IF(K141="","Not graded",IF(AND(G141="MANDATORY",L141="Gap - recommend tailoring"),"INVALID: safety-mandatory, not tailorable",IF(OR(P141="",P141=0),"NO NAMED EXECUTOR",IF(AND(H141="Full",IFERROR(INDEX('Evidence Pulls'!$C$6:$C$125,MATCH($J141,'Evidence Pulls'!$A$6:$A$125,0)),"")&lt;&gt;"Artifact",N(O141)&gt;=3,N(IFERROR(INDEX('Evidence Pulls'!$K$6:$K$125,MATCH($J141,'Evidence Pulls'!$A$6:$A$125,0)),""))=0),"Operating claimed with no sample",IF(AND(N(O141)&gt;=3,P141=1),"Operating rests on one individual",IF(AND(L141&lt;&gt;"",N141=""),"Override with no rationale in column N",IF(AND(G141="MANDATORY",N(O141)&lt;3),"SAFETY GATE: below Operating","OK")))))))))</f>
        <v>No evidence pull assigned</v>
      </c>
    </row>
    <row r="142" customFormat="false" ht="22.35" hidden="false" customHeight="false" outlineLevel="0" collapsed="false">
      <c r="A142" s="14" t="s">
        <v>358</v>
      </c>
      <c r="B142" s="14" t="s">
        <v>291</v>
      </c>
      <c r="C142" s="14" t="s">
        <v>322</v>
      </c>
      <c r="D142" s="14" t="s">
        <v>323</v>
      </c>
      <c r="E142" s="14" t="s">
        <v>359</v>
      </c>
      <c r="F142" s="15"/>
      <c r="G142" s="14"/>
      <c r="H142" s="14" t="s">
        <v>127</v>
      </c>
      <c r="I142" s="14" t="s">
        <v>294</v>
      </c>
      <c r="J142" s="16"/>
      <c r="K142" s="16"/>
      <c r="L142" s="16"/>
      <c r="M142" s="16"/>
      <c r="N142" s="16"/>
      <c r="O142" s="17" t="str">
        <f aca="false">IFERROR(INDEX(Lists!$B$3:$B$7,MATCH(K142,Lists!$A$3:$A$7,0)),"")</f>
        <v/>
      </c>
      <c r="P142" s="17" t="str">
        <f aca="false">IFERROR(INDEX('Evidence Pulls'!$P$6:$P$125,MATCH($J142,'Evidence Pulls'!$A$6:$A$125,0)),"")</f>
        <v/>
      </c>
      <c r="Q142" s="17" t="str">
        <f aca="false">IFERROR(INDEX('Evidence Pulls'!$H$6:$H$125,MATCH($J142,'Evidence Pulls'!$A$6:$A$125,0)),"")</f>
        <v/>
      </c>
      <c r="R142" s="17" t="str">
        <f aca="false">IFERROR(INDEX('Evidence Pulls'!$Q$6:$Q$125,MATCH($J142,'Evidence Pulls'!$A$6:$A$125,0)),"")</f>
        <v/>
      </c>
      <c r="S142" s="17" t="str">
        <f aca="false">IF(L142&lt;&gt;"",L142,IF(K142="","Not assessed",IF(N(O142)&gt;=3,"Demonstrated","Gap - remediate")))</f>
        <v>Not assessed</v>
      </c>
      <c r="T142" s="17" t="str">
        <f aca="false">IF(J142="","No evidence pull assigned",IF(COUNTIF('Evidence Pulls'!$A$6:$A$125,J142)=0,"Pull ID not on Evidence Pulls sheet",IF(K142="","Not graded",IF(AND(G142="MANDATORY",L142="Gap - recommend tailoring"),"INVALID: safety-mandatory, not tailorable",IF(OR(P142="",P142=0),"NO NAMED EXECUTOR",IF(AND(H142="Full",IFERROR(INDEX('Evidence Pulls'!$C$6:$C$125,MATCH($J142,'Evidence Pulls'!$A$6:$A$125,0)),"")&lt;&gt;"Artifact",N(O142)&gt;=3,N(IFERROR(INDEX('Evidence Pulls'!$K$6:$K$125,MATCH($J142,'Evidence Pulls'!$A$6:$A$125,0)),""))=0),"Operating claimed with no sample",IF(AND(N(O142)&gt;=3,P142=1),"Operating rests on one individual",IF(AND(L142&lt;&gt;"",N142=""),"Override with no rationale in column N",IF(AND(G142="MANDATORY",N(O142)&lt;3),"SAFETY GATE: below Operating","OK")))))))))</f>
        <v>No evidence pull assigned</v>
      </c>
    </row>
    <row r="143" customFormat="false" ht="22.35" hidden="false" customHeight="false" outlineLevel="0" collapsed="false">
      <c r="A143" s="14" t="s">
        <v>360</v>
      </c>
      <c r="B143" s="14" t="s">
        <v>291</v>
      </c>
      <c r="C143" s="14" t="s">
        <v>322</v>
      </c>
      <c r="D143" s="14" t="s">
        <v>323</v>
      </c>
      <c r="E143" s="14" t="s">
        <v>361</v>
      </c>
      <c r="F143" s="15"/>
      <c r="G143" s="14"/>
      <c r="H143" s="14" t="s">
        <v>127</v>
      </c>
      <c r="I143" s="14" t="s">
        <v>294</v>
      </c>
      <c r="J143" s="16"/>
      <c r="K143" s="16"/>
      <c r="L143" s="16"/>
      <c r="M143" s="16"/>
      <c r="N143" s="16"/>
      <c r="O143" s="17" t="str">
        <f aca="false">IFERROR(INDEX(Lists!$B$3:$B$7,MATCH(K143,Lists!$A$3:$A$7,0)),"")</f>
        <v/>
      </c>
      <c r="P143" s="17" t="str">
        <f aca="false">IFERROR(INDEX('Evidence Pulls'!$P$6:$P$125,MATCH($J143,'Evidence Pulls'!$A$6:$A$125,0)),"")</f>
        <v/>
      </c>
      <c r="Q143" s="17" t="str">
        <f aca="false">IFERROR(INDEX('Evidence Pulls'!$H$6:$H$125,MATCH($J143,'Evidence Pulls'!$A$6:$A$125,0)),"")</f>
        <v/>
      </c>
      <c r="R143" s="17" t="str">
        <f aca="false">IFERROR(INDEX('Evidence Pulls'!$Q$6:$Q$125,MATCH($J143,'Evidence Pulls'!$A$6:$A$125,0)),"")</f>
        <v/>
      </c>
      <c r="S143" s="17" t="str">
        <f aca="false">IF(L143&lt;&gt;"",L143,IF(K143="","Not assessed",IF(N(O143)&gt;=3,"Demonstrated","Gap - remediate")))</f>
        <v>Not assessed</v>
      </c>
      <c r="T143" s="17" t="str">
        <f aca="false">IF(J143="","No evidence pull assigned",IF(COUNTIF('Evidence Pulls'!$A$6:$A$125,J143)=0,"Pull ID not on Evidence Pulls sheet",IF(K143="","Not graded",IF(AND(G143="MANDATORY",L143="Gap - recommend tailoring"),"INVALID: safety-mandatory, not tailorable",IF(OR(P143="",P143=0),"NO NAMED EXECUTOR",IF(AND(H143="Full",IFERROR(INDEX('Evidence Pulls'!$C$6:$C$125,MATCH($J143,'Evidence Pulls'!$A$6:$A$125,0)),"")&lt;&gt;"Artifact",N(O143)&gt;=3,N(IFERROR(INDEX('Evidence Pulls'!$K$6:$K$125,MATCH($J143,'Evidence Pulls'!$A$6:$A$125,0)),""))=0),"Operating claimed with no sample",IF(AND(N(O143)&gt;=3,P143=1),"Operating rests on one individual",IF(AND(L143&lt;&gt;"",N143=""),"Override with no rationale in column N",IF(AND(G143="MANDATORY",N(O143)&lt;3),"SAFETY GATE: below Operating","OK")))))))))</f>
        <v>No evidence pull assigned</v>
      </c>
    </row>
    <row r="144" customFormat="false" ht="22.35" hidden="false" customHeight="false" outlineLevel="0" collapsed="false">
      <c r="A144" s="14" t="s">
        <v>362</v>
      </c>
      <c r="B144" s="14" t="s">
        <v>291</v>
      </c>
      <c r="C144" s="14" t="s">
        <v>322</v>
      </c>
      <c r="D144" s="14" t="s">
        <v>323</v>
      </c>
      <c r="E144" s="14" t="s">
        <v>363</v>
      </c>
      <c r="F144" s="15"/>
      <c r="G144" s="14"/>
      <c r="H144" s="14" t="s">
        <v>127</v>
      </c>
      <c r="I144" s="14" t="s">
        <v>294</v>
      </c>
      <c r="J144" s="16"/>
      <c r="K144" s="16"/>
      <c r="L144" s="16"/>
      <c r="M144" s="16"/>
      <c r="N144" s="16"/>
      <c r="O144" s="17" t="str">
        <f aca="false">IFERROR(INDEX(Lists!$B$3:$B$7,MATCH(K144,Lists!$A$3:$A$7,0)),"")</f>
        <v/>
      </c>
      <c r="P144" s="17" t="str">
        <f aca="false">IFERROR(INDEX('Evidence Pulls'!$P$6:$P$125,MATCH($J144,'Evidence Pulls'!$A$6:$A$125,0)),"")</f>
        <v/>
      </c>
      <c r="Q144" s="17" t="str">
        <f aca="false">IFERROR(INDEX('Evidence Pulls'!$H$6:$H$125,MATCH($J144,'Evidence Pulls'!$A$6:$A$125,0)),"")</f>
        <v/>
      </c>
      <c r="R144" s="17" t="str">
        <f aca="false">IFERROR(INDEX('Evidence Pulls'!$Q$6:$Q$125,MATCH($J144,'Evidence Pulls'!$A$6:$A$125,0)),"")</f>
        <v/>
      </c>
      <c r="S144" s="17" t="str">
        <f aca="false">IF(L144&lt;&gt;"",L144,IF(K144="","Not assessed",IF(N(O144)&gt;=3,"Demonstrated","Gap - remediate")))</f>
        <v>Not assessed</v>
      </c>
      <c r="T144" s="17" t="str">
        <f aca="false">IF(J144="","No evidence pull assigned",IF(COUNTIF('Evidence Pulls'!$A$6:$A$125,J144)=0,"Pull ID not on Evidence Pulls sheet",IF(K144="","Not graded",IF(AND(G144="MANDATORY",L144="Gap - recommend tailoring"),"INVALID: safety-mandatory, not tailorable",IF(OR(P144="",P144=0),"NO NAMED EXECUTOR",IF(AND(H144="Full",IFERROR(INDEX('Evidence Pulls'!$C$6:$C$125,MATCH($J144,'Evidence Pulls'!$A$6:$A$125,0)),"")&lt;&gt;"Artifact",N(O144)&gt;=3,N(IFERROR(INDEX('Evidence Pulls'!$K$6:$K$125,MATCH($J144,'Evidence Pulls'!$A$6:$A$125,0)),""))=0),"Operating claimed with no sample",IF(AND(N(O144)&gt;=3,P144=1),"Operating rests on one individual",IF(AND(L144&lt;&gt;"",N144=""),"Override with no rationale in column N",IF(AND(G144="MANDATORY",N(O144)&lt;3),"SAFETY GATE: below Operating","OK")))))))))</f>
        <v>No evidence pull assigned</v>
      </c>
    </row>
    <row r="145" customFormat="false" ht="22.35" hidden="false" customHeight="false" outlineLevel="0" collapsed="false">
      <c r="A145" s="14" t="s">
        <v>364</v>
      </c>
      <c r="B145" s="14" t="s">
        <v>291</v>
      </c>
      <c r="C145" s="14" t="s">
        <v>322</v>
      </c>
      <c r="D145" s="14" t="s">
        <v>323</v>
      </c>
      <c r="E145" s="14" t="s">
        <v>365</v>
      </c>
      <c r="F145" s="15"/>
      <c r="G145" s="14"/>
      <c r="H145" s="14" t="s">
        <v>127</v>
      </c>
      <c r="I145" s="14" t="s">
        <v>294</v>
      </c>
      <c r="J145" s="16"/>
      <c r="K145" s="16"/>
      <c r="L145" s="16"/>
      <c r="M145" s="16"/>
      <c r="N145" s="16"/>
      <c r="O145" s="17" t="str">
        <f aca="false">IFERROR(INDEX(Lists!$B$3:$B$7,MATCH(K145,Lists!$A$3:$A$7,0)),"")</f>
        <v/>
      </c>
      <c r="P145" s="17" t="str">
        <f aca="false">IFERROR(INDEX('Evidence Pulls'!$P$6:$P$125,MATCH($J145,'Evidence Pulls'!$A$6:$A$125,0)),"")</f>
        <v/>
      </c>
      <c r="Q145" s="17" t="str">
        <f aca="false">IFERROR(INDEX('Evidence Pulls'!$H$6:$H$125,MATCH($J145,'Evidence Pulls'!$A$6:$A$125,0)),"")</f>
        <v/>
      </c>
      <c r="R145" s="17" t="str">
        <f aca="false">IFERROR(INDEX('Evidence Pulls'!$Q$6:$Q$125,MATCH($J145,'Evidence Pulls'!$A$6:$A$125,0)),"")</f>
        <v/>
      </c>
      <c r="S145" s="17" t="str">
        <f aca="false">IF(L145&lt;&gt;"",L145,IF(K145="","Not assessed",IF(N(O145)&gt;=3,"Demonstrated","Gap - remediate")))</f>
        <v>Not assessed</v>
      </c>
      <c r="T145" s="17" t="str">
        <f aca="false">IF(J145="","No evidence pull assigned",IF(COUNTIF('Evidence Pulls'!$A$6:$A$125,J145)=0,"Pull ID not on Evidence Pulls sheet",IF(K145="","Not graded",IF(AND(G145="MANDATORY",L145="Gap - recommend tailoring"),"INVALID: safety-mandatory, not tailorable",IF(OR(P145="",P145=0),"NO NAMED EXECUTOR",IF(AND(H145="Full",IFERROR(INDEX('Evidence Pulls'!$C$6:$C$125,MATCH($J145,'Evidence Pulls'!$A$6:$A$125,0)),"")&lt;&gt;"Artifact",N(O145)&gt;=3,N(IFERROR(INDEX('Evidence Pulls'!$K$6:$K$125,MATCH($J145,'Evidence Pulls'!$A$6:$A$125,0)),""))=0),"Operating claimed with no sample",IF(AND(N(O145)&gt;=3,P145=1),"Operating rests on one individual",IF(AND(L145&lt;&gt;"",N145=""),"Override with no rationale in column N",IF(AND(G145="MANDATORY",N(O145)&lt;3),"SAFETY GATE: below Operating","OK")))))))))</f>
        <v>No evidence pull assigned</v>
      </c>
    </row>
    <row r="146" customFormat="false" ht="22.35" hidden="false" customHeight="false" outlineLevel="0" collapsed="false">
      <c r="A146" s="14" t="s">
        <v>366</v>
      </c>
      <c r="B146" s="14" t="s">
        <v>291</v>
      </c>
      <c r="C146" s="14" t="s">
        <v>322</v>
      </c>
      <c r="D146" s="14" t="s">
        <v>323</v>
      </c>
      <c r="E146" s="14" t="s">
        <v>367</v>
      </c>
      <c r="F146" s="15"/>
      <c r="G146" s="14"/>
      <c r="H146" s="14" t="s">
        <v>127</v>
      </c>
      <c r="I146" s="14" t="s">
        <v>294</v>
      </c>
      <c r="J146" s="16"/>
      <c r="K146" s="16"/>
      <c r="L146" s="16"/>
      <c r="M146" s="16"/>
      <c r="N146" s="16"/>
      <c r="O146" s="17" t="str">
        <f aca="false">IFERROR(INDEX(Lists!$B$3:$B$7,MATCH(K146,Lists!$A$3:$A$7,0)),"")</f>
        <v/>
      </c>
      <c r="P146" s="17" t="str">
        <f aca="false">IFERROR(INDEX('Evidence Pulls'!$P$6:$P$125,MATCH($J146,'Evidence Pulls'!$A$6:$A$125,0)),"")</f>
        <v/>
      </c>
      <c r="Q146" s="17" t="str">
        <f aca="false">IFERROR(INDEX('Evidence Pulls'!$H$6:$H$125,MATCH($J146,'Evidence Pulls'!$A$6:$A$125,0)),"")</f>
        <v/>
      </c>
      <c r="R146" s="17" t="str">
        <f aca="false">IFERROR(INDEX('Evidence Pulls'!$Q$6:$Q$125,MATCH($J146,'Evidence Pulls'!$A$6:$A$125,0)),"")</f>
        <v/>
      </c>
      <c r="S146" s="17" t="str">
        <f aca="false">IF(L146&lt;&gt;"",L146,IF(K146="","Not assessed",IF(N(O146)&gt;=3,"Demonstrated","Gap - remediate")))</f>
        <v>Not assessed</v>
      </c>
      <c r="T146" s="17" t="str">
        <f aca="false">IF(J146="","No evidence pull assigned",IF(COUNTIF('Evidence Pulls'!$A$6:$A$125,J146)=0,"Pull ID not on Evidence Pulls sheet",IF(K146="","Not graded",IF(AND(G146="MANDATORY",L146="Gap - recommend tailoring"),"INVALID: safety-mandatory, not tailorable",IF(OR(P146="",P146=0),"NO NAMED EXECUTOR",IF(AND(H146="Full",IFERROR(INDEX('Evidence Pulls'!$C$6:$C$125,MATCH($J146,'Evidence Pulls'!$A$6:$A$125,0)),"")&lt;&gt;"Artifact",N(O146)&gt;=3,N(IFERROR(INDEX('Evidence Pulls'!$K$6:$K$125,MATCH($J146,'Evidence Pulls'!$A$6:$A$125,0)),""))=0),"Operating claimed with no sample",IF(AND(N(O146)&gt;=3,P146=1),"Operating rests on one individual",IF(AND(L146&lt;&gt;"",N146=""),"Override with no rationale in column N",IF(AND(G146="MANDATORY",N(O146)&lt;3),"SAFETY GATE: below Operating","OK")))))))))</f>
        <v>No evidence pull assigned</v>
      </c>
    </row>
    <row r="147" customFormat="false" ht="22.35" hidden="false" customHeight="false" outlineLevel="0" collapsed="false">
      <c r="A147" s="14" t="s">
        <v>368</v>
      </c>
      <c r="B147" s="14" t="s">
        <v>291</v>
      </c>
      <c r="C147" s="14" t="s">
        <v>322</v>
      </c>
      <c r="D147" s="14" t="s">
        <v>323</v>
      </c>
      <c r="E147" s="14" t="s">
        <v>369</v>
      </c>
      <c r="F147" s="15"/>
      <c r="G147" s="14"/>
      <c r="H147" s="14" t="s">
        <v>127</v>
      </c>
      <c r="I147" s="14" t="s">
        <v>294</v>
      </c>
      <c r="J147" s="16"/>
      <c r="K147" s="16"/>
      <c r="L147" s="16"/>
      <c r="M147" s="16"/>
      <c r="N147" s="16"/>
      <c r="O147" s="17" t="str">
        <f aca="false">IFERROR(INDEX(Lists!$B$3:$B$7,MATCH(K147,Lists!$A$3:$A$7,0)),"")</f>
        <v/>
      </c>
      <c r="P147" s="17" t="str">
        <f aca="false">IFERROR(INDEX('Evidence Pulls'!$P$6:$P$125,MATCH($J147,'Evidence Pulls'!$A$6:$A$125,0)),"")</f>
        <v/>
      </c>
      <c r="Q147" s="17" t="str">
        <f aca="false">IFERROR(INDEX('Evidence Pulls'!$H$6:$H$125,MATCH($J147,'Evidence Pulls'!$A$6:$A$125,0)),"")</f>
        <v/>
      </c>
      <c r="R147" s="17" t="str">
        <f aca="false">IFERROR(INDEX('Evidence Pulls'!$Q$6:$Q$125,MATCH($J147,'Evidence Pulls'!$A$6:$A$125,0)),"")</f>
        <v/>
      </c>
      <c r="S147" s="17" t="str">
        <f aca="false">IF(L147&lt;&gt;"",L147,IF(K147="","Not assessed",IF(N(O147)&gt;=3,"Demonstrated","Gap - remediate")))</f>
        <v>Not assessed</v>
      </c>
      <c r="T147" s="17" t="str">
        <f aca="false">IF(J147="","No evidence pull assigned",IF(COUNTIF('Evidence Pulls'!$A$6:$A$125,J147)=0,"Pull ID not on Evidence Pulls sheet",IF(K147="","Not graded",IF(AND(G147="MANDATORY",L147="Gap - recommend tailoring"),"INVALID: safety-mandatory, not tailorable",IF(OR(P147="",P147=0),"NO NAMED EXECUTOR",IF(AND(H147="Full",IFERROR(INDEX('Evidence Pulls'!$C$6:$C$125,MATCH($J147,'Evidence Pulls'!$A$6:$A$125,0)),"")&lt;&gt;"Artifact",N(O147)&gt;=3,N(IFERROR(INDEX('Evidence Pulls'!$K$6:$K$125,MATCH($J147,'Evidence Pulls'!$A$6:$A$125,0)),""))=0),"Operating claimed with no sample",IF(AND(N(O147)&gt;=3,P147=1),"Operating rests on one individual",IF(AND(L147&lt;&gt;"",N147=""),"Override with no rationale in column N",IF(AND(G147="MANDATORY",N(O147)&lt;3),"SAFETY GATE: below Operating","OK")))))))))</f>
        <v>No evidence pull assigned</v>
      </c>
    </row>
    <row r="148" customFormat="false" ht="22.35" hidden="false" customHeight="false" outlineLevel="0" collapsed="false">
      <c r="A148" s="14" t="s">
        <v>370</v>
      </c>
      <c r="B148" s="14" t="s">
        <v>291</v>
      </c>
      <c r="C148" s="14" t="s">
        <v>322</v>
      </c>
      <c r="D148" s="14" t="s">
        <v>323</v>
      </c>
      <c r="E148" s="14" t="s">
        <v>371</v>
      </c>
      <c r="F148" s="15"/>
      <c r="G148" s="14"/>
      <c r="H148" s="14" t="s">
        <v>127</v>
      </c>
      <c r="I148" s="14" t="s">
        <v>294</v>
      </c>
      <c r="J148" s="16"/>
      <c r="K148" s="16"/>
      <c r="L148" s="16"/>
      <c r="M148" s="16"/>
      <c r="N148" s="16"/>
      <c r="O148" s="17" t="str">
        <f aca="false">IFERROR(INDEX(Lists!$B$3:$B$7,MATCH(K148,Lists!$A$3:$A$7,0)),"")</f>
        <v/>
      </c>
      <c r="P148" s="17" t="str">
        <f aca="false">IFERROR(INDEX('Evidence Pulls'!$P$6:$P$125,MATCH($J148,'Evidence Pulls'!$A$6:$A$125,0)),"")</f>
        <v/>
      </c>
      <c r="Q148" s="17" t="str">
        <f aca="false">IFERROR(INDEX('Evidence Pulls'!$H$6:$H$125,MATCH($J148,'Evidence Pulls'!$A$6:$A$125,0)),"")</f>
        <v/>
      </c>
      <c r="R148" s="17" t="str">
        <f aca="false">IFERROR(INDEX('Evidence Pulls'!$Q$6:$Q$125,MATCH($J148,'Evidence Pulls'!$A$6:$A$125,0)),"")</f>
        <v/>
      </c>
      <c r="S148" s="17" t="str">
        <f aca="false">IF(L148&lt;&gt;"",L148,IF(K148="","Not assessed",IF(N(O148)&gt;=3,"Demonstrated","Gap - remediate")))</f>
        <v>Not assessed</v>
      </c>
      <c r="T148" s="17" t="str">
        <f aca="false">IF(J148="","No evidence pull assigned",IF(COUNTIF('Evidence Pulls'!$A$6:$A$125,J148)=0,"Pull ID not on Evidence Pulls sheet",IF(K148="","Not graded",IF(AND(G148="MANDATORY",L148="Gap - recommend tailoring"),"INVALID: safety-mandatory, not tailorable",IF(OR(P148="",P148=0),"NO NAMED EXECUTOR",IF(AND(H148="Full",IFERROR(INDEX('Evidence Pulls'!$C$6:$C$125,MATCH($J148,'Evidence Pulls'!$A$6:$A$125,0)),"")&lt;&gt;"Artifact",N(O148)&gt;=3,N(IFERROR(INDEX('Evidence Pulls'!$K$6:$K$125,MATCH($J148,'Evidence Pulls'!$A$6:$A$125,0)),""))=0),"Operating claimed with no sample",IF(AND(N(O148)&gt;=3,P148=1),"Operating rests on one individual",IF(AND(L148&lt;&gt;"",N148=""),"Override with no rationale in column N",IF(AND(G148="MANDATORY",N(O148)&lt;3),"SAFETY GATE: below Operating","OK")))))))))</f>
        <v>No evidence pull assigned</v>
      </c>
    </row>
    <row r="149" customFormat="false" ht="22.35" hidden="false" customHeight="false" outlineLevel="0" collapsed="false">
      <c r="A149" s="14" t="s">
        <v>372</v>
      </c>
      <c r="B149" s="14" t="s">
        <v>291</v>
      </c>
      <c r="C149" s="14" t="s">
        <v>322</v>
      </c>
      <c r="D149" s="14" t="s">
        <v>323</v>
      </c>
      <c r="E149" s="14" t="s">
        <v>373</v>
      </c>
      <c r="F149" s="15"/>
      <c r="G149" s="14"/>
      <c r="H149" s="14" t="s">
        <v>127</v>
      </c>
      <c r="I149" s="14" t="s">
        <v>294</v>
      </c>
      <c r="J149" s="16"/>
      <c r="K149" s="16"/>
      <c r="L149" s="16"/>
      <c r="M149" s="16"/>
      <c r="N149" s="16"/>
      <c r="O149" s="17" t="str">
        <f aca="false">IFERROR(INDEX(Lists!$B$3:$B$7,MATCH(K149,Lists!$A$3:$A$7,0)),"")</f>
        <v/>
      </c>
      <c r="P149" s="17" t="str">
        <f aca="false">IFERROR(INDEX('Evidence Pulls'!$P$6:$P$125,MATCH($J149,'Evidence Pulls'!$A$6:$A$125,0)),"")</f>
        <v/>
      </c>
      <c r="Q149" s="17" t="str">
        <f aca="false">IFERROR(INDEX('Evidence Pulls'!$H$6:$H$125,MATCH($J149,'Evidence Pulls'!$A$6:$A$125,0)),"")</f>
        <v/>
      </c>
      <c r="R149" s="17" t="str">
        <f aca="false">IFERROR(INDEX('Evidence Pulls'!$Q$6:$Q$125,MATCH($J149,'Evidence Pulls'!$A$6:$A$125,0)),"")</f>
        <v/>
      </c>
      <c r="S149" s="17" t="str">
        <f aca="false">IF(L149&lt;&gt;"",L149,IF(K149="","Not assessed",IF(N(O149)&gt;=3,"Demonstrated","Gap - remediate")))</f>
        <v>Not assessed</v>
      </c>
      <c r="T149" s="17" t="str">
        <f aca="false">IF(J149="","No evidence pull assigned",IF(COUNTIF('Evidence Pulls'!$A$6:$A$125,J149)=0,"Pull ID not on Evidence Pulls sheet",IF(K149="","Not graded",IF(AND(G149="MANDATORY",L149="Gap - recommend tailoring"),"INVALID: safety-mandatory, not tailorable",IF(OR(P149="",P149=0),"NO NAMED EXECUTOR",IF(AND(H149="Full",IFERROR(INDEX('Evidence Pulls'!$C$6:$C$125,MATCH($J149,'Evidence Pulls'!$A$6:$A$125,0)),"")&lt;&gt;"Artifact",N(O149)&gt;=3,N(IFERROR(INDEX('Evidence Pulls'!$K$6:$K$125,MATCH($J149,'Evidence Pulls'!$A$6:$A$125,0)),""))=0),"Operating claimed with no sample",IF(AND(N(O149)&gt;=3,P149=1),"Operating rests on one individual",IF(AND(L149&lt;&gt;"",N149=""),"Override with no rationale in column N",IF(AND(G149="MANDATORY",N(O149)&lt;3),"SAFETY GATE: below Operating","OK")))))))))</f>
        <v>No evidence pull assigned</v>
      </c>
    </row>
    <row r="150" customFormat="false" ht="22.35" hidden="false" customHeight="false" outlineLevel="0" collapsed="false">
      <c r="A150" s="14" t="s">
        <v>374</v>
      </c>
      <c r="B150" s="14" t="s">
        <v>291</v>
      </c>
      <c r="C150" s="14" t="s">
        <v>322</v>
      </c>
      <c r="D150" s="14" t="s">
        <v>323</v>
      </c>
      <c r="E150" s="14" t="s">
        <v>375</v>
      </c>
      <c r="F150" s="15"/>
      <c r="G150" s="14"/>
      <c r="H150" s="14" t="s">
        <v>127</v>
      </c>
      <c r="I150" s="14" t="s">
        <v>294</v>
      </c>
      <c r="J150" s="16"/>
      <c r="K150" s="16"/>
      <c r="L150" s="16"/>
      <c r="M150" s="16"/>
      <c r="N150" s="16"/>
      <c r="O150" s="17" t="str">
        <f aca="false">IFERROR(INDEX(Lists!$B$3:$B$7,MATCH(K150,Lists!$A$3:$A$7,0)),"")</f>
        <v/>
      </c>
      <c r="P150" s="17" t="str">
        <f aca="false">IFERROR(INDEX('Evidence Pulls'!$P$6:$P$125,MATCH($J150,'Evidence Pulls'!$A$6:$A$125,0)),"")</f>
        <v/>
      </c>
      <c r="Q150" s="17" t="str">
        <f aca="false">IFERROR(INDEX('Evidence Pulls'!$H$6:$H$125,MATCH($J150,'Evidence Pulls'!$A$6:$A$125,0)),"")</f>
        <v/>
      </c>
      <c r="R150" s="17" t="str">
        <f aca="false">IFERROR(INDEX('Evidence Pulls'!$Q$6:$Q$125,MATCH($J150,'Evidence Pulls'!$A$6:$A$125,0)),"")</f>
        <v/>
      </c>
      <c r="S150" s="17" t="str">
        <f aca="false">IF(L150&lt;&gt;"",L150,IF(K150="","Not assessed",IF(N(O150)&gt;=3,"Demonstrated","Gap - remediate")))</f>
        <v>Not assessed</v>
      </c>
      <c r="T150" s="17" t="str">
        <f aca="false">IF(J150="","No evidence pull assigned",IF(COUNTIF('Evidence Pulls'!$A$6:$A$125,J150)=0,"Pull ID not on Evidence Pulls sheet",IF(K150="","Not graded",IF(AND(G150="MANDATORY",L150="Gap - recommend tailoring"),"INVALID: safety-mandatory, not tailorable",IF(OR(P150="",P150=0),"NO NAMED EXECUTOR",IF(AND(H150="Full",IFERROR(INDEX('Evidence Pulls'!$C$6:$C$125,MATCH($J150,'Evidence Pulls'!$A$6:$A$125,0)),"")&lt;&gt;"Artifact",N(O150)&gt;=3,N(IFERROR(INDEX('Evidence Pulls'!$K$6:$K$125,MATCH($J150,'Evidence Pulls'!$A$6:$A$125,0)),""))=0),"Operating claimed with no sample",IF(AND(N(O150)&gt;=3,P150=1),"Operating rests on one individual",IF(AND(L150&lt;&gt;"",N150=""),"Override with no rationale in column N",IF(AND(G150="MANDATORY",N(O150)&lt;3),"SAFETY GATE: below Operating","OK")))))))))</f>
        <v>No evidence pull assigned</v>
      </c>
    </row>
    <row r="151" customFormat="false" ht="22.35" hidden="false" customHeight="false" outlineLevel="0" collapsed="false">
      <c r="A151" s="14" t="s">
        <v>376</v>
      </c>
      <c r="B151" s="14" t="s">
        <v>291</v>
      </c>
      <c r="C151" s="14" t="s">
        <v>322</v>
      </c>
      <c r="D151" s="14" t="s">
        <v>323</v>
      </c>
      <c r="E151" s="14" t="s">
        <v>377</v>
      </c>
      <c r="F151" s="15"/>
      <c r="G151" s="14"/>
      <c r="H151" s="14" t="s">
        <v>127</v>
      </c>
      <c r="I151" s="14" t="s">
        <v>294</v>
      </c>
      <c r="J151" s="16"/>
      <c r="K151" s="16"/>
      <c r="L151" s="16"/>
      <c r="M151" s="16"/>
      <c r="N151" s="16"/>
      <c r="O151" s="17" t="str">
        <f aca="false">IFERROR(INDEX(Lists!$B$3:$B$7,MATCH(K151,Lists!$A$3:$A$7,0)),"")</f>
        <v/>
      </c>
      <c r="P151" s="17" t="str">
        <f aca="false">IFERROR(INDEX('Evidence Pulls'!$P$6:$P$125,MATCH($J151,'Evidence Pulls'!$A$6:$A$125,0)),"")</f>
        <v/>
      </c>
      <c r="Q151" s="17" t="str">
        <f aca="false">IFERROR(INDEX('Evidence Pulls'!$H$6:$H$125,MATCH($J151,'Evidence Pulls'!$A$6:$A$125,0)),"")</f>
        <v/>
      </c>
      <c r="R151" s="17" t="str">
        <f aca="false">IFERROR(INDEX('Evidence Pulls'!$Q$6:$Q$125,MATCH($J151,'Evidence Pulls'!$A$6:$A$125,0)),"")</f>
        <v/>
      </c>
      <c r="S151" s="17" t="str">
        <f aca="false">IF(L151&lt;&gt;"",L151,IF(K151="","Not assessed",IF(N(O151)&gt;=3,"Demonstrated","Gap - remediate")))</f>
        <v>Not assessed</v>
      </c>
      <c r="T151" s="17" t="str">
        <f aca="false">IF(J151="","No evidence pull assigned",IF(COUNTIF('Evidence Pulls'!$A$6:$A$125,J151)=0,"Pull ID not on Evidence Pulls sheet",IF(K151="","Not graded",IF(AND(G151="MANDATORY",L151="Gap - recommend tailoring"),"INVALID: safety-mandatory, not tailorable",IF(OR(P151="",P151=0),"NO NAMED EXECUTOR",IF(AND(H151="Full",IFERROR(INDEX('Evidence Pulls'!$C$6:$C$125,MATCH($J151,'Evidence Pulls'!$A$6:$A$125,0)),"")&lt;&gt;"Artifact",N(O151)&gt;=3,N(IFERROR(INDEX('Evidence Pulls'!$K$6:$K$125,MATCH($J151,'Evidence Pulls'!$A$6:$A$125,0)),""))=0),"Operating claimed with no sample",IF(AND(N(O151)&gt;=3,P151=1),"Operating rests on one individual",IF(AND(L151&lt;&gt;"",N151=""),"Override with no rationale in column N",IF(AND(G151="MANDATORY",N(O151)&lt;3),"SAFETY GATE: below Operating","OK")))))))))</f>
        <v>No evidence pull assigned</v>
      </c>
    </row>
    <row r="152" customFormat="false" ht="22.35" hidden="false" customHeight="false" outlineLevel="0" collapsed="false">
      <c r="A152" s="14" t="s">
        <v>378</v>
      </c>
      <c r="B152" s="14" t="s">
        <v>291</v>
      </c>
      <c r="C152" s="14" t="s">
        <v>322</v>
      </c>
      <c r="D152" s="14" t="s">
        <v>323</v>
      </c>
      <c r="E152" s="14" t="s">
        <v>379</v>
      </c>
      <c r="F152" s="15"/>
      <c r="G152" s="14"/>
      <c r="H152" s="14" t="s">
        <v>127</v>
      </c>
      <c r="I152" s="14" t="s">
        <v>294</v>
      </c>
      <c r="J152" s="16"/>
      <c r="K152" s="16"/>
      <c r="L152" s="16"/>
      <c r="M152" s="16"/>
      <c r="N152" s="16"/>
      <c r="O152" s="17" t="str">
        <f aca="false">IFERROR(INDEX(Lists!$B$3:$B$7,MATCH(K152,Lists!$A$3:$A$7,0)),"")</f>
        <v/>
      </c>
      <c r="P152" s="17" t="str">
        <f aca="false">IFERROR(INDEX('Evidence Pulls'!$P$6:$P$125,MATCH($J152,'Evidence Pulls'!$A$6:$A$125,0)),"")</f>
        <v/>
      </c>
      <c r="Q152" s="17" t="str">
        <f aca="false">IFERROR(INDEX('Evidence Pulls'!$H$6:$H$125,MATCH($J152,'Evidence Pulls'!$A$6:$A$125,0)),"")</f>
        <v/>
      </c>
      <c r="R152" s="17" t="str">
        <f aca="false">IFERROR(INDEX('Evidence Pulls'!$Q$6:$Q$125,MATCH($J152,'Evidence Pulls'!$A$6:$A$125,0)),"")</f>
        <v/>
      </c>
      <c r="S152" s="17" t="str">
        <f aca="false">IF(L152&lt;&gt;"",L152,IF(K152="","Not assessed",IF(N(O152)&gt;=3,"Demonstrated","Gap - remediate")))</f>
        <v>Not assessed</v>
      </c>
      <c r="T152" s="17" t="str">
        <f aca="false">IF(J152="","No evidence pull assigned",IF(COUNTIF('Evidence Pulls'!$A$6:$A$125,J152)=0,"Pull ID not on Evidence Pulls sheet",IF(K152="","Not graded",IF(AND(G152="MANDATORY",L152="Gap - recommend tailoring"),"INVALID: safety-mandatory, not tailorable",IF(OR(P152="",P152=0),"NO NAMED EXECUTOR",IF(AND(H152="Full",IFERROR(INDEX('Evidence Pulls'!$C$6:$C$125,MATCH($J152,'Evidence Pulls'!$A$6:$A$125,0)),"")&lt;&gt;"Artifact",N(O152)&gt;=3,N(IFERROR(INDEX('Evidence Pulls'!$K$6:$K$125,MATCH($J152,'Evidence Pulls'!$A$6:$A$125,0)),""))=0),"Operating claimed with no sample",IF(AND(N(O152)&gt;=3,P152=1),"Operating rests on one individual",IF(AND(L152&lt;&gt;"",N152=""),"Override with no rationale in column N",IF(AND(G152="MANDATORY",N(O152)&lt;3),"SAFETY GATE: below Operating","OK")))))))))</f>
        <v>No evidence pull assigned</v>
      </c>
    </row>
    <row r="153" customFormat="false" ht="22.35" hidden="false" customHeight="false" outlineLevel="0" collapsed="false">
      <c r="A153" s="14" t="s">
        <v>380</v>
      </c>
      <c r="B153" s="14" t="s">
        <v>291</v>
      </c>
      <c r="C153" s="14" t="s">
        <v>322</v>
      </c>
      <c r="D153" s="14" t="s">
        <v>323</v>
      </c>
      <c r="E153" s="14" t="s">
        <v>381</v>
      </c>
      <c r="F153" s="15"/>
      <c r="G153" s="14"/>
      <c r="H153" s="14" t="s">
        <v>127</v>
      </c>
      <c r="I153" s="14" t="s">
        <v>294</v>
      </c>
      <c r="J153" s="16"/>
      <c r="K153" s="16"/>
      <c r="L153" s="16"/>
      <c r="M153" s="16"/>
      <c r="N153" s="16"/>
      <c r="O153" s="17" t="str">
        <f aca="false">IFERROR(INDEX(Lists!$B$3:$B$7,MATCH(K153,Lists!$A$3:$A$7,0)),"")</f>
        <v/>
      </c>
      <c r="P153" s="17" t="str">
        <f aca="false">IFERROR(INDEX('Evidence Pulls'!$P$6:$P$125,MATCH($J153,'Evidence Pulls'!$A$6:$A$125,0)),"")</f>
        <v/>
      </c>
      <c r="Q153" s="17" t="str">
        <f aca="false">IFERROR(INDEX('Evidence Pulls'!$H$6:$H$125,MATCH($J153,'Evidence Pulls'!$A$6:$A$125,0)),"")</f>
        <v/>
      </c>
      <c r="R153" s="17" t="str">
        <f aca="false">IFERROR(INDEX('Evidence Pulls'!$Q$6:$Q$125,MATCH($J153,'Evidence Pulls'!$A$6:$A$125,0)),"")</f>
        <v/>
      </c>
      <c r="S153" s="17" t="str">
        <f aca="false">IF(L153&lt;&gt;"",L153,IF(K153="","Not assessed",IF(N(O153)&gt;=3,"Demonstrated","Gap - remediate")))</f>
        <v>Not assessed</v>
      </c>
      <c r="T153" s="17" t="str">
        <f aca="false">IF(J153="","No evidence pull assigned",IF(COUNTIF('Evidence Pulls'!$A$6:$A$125,J153)=0,"Pull ID not on Evidence Pulls sheet",IF(K153="","Not graded",IF(AND(G153="MANDATORY",L153="Gap - recommend tailoring"),"INVALID: safety-mandatory, not tailorable",IF(OR(P153="",P153=0),"NO NAMED EXECUTOR",IF(AND(H153="Full",IFERROR(INDEX('Evidence Pulls'!$C$6:$C$125,MATCH($J153,'Evidence Pulls'!$A$6:$A$125,0)),"")&lt;&gt;"Artifact",N(O153)&gt;=3,N(IFERROR(INDEX('Evidence Pulls'!$K$6:$K$125,MATCH($J153,'Evidence Pulls'!$A$6:$A$125,0)),""))=0),"Operating claimed with no sample",IF(AND(N(O153)&gt;=3,P153=1),"Operating rests on one individual",IF(AND(L153&lt;&gt;"",N153=""),"Override with no rationale in column N",IF(AND(G153="MANDATORY",N(O153)&lt;3),"SAFETY GATE: below Operating","OK")))))))))</f>
        <v>No evidence pull assigned</v>
      </c>
    </row>
    <row r="154" customFormat="false" ht="22.35" hidden="false" customHeight="false" outlineLevel="0" collapsed="false">
      <c r="A154" s="14" t="s">
        <v>382</v>
      </c>
      <c r="B154" s="14" t="s">
        <v>291</v>
      </c>
      <c r="C154" s="14" t="s">
        <v>322</v>
      </c>
      <c r="D154" s="14" t="s">
        <v>323</v>
      </c>
      <c r="E154" s="14" t="s">
        <v>383</v>
      </c>
      <c r="F154" s="15"/>
      <c r="G154" s="14"/>
      <c r="H154" s="14" t="s">
        <v>127</v>
      </c>
      <c r="I154" s="14" t="s">
        <v>294</v>
      </c>
      <c r="J154" s="16"/>
      <c r="K154" s="16"/>
      <c r="L154" s="16"/>
      <c r="M154" s="16"/>
      <c r="N154" s="16"/>
      <c r="O154" s="17" t="str">
        <f aca="false">IFERROR(INDEX(Lists!$B$3:$B$7,MATCH(K154,Lists!$A$3:$A$7,0)),"")</f>
        <v/>
      </c>
      <c r="P154" s="17" t="str">
        <f aca="false">IFERROR(INDEX('Evidence Pulls'!$P$6:$P$125,MATCH($J154,'Evidence Pulls'!$A$6:$A$125,0)),"")</f>
        <v/>
      </c>
      <c r="Q154" s="17" t="str">
        <f aca="false">IFERROR(INDEX('Evidence Pulls'!$H$6:$H$125,MATCH($J154,'Evidence Pulls'!$A$6:$A$125,0)),"")</f>
        <v/>
      </c>
      <c r="R154" s="17" t="str">
        <f aca="false">IFERROR(INDEX('Evidence Pulls'!$Q$6:$Q$125,MATCH($J154,'Evidence Pulls'!$A$6:$A$125,0)),"")</f>
        <v/>
      </c>
      <c r="S154" s="17" t="str">
        <f aca="false">IF(L154&lt;&gt;"",L154,IF(K154="","Not assessed",IF(N(O154)&gt;=3,"Demonstrated","Gap - remediate")))</f>
        <v>Not assessed</v>
      </c>
      <c r="T154" s="17" t="str">
        <f aca="false">IF(J154="","No evidence pull assigned",IF(COUNTIF('Evidence Pulls'!$A$6:$A$125,J154)=0,"Pull ID not on Evidence Pulls sheet",IF(K154="","Not graded",IF(AND(G154="MANDATORY",L154="Gap - recommend tailoring"),"INVALID: safety-mandatory, not tailorable",IF(OR(P154="",P154=0),"NO NAMED EXECUTOR",IF(AND(H154="Full",IFERROR(INDEX('Evidence Pulls'!$C$6:$C$125,MATCH($J154,'Evidence Pulls'!$A$6:$A$125,0)),"")&lt;&gt;"Artifact",N(O154)&gt;=3,N(IFERROR(INDEX('Evidence Pulls'!$K$6:$K$125,MATCH($J154,'Evidence Pulls'!$A$6:$A$125,0)),""))=0),"Operating claimed with no sample",IF(AND(N(O154)&gt;=3,P154=1),"Operating rests on one individual",IF(AND(L154&lt;&gt;"",N154=""),"Override with no rationale in column N",IF(AND(G154="MANDATORY",N(O154)&lt;3),"SAFETY GATE: below Operating","OK")))))))))</f>
        <v>No evidence pull assigned</v>
      </c>
    </row>
    <row r="155" customFormat="false" ht="22.35" hidden="false" customHeight="false" outlineLevel="0" collapsed="false">
      <c r="A155" s="14" t="s">
        <v>384</v>
      </c>
      <c r="B155" s="14" t="s">
        <v>291</v>
      </c>
      <c r="C155" s="14" t="s">
        <v>322</v>
      </c>
      <c r="D155" s="14" t="s">
        <v>323</v>
      </c>
      <c r="E155" s="14" t="s">
        <v>385</v>
      </c>
      <c r="F155" s="15"/>
      <c r="G155" s="14"/>
      <c r="H155" s="14" t="s">
        <v>127</v>
      </c>
      <c r="I155" s="14" t="s">
        <v>294</v>
      </c>
      <c r="J155" s="16"/>
      <c r="K155" s="16"/>
      <c r="L155" s="16"/>
      <c r="M155" s="16"/>
      <c r="N155" s="16"/>
      <c r="O155" s="17" t="str">
        <f aca="false">IFERROR(INDEX(Lists!$B$3:$B$7,MATCH(K155,Lists!$A$3:$A$7,0)),"")</f>
        <v/>
      </c>
      <c r="P155" s="17" t="str">
        <f aca="false">IFERROR(INDEX('Evidence Pulls'!$P$6:$P$125,MATCH($J155,'Evidence Pulls'!$A$6:$A$125,0)),"")</f>
        <v/>
      </c>
      <c r="Q155" s="17" t="str">
        <f aca="false">IFERROR(INDEX('Evidence Pulls'!$H$6:$H$125,MATCH($J155,'Evidence Pulls'!$A$6:$A$125,0)),"")</f>
        <v/>
      </c>
      <c r="R155" s="17" t="str">
        <f aca="false">IFERROR(INDEX('Evidence Pulls'!$Q$6:$Q$125,MATCH($J155,'Evidence Pulls'!$A$6:$A$125,0)),"")</f>
        <v/>
      </c>
      <c r="S155" s="17" t="str">
        <f aca="false">IF(L155&lt;&gt;"",L155,IF(K155="","Not assessed",IF(N(O155)&gt;=3,"Demonstrated","Gap - remediate")))</f>
        <v>Not assessed</v>
      </c>
      <c r="T155" s="17" t="str">
        <f aca="false">IF(J155="","No evidence pull assigned",IF(COUNTIF('Evidence Pulls'!$A$6:$A$125,J155)=0,"Pull ID not on Evidence Pulls sheet",IF(K155="","Not graded",IF(AND(G155="MANDATORY",L155="Gap - recommend tailoring"),"INVALID: safety-mandatory, not tailorable",IF(OR(P155="",P155=0),"NO NAMED EXECUTOR",IF(AND(H155="Full",IFERROR(INDEX('Evidence Pulls'!$C$6:$C$125,MATCH($J155,'Evidence Pulls'!$A$6:$A$125,0)),"")&lt;&gt;"Artifact",N(O155)&gt;=3,N(IFERROR(INDEX('Evidence Pulls'!$K$6:$K$125,MATCH($J155,'Evidence Pulls'!$A$6:$A$125,0)),""))=0),"Operating claimed with no sample",IF(AND(N(O155)&gt;=3,P155=1),"Operating rests on one individual",IF(AND(L155&lt;&gt;"",N155=""),"Override with no rationale in column N",IF(AND(G155="MANDATORY",N(O155)&lt;3),"SAFETY GATE: below Operating","OK")))))))))</f>
        <v>No evidence pull assigned</v>
      </c>
    </row>
    <row r="156" customFormat="false" ht="22.35" hidden="false" customHeight="false" outlineLevel="0" collapsed="false">
      <c r="A156" s="18" t="s">
        <v>386</v>
      </c>
      <c r="B156" s="18" t="s">
        <v>291</v>
      </c>
      <c r="C156" s="18" t="s">
        <v>322</v>
      </c>
      <c r="D156" s="18" t="s">
        <v>323</v>
      </c>
      <c r="E156" s="18" t="s">
        <v>387</v>
      </c>
      <c r="F156" s="18"/>
      <c r="G156" s="19" t="s">
        <v>131</v>
      </c>
      <c r="H156" s="19" t="s">
        <v>132</v>
      </c>
      <c r="I156" s="18" t="s">
        <v>294</v>
      </c>
      <c r="J156" s="16"/>
      <c r="K156" s="16"/>
      <c r="L156" s="16"/>
      <c r="M156" s="16"/>
      <c r="N156" s="16"/>
      <c r="O156" s="17" t="str">
        <f aca="false">IFERROR(INDEX(Lists!$B$3:$B$7,MATCH(K156,Lists!$A$3:$A$7,0)),"")</f>
        <v/>
      </c>
      <c r="P156" s="17" t="str">
        <f aca="false">IFERROR(INDEX('Evidence Pulls'!$P$6:$P$125,MATCH($J156,'Evidence Pulls'!$A$6:$A$125,0)),"")</f>
        <v/>
      </c>
      <c r="Q156" s="17" t="str">
        <f aca="false">IFERROR(INDEX('Evidence Pulls'!$H$6:$H$125,MATCH($J156,'Evidence Pulls'!$A$6:$A$125,0)),"")</f>
        <v/>
      </c>
      <c r="R156" s="17" t="str">
        <f aca="false">IFERROR(INDEX('Evidence Pulls'!$Q$6:$Q$125,MATCH($J156,'Evidence Pulls'!$A$6:$A$125,0)),"")</f>
        <v/>
      </c>
      <c r="S156" s="17" t="str">
        <f aca="false">IF(L156&lt;&gt;"",L156,IF(K156="","Not assessed",IF(N(O156)&gt;=3,"Demonstrated","Gap - remediate")))</f>
        <v>Not assessed</v>
      </c>
      <c r="T156" s="17" t="str">
        <f aca="false">IF(J156="","No evidence pull assigned",IF(COUNTIF('Evidence Pulls'!$A$6:$A$125,J156)=0,"Pull ID not on Evidence Pulls sheet",IF(K156="","Not graded",IF(AND(G156="MANDATORY",L156="Gap - recommend tailoring"),"INVALID: safety-mandatory, not tailorable",IF(OR(P156="",P156=0),"NO NAMED EXECUTOR",IF(AND(H156="Full",IFERROR(INDEX('Evidence Pulls'!$C$6:$C$125,MATCH($J156,'Evidence Pulls'!$A$6:$A$125,0)),"")&lt;&gt;"Artifact",N(O156)&gt;=3,N(IFERROR(INDEX('Evidence Pulls'!$K$6:$K$125,MATCH($J156,'Evidence Pulls'!$A$6:$A$125,0)),""))=0),"Operating claimed with no sample",IF(AND(N(O156)&gt;=3,P156=1),"Operating rests on one individual",IF(AND(L156&lt;&gt;"",N156=""),"Override with no rationale in column N",IF(AND(G156="MANDATORY",N(O156)&lt;3),"SAFETY GATE: below Operating","OK")))))))))</f>
        <v>No evidence pull assigned</v>
      </c>
    </row>
    <row r="157" customFormat="false" ht="22.35" hidden="false" customHeight="false" outlineLevel="0" collapsed="false">
      <c r="A157" s="14" t="s">
        <v>388</v>
      </c>
      <c r="B157" s="14" t="s">
        <v>291</v>
      </c>
      <c r="C157" s="14" t="s">
        <v>322</v>
      </c>
      <c r="D157" s="14" t="s">
        <v>323</v>
      </c>
      <c r="E157" s="14" t="s">
        <v>389</v>
      </c>
      <c r="F157" s="15"/>
      <c r="G157" s="14"/>
      <c r="H157" s="14" t="s">
        <v>127</v>
      </c>
      <c r="I157" s="14" t="s">
        <v>294</v>
      </c>
      <c r="J157" s="16"/>
      <c r="K157" s="16"/>
      <c r="L157" s="16"/>
      <c r="M157" s="16"/>
      <c r="N157" s="16"/>
      <c r="O157" s="17" t="str">
        <f aca="false">IFERROR(INDEX(Lists!$B$3:$B$7,MATCH(K157,Lists!$A$3:$A$7,0)),"")</f>
        <v/>
      </c>
      <c r="P157" s="17" t="str">
        <f aca="false">IFERROR(INDEX('Evidence Pulls'!$P$6:$P$125,MATCH($J157,'Evidence Pulls'!$A$6:$A$125,0)),"")</f>
        <v/>
      </c>
      <c r="Q157" s="17" t="str">
        <f aca="false">IFERROR(INDEX('Evidence Pulls'!$H$6:$H$125,MATCH($J157,'Evidence Pulls'!$A$6:$A$125,0)),"")</f>
        <v/>
      </c>
      <c r="R157" s="17" t="str">
        <f aca="false">IFERROR(INDEX('Evidence Pulls'!$Q$6:$Q$125,MATCH($J157,'Evidence Pulls'!$A$6:$A$125,0)),"")</f>
        <v/>
      </c>
      <c r="S157" s="17" t="str">
        <f aca="false">IF(L157&lt;&gt;"",L157,IF(K157="","Not assessed",IF(N(O157)&gt;=3,"Demonstrated","Gap - remediate")))</f>
        <v>Not assessed</v>
      </c>
      <c r="T157" s="17" t="str">
        <f aca="false">IF(J157="","No evidence pull assigned",IF(COUNTIF('Evidence Pulls'!$A$6:$A$125,J157)=0,"Pull ID not on Evidence Pulls sheet",IF(K157="","Not graded",IF(AND(G157="MANDATORY",L157="Gap - recommend tailoring"),"INVALID: safety-mandatory, not tailorable",IF(OR(P157="",P157=0),"NO NAMED EXECUTOR",IF(AND(H157="Full",IFERROR(INDEX('Evidence Pulls'!$C$6:$C$125,MATCH($J157,'Evidence Pulls'!$A$6:$A$125,0)),"")&lt;&gt;"Artifact",N(O157)&gt;=3,N(IFERROR(INDEX('Evidence Pulls'!$K$6:$K$125,MATCH($J157,'Evidence Pulls'!$A$6:$A$125,0)),""))=0),"Operating claimed with no sample",IF(AND(N(O157)&gt;=3,P157=1),"Operating rests on one individual",IF(AND(L157&lt;&gt;"",N157=""),"Override with no rationale in column N",IF(AND(G157="MANDATORY",N(O157)&lt;3),"SAFETY GATE: below Operating","OK")))))))))</f>
        <v>No evidence pull assigned</v>
      </c>
    </row>
    <row r="158" customFormat="false" ht="22.35" hidden="false" customHeight="false" outlineLevel="0" collapsed="false">
      <c r="A158" s="14" t="s">
        <v>390</v>
      </c>
      <c r="B158" s="14" t="s">
        <v>291</v>
      </c>
      <c r="C158" s="14" t="s">
        <v>322</v>
      </c>
      <c r="D158" s="14" t="s">
        <v>323</v>
      </c>
      <c r="E158" s="14" t="s">
        <v>391</v>
      </c>
      <c r="F158" s="15"/>
      <c r="G158" s="14"/>
      <c r="H158" s="14" t="s">
        <v>127</v>
      </c>
      <c r="I158" s="14" t="s">
        <v>294</v>
      </c>
      <c r="J158" s="16"/>
      <c r="K158" s="16"/>
      <c r="L158" s="16"/>
      <c r="M158" s="16"/>
      <c r="N158" s="16"/>
      <c r="O158" s="17" t="str">
        <f aca="false">IFERROR(INDEX(Lists!$B$3:$B$7,MATCH(K158,Lists!$A$3:$A$7,0)),"")</f>
        <v/>
      </c>
      <c r="P158" s="17" t="str">
        <f aca="false">IFERROR(INDEX('Evidence Pulls'!$P$6:$P$125,MATCH($J158,'Evidence Pulls'!$A$6:$A$125,0)),"")</f>
        <v/>
      </c>
      <c r="Q158" s="17" t="str">
        <f aca="false">IFERROR(INDEX('Evidence Pulls'!$H$6:$H$125,MATCH($J158,'Evidence Pulls'!$A$6:$A$125,0)),"")</f>
        <v/>
      </c>
      <c r="R158" s="17" t="str">
        <f aca="false">IFERROR(INDEX('Evidence Pulls'!$Q$6:$Q$125,MATCH($J158,'Evidence Pulls'!$A$6:$A$125,0)),"")</f>
        <v/>
      </c>
      <c r="S158" s="17" t="str">
        <f aca="false">IF(L158&lt;&gt;"",L158,IF(K158="","Not assessed",IF(N(O158)&gt;=3,"Demonstrated","Gap - remediate")))</f>
        <v>Not assessed</v>
      </c>
      <c r="T158" s="17" t="str">
        <f aca="false">IF(J158="","No evidence pull assigned",IF(COUNTIF('Evidence Pulls'!$A$6:$A$125,J158)=0,"Pull ID not on Evidence Pulls sheet",IF(K158="","Not graded",IF(AND(G158="MANDATORY",L158="Gap - recommend tailoring"),"INVALID: safety-mandatory, not tailorable",IF(OR(P158="",P158=0),"NO NAMED EXECUTOR",IF(AND(H158="Full",IFERROR(INDEX('Evidence Pulls'!$C$6:$C$125,MATCH($J158,'Evidence Pulls'!$A$6:$A$125,0)),"")&lt;&gt;"Artifact",N(O158)&gt;=3,N(IFERROR(INDEX('Evidence Pulls'!$K$6:$K$125,MATCH($J158,'Evidence Pulls'!$A$6:$A$125,0)),""))=0),"Operating claimed with no sample",IF(AND(N(O158)&gt;=3,P158=1),"Operating rests on one individual",IF(AND(L158&lt;&gt;"",N158=""),"Override with no rationale in column N",IF(AND(G158="MANDATORY",N(O158)&lt;3),"SAFETY GATE: below Operating","OK")))))))))</f>
        <v>No evidence pull assigned</v>
      </c>
    </row>
    <row r="159" customFormat="false" ht="22.35" hidden="false" customHeight="false" outlineLevel="0" collapsed="false">
      <c r="A159" s="14" t="s">
        <v>392</v>
      </c>
      <c r="B159" s="14" t="s">
        <v>291</v>
      </c>
      <c r="C159" s="14" t="s">
        <v>322</v>
      </c>
      <c r="D159" s="14" t="s">
        <v>323</v>
      </c>
      <c r="E159" s="14" t="s">
        <v>393</v>
      </c>
      <c r="F159" s="15"/>
      <c r="G159" s="14"/>
      <c r="H159" s="14" t="s">
        <v>127</v>
      </c>
      <c r="I159" s="14" t="s">
        <v>294</v>
      </c>
      <c r="J159" s="16"/>
      <c r="K159" s="16"/>
      <c r="L159" s="16"/>
      <c r="M159" s="16"/>
      <c r="N159" s="16"/>
      <c r="O159" s="17" t="str">
        <f aca="false">IFERROR(INDEX(Lists!$B$3:$B$7,MATCH(K159,Lists!$A$3:$A$7,0)),"")</f>
        <v/>
      </c>
      <c r="P159" s="17" t="str">
        <f aca="false">IFERROR(INDEX('Evidence Pulls'!$P$6:$P$125,MATCH($J159,'Evidence Pulls'!$A$6:$A$125,0)),"")</f>
        <v/>
      </c>
      <c r="Q159" s="17" t="str">
        <f aca="false">IFERROR(INDEX('Evidence Pulls'!$H$6:$H$125,MATCH($J159,'Evidence Pulls'!$A$6:$A$125,0)),"")</f>
        <v/>
      </c>
      <c r="R159" s="17" t="str">
        <f aca="false">IFERROR(INDEX('Evidence Pulls'!$Q$6:$Q$125,MATCH($J159,'Evidence Pulls'!$A$6:$A$125,0)),"")</f>
        <v/>
      </c>
      <c r="S159" s="17" t="str">
        <f aca="false">IF(L159&lt;&gt;"",L159,IF(K159="","Not assessed",IF(N(O159)&gt;=3,"Demonstrated","Gap - remediate")))</f>
        <v>Not assessed</v>
      </c>
      <c r="T159" s="17" t="str">
        <f aca="false">IF(J159="","No evidence pull assigned",IF(COUNTIF('Evidence Pulls'!$A$6:$A$125,J159)=0,"Pull ID not on Evidence Pulls sheet",IF(K159="","Not graded",IF(AND(G159="MANDATORY",L159="Gap - recommend tailoring"),"INVALID: safety-mandatory, not tailorable",IF(OR(P159="",P159=0),"NO NAMED EXECUTOR",IF(AND(H159="Full",IFERROR(INDEX('Evidence Pulls'!$C$6:$C$125,MATCH($J159,'Evidence Pulls'!$A$6:$A$125,0)),"")&lt;&gt;"Artifact",N(O159)&gt;=3,N(IFERROR(INDEX('Evidence Pulls'!$K$6:$K$125,MATCH($J159,'Evidence Pulls'!$A$6:$A$125,0)),""))=0),"Operating claimed with no sample",IF(AND(N(O159)&gt;=3,P159=1),"Operating rests on one individual",IF(AND(L159&lt;&gt;"",N159=""),"Override with no rationale in column N",IF(AND(G159="MANDATORY",N(O159)&lt;3),"SAFETY GATE: below Operating","OK")))))))))</f>
        <v>No evidence pull assigned</v>
      </c>
    </row>
    <row r="160" customFormat="false" ht="22.35" hidden="false" customHeight="false" outlineLevel="0" collapsed="false">
      <c r="A160" s="14" t="s">
        <v>394</v>
      </c>
      <c r="B160" s="14" t="s">
        <v>291</v>
      </c>
      <c r="C160" s="14" t="s">
        <v>322</v>
      </c>
      <c r="D160" s="14" t="s">
        <v>323</v>
      </c>
      <c r="E160" s="14" t="s">
        <v>395</v>
      </c>
      <c r="F160" s="15"/>
      <c r="G160" s="14"/>
      <c r="H160" s="14" t="s">
        <v>127</v>
      </c>
      <c r="I160" s="14" t="s">
        <v>294</v>
      </c>
      <c r="J160" s="16"/>
      <c r="K160" s="16"/>
      <c r="L160" s="16"/>
      <c r="M160" s="16"/>
      <c r="N160" s="16"/>
      <c r="O160" s="17" t="str">
        <f aca="false">IFERROR(INDEX(Lists!$B$3:$B$7,MATCH(K160,Lists!$A$3:$A$7,0)),"")</f>
        <v/>
      </c>
      <c r="P160" s="17" t="str">
        <f aca="false">IFERROR(INDEX('Evidence Pulls'!$P$6:$P$125,MATCH($J160,'Evidence Pulls'!$A$6:$A$125,0)),"")</f>
        <v/>
      </c>
      <c r="Q160" s="17" t="str">
        <f aca="false">IFERROR(INDEX('Evidence Pulls'!$H$6:$H$125,MATCH($J160,'Evidence Pulls'!$A$6:$A$125,0)),"")</f>
        <v/>
      </c>
      <c r="R160" s="17" t="str">
        <f aca="false">IFERROR(INDEX('Evidence Pulls'!$Q$6:$Q$125,MATCH($J160,'Evidence Pulls'!$A$6:$A$125,0)),"")</f>
        <v/>
      </c>
      <c r="S160" s="17" t="str">
        <f aca="false">IF(L160&lt;&gt;"",L160,IF(K160="","Not assessed",IF(N(O160)&gt;=3,"Demonstrated","Gap - remediate")))</f>
        <v>Not assessed</v>
      </c>
      <c r="T160" s="17" t="str">
        <f aca="false">IF(J160="","No evidence pull assigned",IF(COUNTIF('Evidence Pulls'!$A$6:$A$125,J160)=0,"Pull ID not on Evidence Pulls sheet",IF(K160="","Not graded",IF(AND(G160="MANDATORY",L160="Gap - recommend tailoring"),"INVALID: safety-mandatory, not tailorable",IF(OR(P160="",P160=0),"NO NAMED EXECUTOR",IF(AND(H160="Full",IFERROR(INDEX('Evidence Pulls'!$C$6:$C$125,MATCH($J160,'Evidence Pulls'!$A$6:$A$125,0)),"")&lt;&gt;"Artifact",N(O160)&gt;=3,N(IFERROR(INDEX('Evidence Pulls'!$K$6:$K$125,MATCH($J160,'Evidence Pulls'!$A$6:$A$125,0)),""))=0),"Operating claimed with no sample",IF(AND(N(O160)&gt;=3,P160=1),"Operating rests on one individual",IF(AND(L160&lt;&gt;"",N160=""),"Override with no rationale in column N",IF(AND(G160="MANDATORY",N(O160)&lt;3),"SAFETY GATE: below Operating","OK")))))))))</f>
        <v>No evidence pull assigned</v>
      </c>
    </row>
    <row r="161" customFormat="false" ht="22.35" hidden="false" customHeight="false" outlineLevel="0" collapsed="false">
      <c r="A161" s="14" t="s">
        <v>396</v>
      </c>
      <c r="B161" s="14" t="s">
        <v>291</v>
      </c>
      <c r="C161" s="14" t="s">
        <v>322</v>
      </c>
      <c r="D161" s="14" t="s">
        <v>323</v>
      </c>
      <c r="E161" s="14" t="s">
        <v>397</v>
      </c>
      <c r="F161" s="15"/>
      <c r="G161" s="14"/>
      <c r="H161" s="14" t="s">
        <v>127</v>
      </c>
      <c r="I161" s="14" t="s">
        <v>294</v>
      </c>
      <c r="J161" s="16"/>
      <c r="K161" s="16"/>
      <c r="L161" s="16"/>
      <c r="M161" s="16"/>
      <c r="N161" s="16"/>
      <c r="O161" s="17" t="str">
        <f aca="false">IFERROR(INDEX(Lists!$B$3:$B$7,MATCH(K161,Lists!$A$3:$A$7,0)),"")</f>
        <v/>
      </c>
      <c r="P161" s="17" t="str">
        <f aca="false">IFERROR(INDEX('Evidence Pulls'!$P$6:$P$125,MATCH($J161,'Evidence Pulls'!$A$6:$A$125,0)),"")</f>
        <v/>
      </c>
      <c r="Q161" s="17" t="str">
        <f aca="false">IFERROR(INDEX('Evidence Pulls'!$H$6:$H$125,MATCH($J161,'Evidence Pulls'!$A$6:$A$125,0)),"")</f>
        <v/>
      </c>
      <c r="R161" s="17" t="str">
        <f aca="false">IFERROR(INDEX('Evidence Pulls'!$Q$6:$Q$125,MATCH($J161,'Evidence Pulls'!$A$6:$A$125,0)),"")</f>
        <v/>
      </c>
      <c r="S161" s="17" t="str">
        <f aca="false">IF(L161&lt;&gt;"",L161,IF(K161="","Not assessed",IF(N(O161)&gt;=3,"Demonstrated","Gap - remediate")))</f>
        <v>Not assessed</v>
      </c>
      <c r="T161" s="17" t="str">
        <f aca="false">IF(J161="","No evidence pull assigned",IF(COUNTIF('Evidence Pulls'!$A$6:$A$125,J161)=0,"Pull ID not on Evidence Pulls sheet",IF(K161="","Not graded",IF(AND(G161="MANDATORY",L161="Gap - recommend tailoring"),"INVALID: safety-mandatory, not tailorable",IF(OR(P161="",P161=0),"NO NAMED EXECUTOR",IF(AND(H161="Full",IFERROR(INDEX('Evidence Pulls'!$C$6:$C$125,MATCH($J161,'Evidence Pulls'!$A$6:$A$125,0)),"")&lt;&gt;"Artifact",N(O161)&gt;=3,N(IFERROR(INDEX('Evidence Pulls'!$K$6:$K$125,MATCH($J161,'Evidence Pulls'!$A$6:$A$125,0)),""))=0),"Operating claimed with no sample",IF(AND(N(O161)&gt;=3,P161=1),"Operating rests on one individual",IF(AND(L161&lt;&gt;"",N161=""),"Override with no rationale in column N",IF(AND(G161="MANDATORY",N(O161)&lt;3),"SAFETY GATE: below Operating","OK")))))))))</f>
        <v>No evidence pull assigned</v>
      </c>
    </row>
    <row r="162" customFormat="false" ht="22.35" hidden="false" customHeight="false" outlineLevel="0" collapsed="false">
      <c r="A162" s="14" t="s">
        <v>398</v>
      </c>
      <c r="B162" s="14" t="s">
        <v>291</v>
      </c>
      <c r="C162" s="14" t="s">
        <v>322</v>
      </c>
      <c r="D162" s="14" t="s">
        <v>323</v>
      </c>
      <c r="E162" s="14" t="s">
        <v>399</v>
      </c>
      <c r="F162" s="15"/>
      <c r="G162" s="14"/>
      <c r="H162" s="14" t="s">
        <v>127</v>
      </c>
      <c r="I162" s="14" t="s">
        <v>294</v>
      </c>
      <c r="J162" s="16"/>
      <c r="K162" s="16"/>
      <c r="L162" s="16"/>
      <c r="M162" s="16"/>
      <c r="N162" s="16"/>
      <c r="O162" s="17" t="str">
        <f aca="false">IFERROR(INDEX(Lists!$B$3:$B$7,MATCH(K162,Lists!$A$3:$A$7,0)),"")</f>
        <v/>
      </c>
      <c r="P162" s="17" t="str">
        <f aca="false">IFERROR(INDEX('Evidence Pulls'!$P$6:$P$125,MATCH($J162,'Evidence Pulls'!$A$6:$A$125,0)),"")</f>
        <v/>
      </c>
      <c r="Q162" s="17" t="str">
        <f aca="false">IFERROR(INDEX('Evidence Pulls'!$H$6:$H$125,MATCH($J162,'Evidence Pulls'!$A$6:$A$125,0)),"")</f>
        <v/>
      </c>
      <c r="R162" s="17" t="str">
        <f aca="false">IFERROR(INDEX('Evidence Pulls'!$Q$6:$Q$125,MATCH($J162,'Evidence Pulls'!$A$6:$A$125,0)),"")</f>
        <v/>
      </c>
      <c r="S162" s="17" t="str">
        <f aca="false">IF(L162&lt;&gt;"",L162,IF(K162="","Not assessed",IF(N(O162)&gt;=3,"Demonstrated","Gap - remediate")))</f>
        <v>Not assessed</v>
      </c>
      <c r="T162" s="17" t="str">
        <f aca="false">IF(J162="","No evidence pull assigned",IF(COUNTIF('Evidence Pulls'!$A$6:$A$125,J162)=0,"Pull ID not on Evidence Pulls sheet",IF(K162="","Not graded",IF(AND(G162="MANDATORY",L162="Gap - recommend tailoring"),"INVALID: safety-mandatory, not tailorable",IF(OR(P162="",P162=0),"NO NAMED EXECUTOR",IF(AND(H162="Full",IFERROR(INDEX('Evidence Pulls'!$C$6:$C$125,MATCH($J162,'Evidence Pulls'!$A$6:$A$125,0)),"")&lt;&gt;"Artifact",N(O162)&gt;=3,N(IFERROR(INDEX('Evidence Pulls'!$K$6:$K$125,MATCH($J162,'Evidence Pulls'!$A$6:$A$125,0)),""))=0),"Operating claimed with no sample",IF(AND(N(O162)&gt;=3,P162=1),"Operating rests on one individual",IF(AND(L162&lt;&gt;"",N162=""),"Override with no rationale in column N",IF(AND(G162="MANDATORY",N(O162)&lt;3),"SAFETY GATE: below Operating","OK")))))))))</f>
        <v>No evidence pull assigned</v>
      </c>
    </row>
    <row r="163" customFormat="false" ht="22.35" hidden="false" customHeight="false" outlineLevel="0" collapsed="false">
      <c r="A163" s="14" t="s">
        <v>400</v>
      </c>
      <c r="B163" s="14" t="s">
        <v>291</v>
      </c>
      <c r="C163" s="14" t="s">
        <v>322</v>
      </c>
      <c r="D163" s="14" t="s">
        <v>323</v>
      </c>
      <c r="E163" s="14" t="s">
        <v>134</v>
      </c>
      <c r="F163" s="15"/>
      <c r="G163" s="14"/>
      <c r="H163" s="14" t="s">
        <v>127</v>
      </c>
      <c r="I163" s="14" t="s">
        <v>294</v>
      </c>
      <c r="J163" s="16"/>
      <c r="K163" s="16"/>
      <c r="L163" s="16"/>
      <c r="M163" s="16"/>
      <c r="N163" s="16"/>
      <c r="O163" s="17" t="str">
        <f aca="false">IFERROR(INDEX(Lists!$B$3:$B$7,MATCH(K163,Lists!$A$3:$A$7,0)),"")</f>
        <v/>
      </c>
      <c r="P163" s="17" t="str">
        <f aca="false">IFERROR(INDEX('Evidence Pulls'!$P$6:$P$125,MATCH($J163,'Evidence Pulls'!$A$6:$A$125,0)),"")</f>
        <v/>
      </c>
      <c r="Q163" s="17" t="str">
        <f aca="false">IFERROR(INDEX('Evidence Pulls'!$H$6:$H$125,MATCH($J163,'Evidence Pulls'!$A$6:$A$125,0)),"")</f>
        <v/>
      </c>
      <c r="R163" s="17" t="str">
        <f aca="false">IFERROR(INDEX('Evidence Pulls'!$Q$6:$Q$125,MATCH($J163,'Evidence Pulls'!$A$6:$A$125,0)),"")</f>
        <v/>
      </c>
      <c r="S163" s="17" t="str">
        <f aca="false">IF(L163&lt;&gt;"",L163,IF(K163="","Not assessed",IF(N(O163)&gt;=3,"Demonstrated","Gap - remediate")))</f>
        <v>Not assessed</v>
      </c>
      <c r="T163" s="17" t="str">
        <f aca="false">IF(J163="","No evidence pull assigned",IF(COUNTIF('Evidence Pulls'!$A$6:$A$125,J163)=0,"Pull ID not on Evidence Pulls sheet",IF(K163="","Not graded",IF(AND(G163="MANDATORY",L163="Gap - recommend tailoring"),"INVALID: safety-mandatory, not tailorable",IF(OR(P163="",P163=0),"NO NAMED EXECUTOR",IF(AND(H163="Full",IFERROR(INDEX('Evidence Pulls'!$C$6:$C$125,MATCH($J163,'Evidence Pulls'!$A$6:$A$125,0)),"")&lt;&gt;"Artifact",N(O163)&gt;=3,N(IFERROR(INDEX('Evidence Pulls'!$K$6:$K$125,MATCH($J163,'Evidence Pulls'!$A$6:$A$125,0)),""))=0),"Operating claimed with no sample",IF(AND(N(O163)&gt;=3,P163=1),"Operating rests on one individual",IF(AND(L163&lt;&gt;"",N163=""),"Override with no rationale in column N",IF(AND(G163="MANDATORY",N(O163)&lt;3),"SAFETY GATE: below Operating","OK")))))))))</f>
        <v>No evidence pull assigned</v>
      </c>
    </row>
    <row r="164" customFormat="false" ht="22.35" hidden="false" customHeight="false" outlineLevel="0" collapsed="false">
      <c r="A164" s="14" t="s">
        <v>401</v>
      </c>
      <c r="B164" s="14" t="s">
        <v>291</v>
      </c>
      <c r="C164" s="14" t="s">
        <v>322</v>
      </c>
      <c r="D164" s="14" t="s">
        <v>323</v>
      </c>
      <c r="E164" s="14" t="s">
        <v>136</v>
      </c>
      <c r="F164" s="15"/>
      <c r="G164" s="14"/>
      <c r="H164" s="14" t="s">
        <v>127</v>
      </c>
      <c r="I164" s="14" t="s">
        <v>294</v>
      </c>
      <c r="J164" s="16"/>
      <c r="K164" s="16"/>
      <c r="L164" s="16"/>
      <c r="M164" s="16"/>
      <c r="N164" s="16"/>
      <c r="O164" s="17" t="str">
        <f aca="false">IFERROR(INDEX(Lists!$B$3:$B$7,MATCH(K164,Lists!$A$3:$A$7,0)),"")</f>
        <v/>
      </c>
      <c r="P164" s="17" t="str">
        <f aca="false">IFERROR(INDEX('Evidence Pulls'!$P$6:$P$125,MATCH($J164,'Evidence Pulls'!$A$6:$A$125,0)),"")</f>
        <v/>
      </c>
      <c r="Q164" s="17" t="str">
        <f aca="false">IFERROR(INDEX('Evidence Pulls'!$H$6:$H$125,MATCH($J164,'Evidence Pulls'!$A$6:$A$125,0)),"")</f>
        <v/>
      </c>
      <c r="R164" s="17" t="str">
        <f aca="false">IFERROR(INDEX('Evidence Pulls'!$Q$6:$Q$125,MATCH($J164,'Evidence Pulls'!$A$6:$A$125,0)),"")</f>
        <v/>
      </c>
      <c r="S164" s="17" t="str">
        <f aca="false">IF(L164&lt;&gt;"",L164,IF(K164="","Not assessed",IF(N(O164)&gt;=3,"Demonstrated","Gap - remediate")))</f>
        <v>Not assessed</v>
      </c>
      <c r="T164" s="17" t="str">
        <f aca="false">IF(J164="","No evidence pull assigned",IF(COUNTIF('Evidence Pulls'!$A$6:$A$125,J164)=0,"Pull ID not on Evidence Pulls sheet",IF(K164="","Not graded",IF(AND(G164="MANDATORY",L164="Gap - recommend tailoring"),"INVALID: safety-mandatory, not tailorable",IF(OR(P164="",P164=0),"NO NAMED EXECUTOR",IF(AND(H164="Full",IFERROR(INDEX('Evidence Pulls'!$C$6:$C$125,MATCH($J164,'Evidence Pulls'!$A$6:$A$125,0)),"")&lt;&gt;"Artifact",N(O164)&gt;=3,N(IFERROR(INDEX('Evidence Pulls'!$K$6:$K$125,MATCH($J164,'Evidence Pulls'!$A$6:$A$125,0)),""))=0),"Operating claimed with no sample",IF(AND(N(O164)&gt;=3,P164=1),"Operating rests on one individual",IF(AND(L164&lt;&gt;"",N164=""),"Override with no rationale in column N",IF(AND(G164="MANDATORY",N(O164)&lt;3),"SAFETY GATE: below Operating","OK")))))))))</f>
        <v>No evidence pull assigned</v>
      </c>
    </row>
    <row r="165" customFormat="false" ht="22.35" hidden="false" customHeight="false" outlineLevel="0" collapsed="false">
      <c r="A165" s="14" t="s">
        <v>402</v>
      </c>
      <c r="B165" s="14" t="s">
        <v>291</v>
      </c>
      <c r="C165" s="14" t="s">
        <v>403</v>
      </c>
      <c r="D165" s="14" t="s">
        <v>404</v>
      </c>
      <c r="E165" s="14" t="s">
        <v>126</v>
      </c>
      <c r="F165" s="15"/>
      <c r="G165" s="14"/>
      <c r="H165" s="14" t="s">
        <v>127</v>
      </c>
      <c r="I165" s="14" t="s">
        <v>294</v>
      </c>
      <c r="J165" s="16"/>
      <c r="K165" s="16"/>
      <c r="L165" s="16"/>
      <c r="M165" s="16"/>
      <c r="N165" s="16"/>
      <c r="O165" s="17" t="str">
        <f aca="false">IFERROR(INDEX(Lists!$B$3:$B$7,MATCH(K165,Lists!$A$3:$A$7,0)),"")</f>
        <v/>
      </c>
      <c r="P165" s="17" t="str">
        <f aca="false">IFERROR(INDEX('Evidence Pulls'!$P$6:$P$125,MATCH($J165,'Evidence Pulls'!$A$6:$A$125,0)),"")</f>
        <v/>
      </c>
      <c r="Q165" s="17" t="str">
        <f aca="false">IFERROR(INDEX('Evidence Pulls'!$H$6:$H$125,MATCH($J165,'Evidence Pulls'!$A$6:$A$125,0)),"")</f>
        <v/>
      </c>
      <c r="R165" s="17" t="str">
        <f aca="false">IFERROR(INDEX('Evidence Pulls'!$Q$6:$Q$125,MATCH($J165,'Evidence Pulls'!$A$6:$A$125,0)),"")</f>
        <v/>
      </c>
      <c r="S165" s="17" t="str">
        <f aca="false">IF(L165&lt;&gt;"",L165,IF(K165="","Not assessed",IF(N(O165)&gt;=3,"Demonstrated","Gap - remediate")))</f>
        <v>Not assessed</v>
      </c>
      <c r="T165" s="17" t="str">
        <f aca="false">IF(J165="","No evidence pull assigned",IF(COUNTIF('Evidence Pulls'!$A$6:$A$125,J165)=0,"Pull ID not on Evidence Pulls sheet",IF(K165="","Not graded",IF(AND(G165="MANDATORY",L165="Gap - recommend tailoring"),"INVALID: safety-mandatory, not tailorable",IF(OR(P165="",P165=0),"NO NAMED EXECUTOR",IF(AND(H165="Full",IFERROR(INDEX('Evidence Pulls'!$C$6:$C$125,MATCH($J165,'Evidence Pulls'!$A$6:$A$125,0)),"")&lt;&gt;"Artifact",N(O165)&gt;=3,N(IFERROR(INDEX('Evidence Pulls'!$K$6:$K$125,MATCH($J165,'Evidence Pulls'!$A$6:$A$125,0)),""))=0),"Operating claimed with no sample",IF(AND(N(O165)&gt;=3,P165=1),"Operating rests on one individual",IF(AND(L165&lt;&gt;"",N165=""),"Override with no rationale in column N",IF(AND(G165="MANDATORY",N(O165)&lt;3),"SAFETY GATE: below Operating","OK")))))))))</f>
        <v>No evidence pull assigned</v>
      </c>
    </row>
    <row r="166" customFormat="false" ht="22.35" hidden="false" customHeight="false" outlineLevel="0" collapsed="false">
      <c r="A166" s="14" t="s">
        <v>405</v>
      </c>
      <c r="B166" s="14" t="s">
        <v>291</v>
      </c>
      <c r="C166" s="14" t="s">
        <v>403</v>
      </c>
      <c r="D166" s="14" t="s">
        <v>404</v>
      </c>
      <c r="E166" s="14" t="s">
        <v>130</v>
      </c>
      <c r="F166" s="15"/>
      <c r="G166" s="14"/>
      <c r="H166" s="14" t="s">
        <v>127</v>
      </c>
      <c r="I166" s="14" t="s">
        <v>294</v>
      </c>
      <c r="J166" s="16"/>
      <c r="K166" s="16"/>
      <c r="L166" s="16"/>
      <c r="M166" s="16"/>
      <c r="N166" s="16"/>
      <c r="O166" s="17" t="str">
        <f aca="false">IFERROR(INDEX(Lists!$B$3:$B$7,MATCH(K166,Lists!$A$3:$A$7,0)),"")</f>
        <v/>
      </c>
      <c r="P166" s="17" t="str">
        <f aca="false">IFERROR(INDEX('Evidence Pulls'!$P$6:$P$125,MATCH($J166,'Evidence Pulls'!$A$6:$A$125,0)),"")</f>
        <v/>
      </c>
      <c r="Q166" s="17" t="str">
        <f aca="false">IFERROR(INDEX('Evidence Pulls'!$H$6:$H$125,MATCH($J166,'Evidence Pulls'!$A$6:$A$125,0)),"")</f>
        <v/>
      </c>
      <c r="R166" s="17" t="str">
        <f aca="false">IFERROR(INDEX('Evidence Pulls'!$Q$6:$Q$125,MATCH($J166,'Evidence Pulls'!$A$6:$A$125,0)),"")</f>
        <v/>
      </c>
      <c r="S166" s="17" t="str">
        <f aca="false">IF(L166&lt;&gt;"",L166,IF(K166="","Not assessed",IF(N(O166)&gt;=3,"Demonstrated","Gap - remediate")))</f>
        <v>Not assessed</v>
      </c>
      <c r="T166" s="17" t="str">
        <f aca="false">IF(J166="","No evidence pull assigned",IF(COUNTIF('Evidence Pulls'!$A$6:$A$125,J166)=0,"Pull ID not on Evidence Pulls sheet",IF(K166="","Not graded",IF(AND(G166="MANDATORY",L166="Gap - recommend tailoring"),"INVALID: safety-mandatory, not tailorable",IF(OR(P166="",P166=0),"NO NAMED EXECUTOR",IF(AND(H166="Full",IFERROR(INDEX('Evidence Pulls'!$C$6:$C$125,MATCH($J166,'Evidence Pulls'!$A$6:$A$125,0)),"")&lt;&gt;"Artifact",N(O166)&gt;=3,N(IFERROR(INDEX('Evidence Pulls'!$K$6:$K$125,MATCH($J166,'Evidence Pulls'!$A$6:$A$125,0)),""))=0),"Operating claimed with no sample",IF(AND(N(O166)&gt;=3,P166=1),"Operating rests on one individual",IF(AND(L166&lt;&gt;"",N166=""),"Override with no rationale in column N",IF(AND(G166="MANDATORY",N(O166)&lt;3),"SAFETY GATE: below Operating","OK")))))))))</f>
        <v>No evidence pull assigned</v>
      </c>
    </row>
    <row r="167" customFormat="false" ht="22.35" hidden="false" customHeight="false" outlineLevel="0" collapsed="false">
      <c r="A167" s="18" t="s">
        <v>406</v>
      </c>
      <c r="B167" s="18" t="s">
        <v>291</v>
      </c>
      <c r="C167" s="18" t="s">
        <v>407</v>
      </c>
      <c r="D167" s="18" t="s">
        <v>408</v>
      </c>
      <c r="E167" s="18" t="s">
        <v>126</v>
      </c>
      <c r="F167" s="18"/>
      <c r="G167" s="19" t="s">
        <v>131</v>
      </c>
      <c r="H167" s="19" t="s">
        <v>132</v>
      </c>
      <c r="I167" s="18" t="s">
        <v>294</v>
      </c>
      <c r="J167" s="16"/>
      <c r="K167" s="16"/>
      <c r="L167" s="16"/>
      <c r="M167" s="16"/>
      <c r="N167" s="16"/>
      <c r="O167" s="17" t="str">
        <f aca="false">IFERROR(INDEX(Lists!$B$3:$B$7,MATCH(K167,Lists!$A$3:$A$7,0)),"")</f>
        <v/>
      </c>
      <c r="P167" s="17" t="str">
        <f aca="false">IFERROR(INDEX('Evidence Pulls'!$P$6:$P$125,MATCH($J167,'Evidence Pulls'!$A$6:$A$125,0)),"")</f>
        <v/>
      </c>
      <c r="Q167" s="17" t="str">
        <f aca="false">IFERROR(INDEX('Evidence Pulls'!$H$6:$H$125,MATCH($J167,'Evidence Pulls'!$A$6:$A$125,0)),"")</f>
        <v/>
      </c>
      <c r="R167" s="17" t="str">
        <f aca="false">IFERROR(INDEX('Evidence Pulls'!$Q$6:$Q$125,MATCH($J167,'Evidence Pulls'!$A$6:$A$125,0)),"")</f>
        <v/>
      </c>
      <c r="S167" s="17" t="str">
        <f aca="false">IF(L167&lt;&gt;"",L167,IF(K167="","Not assessed",IF(N(O167)&gt;=3,"Demonstrated","Gap - remediate")))</f>
        <v>Not assessed</v>
      </c>
      <c r="T167" s="17" t="str">
        <f aca="false">IF(J167="","No evidence pull assigned",IF(COUNTIF('Evidence Pulls'!$A$6:$A$125,J167)=0,"Pull ID not on Evidence Pulls sheet",IF(K167="","Not graded",IF(AND(G167="MANDATORY",L167="Gap - recommend tailoring"),"INVALID: safety-mandatory, not tailorable",IF(OR(P167="",P167=0),"NO NAMED EXECUTOR",IF(AND(H167="Full",IFERROR(INDEX('Evidence Pulls'!$C$6:$C$125,MATCH($J167,'Evidence Pulls'!$A$6:$A$125,0)),"")&lt;&gt;"Artifact",N(O167)&gt;=3,N(IFERROR(INDEX('Evidence Pulls'!$K$6:$K$125,MATCH($J167,'Evidence Pulls'!$A$6:$A$125,0)),""))=0),"Operating claimed with no sample",IF(AND(N(O167)&gt;=3,P167=1),"Operating rests on one individual",IF(AND(L167&lt;&gt;"",N167=""),"Override with no rationale in column N",IF(AND(G167="MANDATORY",N(O167)&lt;3),"SAFETY GATE: below Operating","OK")))))))))</f>
        <v>No evidence pull assigned</v>
      </c>
    </row>
    <row r="168" customFormat="false" ht="22.35" hidden="false" customHeight="false" outlineLevel="0" collapsed="false">
      <c r="A168" s="14" t="s">
        <v>409</v>
      </c>
      <c r="B168" s="14" t="s">
        <v>291</v>
      </c>
      <c r="C168" s="14" t="s">
        <v>407</v>
      </c>
      <c r="D168" s="14" t="s">
        <v>408</v>
      </c>
      <c r="E168" s="14" t="s">
        <v>182</v>
      </c>
      <c r="F168" s="15"/>
      <c r="G168" s="14"/>
      <c r="H168" s="14" t="s">
        <v>127</v>
      </c>
      <c r="I168" s="14" t="s">
        <v>294</v>
      </c>
      <c r="J168" s="16"/>
      <c r="K168" s="16"/>
      <c r="L168" s="16"/>
      <c r="M168" s="16"/>
      <c r="N168" s="16"/>
      <c r="O168" s="17" t="str">
        <f aca="false">IFERROR(INDEX(Lists!$B$3:$B$7,MATCH(K168,Lists!$A$3:$A$7,0)),"")</f>
        <v/>
      </c>
      <c r="P168" s="17" t="str">
        <f aca="false">IFERROR(INDEX('Evidence Pulls'!$P$6:$P$125,MATCH($J168,'Evidence Pulls'!$A$6:$A$125,0)),"")</f>
        <v/>
      </c>
      <c r="Q168" s="17" t="str">
        <f aca="false">IFERROR(INDEX('Evidence Pulls'!$H$6:$H$125,MATCH($J168,'Evidence Pulls'!$A$6:$A$125,0)),"")</f>
        <v/>
      </c>
      <c r="R168" s="17" t="str">
        <f aca="false">IFERROR(INDEX('Evidence Pulls'!$Q$6:$Q$125,MATCH($J168,'Evidence Pulls'!$A$6:$A$125,0)),"")</f>
        <v/>
      </c>
      <c r="S168" s="17" t="str">
        <f aca="false">IF(L168&lt;&gt;"",L168,IF(K168="","Not assessed",IF(N(O168)&gt;=3,"Demonstrated","Gap - remediate")))</f>
        <v>Not assessed</v>
      </c>
      <c r="T168" s="17" t="str">
        <f aca="false">IF(J168="","No evidence pull assigned",IF(COUNTIF('Evidence Pulls'!$A$6:$A$125,J168)=0,"Pull ID not on Evidence Pulls sheet",IF(K168="","Not graded",IF(AND(G168="MANDATORY",L168="Gap - recommend tailoring"),"INVALID: safety-mandatory, not tailorable",IF(OR(P168="",P168=0),"NO NAMED EXECUTOR",IF(AND(H168="Full",IFERROR(INDEX('Evidence Pulls'!$C$6:$C$125,MATCH($J168,'Evidence Pulls'!$A$6:$A$125,0)),"")&lt;&gt;"Artifact",N(O168)&gt;=3,N(IFERROR(INDEX('Evidence Pulls'!$K$6:$K$125,MATCH($J168,'Evidence Pulls'!$A$6:$A$125,0)),""))=0),"Operating claimed with no sample",IF(AND(N(O168)&gt;=3,P168=1),"Operating rests on one individual",IF(AND(L168&lt;&gt;"",N168=""),"Override with no rationale in column N",IF(AND(G168="MANDATORY",N(O168)&lt;3),"SAFETY GATE: below Operating","OK")))))))))</f>
        <v>No evidence pull assigned</v>
      </c>
    </row>
    <row r="169" customFormat="false" ht="22.35" hidden="false" customHeight="false" outlineLevel="0" collapsed="false">
      <c r="A169" s="14" t="s">
        <v>410</v>
      </c>
      <c r="B169" s="14" t="s">
        <v>291</v>
      </c>
      <c r="C169" s="14" t="s">
        <v>407</v>
      </c>
      <c r="D169" s="14" t="s">
        <v>408</v>
      </c>
      <c r="E169" s="14" t="s">
        <v>184</v>
      </c>
      <c r="F169" s="15"/>
      <c r="G169" s="14"/>
      <c r="H169" s="14" t="s">
        <v>127</v>
      </c>
      <c r="I169" s="14" t="s">
        <v>294</v>
      </c>
      <c r="J169" s="16"/>
      <c r="K169" s="16"/>
      <c r="L169" s="16"/>
      <c r="M169" s="16"/>
      <c r="N169" s="16"/>
      <c r="O169" s="17" t="str">
        <f aca="false">IFERROR(INDEX(Lists!$B$3:$B$7,MATCH(K169,Lists!$A$3:$A$7,0)),"")</f>
        <v/>
      </c>
      <c r="P169" s="17" t="str">
        <f aca="false">IFERROR(INDEX('Evidence Pulls'!$P$6:$P$125,MATCH($J169,'Evidence Pulls'!$A$6:$A$125,0)),"")</f>
        <v/>
      </c>
      <c r="Q169" s="17" t="str">
        <f aca="false">IFERROR(INDEX('Evidence Pulls'!$H$6:$H$125,MATCH($J169,'Evidence Pulls'!$A$6:$A$125,0)),"")</f>
        <v/>
      </c>
      <c r="R169" s="17" t="str">
        <f aca="false">IFERROR(INDEX('Evidence Pulls'!$Q$6:$Q$125,MATCH($J169,'Evidence Pulls'!$A$6:$A$125,0)),"")</f>
        <v/>
      </c>
      <c r="S169" s="17" t="str">
        <f aca="false">IF(L169&lt;&gt;"",L169,IF(K169="","Not assessed",IF(N(O169)&gt;=3,"Demonstrated","Gap - remediate")))</f>
        <v>Not assessed</v>
      </c>
      <c r="T169" s="17" t="str">
        <f aca="false">IF(J169="","No evidence pull assigned",IF(COUNTIF('Evidence Pulls'!$A$6:$A$125,J169)=0,"Pull ID not on Evidence Pulls sheet",IF(K169="","Not graded",IF(AND(G169="MANDATORY",L169="Gap - recommend tailoring"),"INVALID: safety-mandatory, not tailorable",IF(OR(P169="",P169=0),"NO NAMED EXECUTOR",IF(AND(H169="Full",IFERROR(INDEX('Evidence Pulls'!$C$6:$C$125,MATCH($J169,'Evidence Pulls'!$A$6:$A$125,0)),"")&lt;&gt;"Artifact",N(O169)&gt;=3,N(IFERROR(INDEX('Evidence Pulls'!$K$6:$K$125,MATCH($J169,'Evidence Pulls'!$A$6:$A$125,0)),""))=0),"Operating claimed with no sample",IF(AND(N(O169)&gt;=3,P169=1),"Operating rests on one individual",IF(AND(L169&lt;&gt;"",N169=""),"Override with no rationale in column N",IF(AND(G169="MANDATORY",N(O169)&lt;3),"SAFETY GATE: below Operating","OK")))))))))</f>
        <v>No evidence pull assigned</v>
      </c>
    </row>
    <row r="170" customFormat="false" ht="22.35" hidden="false" customHeight="false" outlineLevel="0" collapsed="false">
      <c r="A170" s="18" t="s">
        <v>411</v>
      </c>
      <c r="B170" s="18" t="s">
        <v>291</v>
      </c>
      <c r="C170" s="18" t="s">
        <v>407</v>
      </c>
      <c r="D170" s="18" t="s">
        <v>408</v>
      </c>
      <c r="E170" s="18" t="s">
        <v>134</v>
      </c>
      <c r="F170" s="18"/>
      <c r="G170" s="19" t="s">
        <v>131</v>
      </c>
      <c r="H170" s="19" t="s">
        <v>132</v>
      </c>
      <c r="I170" s="18" t="s">
        <v>294</v>
      </c>
      <c r="J170" s="16"/>
      <c r="K170" s="16"/>
      <c r="L170" s="16"/>
      <c r="M170" s="16"/>
      <c r="N170" s="16"/>
      <c r="O170" s="17" t="str">
        <f aca="false">IFERROR(INDEX(Lists!$B$3:$B$7,MATCH(K170,Lists!$A$3:$A$7,0)),"")</f>
        <v/>
      </c>
      <c r="P170" s="17" t="str">
        <f aca="false">IFERROR(INDEX('Evidence Pulls'!$P$6:$P$125,MATCH($J170,'Evidence Pulls'!$A$6:$A$125,0)),"")</f>
        <v/>
      </c>
      <c r="Q170" s="17" t="str">
        <f aca="false">IFERROR(INDEX('Evidence Pulls'!$H$6:$H$125,MATCH($J170,'Evidence Pulls'!$A$6:$A$125,0)),"")</f>
        <v/>
      </c>
      <c r="R170" s="17" t="str">
        <f aca="false">IFERROR(INDEX('Evidence Pulls'!$Q$6:$Q$125,MATCH($J170,'Evidence Pulls'!$A$6:$A$125,0)),"")</f>
        <v/>
      </c>
      <c r="S170" s="17" t="str">
        <f aca="false">IF(L170&lt;&gt;"",L170,IF(K170="","Not assessed",IF(N(O170)&gt;=3,"Demonstrated","Gap - remediate")))</f>
        <v>Not assessed</v>
      </c>
      <c r="T170" s="17" t="str">
        <f aca="false">IF(J170="","No evidence pull assigned",IF(COUNTIF('Evidence Pulls'!$A$6:$A$125,J170)=0,"Pull ID not on Evidence Pulls sheet",IF(K170="","Not graded",IF(AND(G170="MANDATORY",L170="Gap - recommend tailoring"),"INVALID: safety-mandatory, not tailorable",IF(OR(P170="",P170=0),"NO NAMED EXECUTOR",IF(AND(H170="Full",IFERROR(INDEX('Evidence Pulls'!$C$6:$C$125,MATCH($J170,'Evidence Pulls'!$A$6:$A$125,0)),"")&lt;&gt;"Artifact",N(O170)&gt;=3,N(IFERROR(INDEX('Evidence Pulls'!$K$6:$K$125,MATCH($J170,'Evidence Pulls'!$A$6:$A$125,0)),""))=0),"Operating claimed with no sample",IF(AND(N(O170)&gt;=3,P170=1),"Operating rests on one individual",IF(AND(L170&lt;&gt;"",N170=""),"Override with no rationale in column N",IF(AND(G170="MANDATORY",N(O170)&lt;3),"SAFETY GATE: below Operating","OK")))))))))</f>
        <v>No evidence pull assigned</v>
      </c>
    </row>
    <row r="171" customFormat="false" ht="22.35" hidden="false" customHeight="false" outlineLevel="0" collapsed="false">
      <c r="A171" s="14" t="s">
        <v>412</v>
      </c>
      <c r="B171" s="14" t="s">
        <v>291</v>
      </c>
      <c r="C171" s="14" t="s">
        <v>413</v>
      </c>
      <c r="D171" s="14" t="s">
        <v>414</v>
      </c>
      <c r="E171" s="14" t="s">
        <v>126</v>
      </c>
      <c r="F171" s="15"/>
      <c r="G171" s="14"/>
      <c r="H171" s="14" t="s">
        <v>127</v>
      </c>
      <c r="I171" s="14" t="s">
        <v>294</v>
      </c>
      <c r="J171" s="16"/>
      <c r="K171" s="16"/>
      <c r="L171" s="16"/>
      <c r="M171" s="16"/>
      <c r="N171" s="16"/>
      <c r="O171" s="17" t="str">
        <f aca="false">IFERROR(INDEX(Lists!$B$3:$B$7,MATCH(K171,Lists!$A$3:$A$7,0)),"")</f>
        <v/>
      </c>
      <c r="P171" s="17" t="str">
        <f aca="false">IFERROR(INDEX('Evidence Pulls'!$P$6:$P$125,MATCH($J171,'Evidence Pulls'!$A$6:$A$125,0)),"")</f>
        <v/>
      </c>
      <c r="Q171" s="17" t="str">
        <f aca="false">IFERROR(INDEX('Evidence Pulls'!$H$6:$H$125,MATCH($J171,'Evidence Pulls'!$A$6:$A$125,0)),"")</f>
        <v/>
      </c>
      <c r="R171" s="17" t="str">
        <f aca="false">IFERROR(INDEX('Evidence Pulls'!$Q$6:$Q$125,MATCH($J171,'Evidence Pulls'!$A$6:$A$125,0)),"")</f>
        <v/>
      </c>
      <c r="S171" s="17" t="str">
        <f aca="false">IF(L171&lt;&gt;"",L171,IF(K171="","Not assessed",IF(N(O171)&gt;=3,"Demonstrated","Gap - remediate")))</f>
        <v>Not assessed</v>
      </c>
      <c r="T171" s="17" t="str">
        <f aca="false">IF(J171="","No evidence pull assigned",IF(COUNTIF('Evidence Pulls'!$A$6:$A$125,J171)=0,"Pull ID not on Evidence Pulls sheet",IF(K171="","Not graded",IF(AND(G171="MANDATORY",L171="Gap - recommend tailoring"),"INVALID: safety-mandatory, not tailorable",IF(OR(P171="",P171=0),"NO NAMED EXECUTOR",IF(AND(H171="Full",IFERROR(INDEX('Evidence Pulls'!$C$6:$C$125,MATCH($J171,'Evidence Pulls'!$A$6:$A$125,0)),"")&lt;&gt;"Artifact",N(O171)&gt;=3,N(IFERROR(INDEX('Evidence Pulls'!$K$6:$K$125,MATCH($J171,'Evidence Pulls'!$A$6:$A$125,0)),""))=0),"Operating claimed with no sample",IF(AND(N(O171)&gt;=3,P171=1),"Operating rests on one individual",IF(AND(L171&lt;&gt;"",N171=""),"Override with no rationale in column N",IF(AND(G171="MANDATORY",N(O171)&lt;3),"SAFETY GATE: below Operating","OK")))))))))</f>
        <v>No evidence pull assigned</v>
      </c>
    </row>
    <row r="172" customFormat="false" ht="22.35" hidden="false" customHeight="false" outlineLevel="0" collapsed="false">
      <c r="A172" s="14" t="s">
        <v>415</v>
      </c>
      <c r="B172" s="14" t="s">
        <v>291</v>
      </c>
      <c r="C172" s="14" t="s">
        <v>416</v>
      </c>
      <c r="D172" s="14" t="s">
        <v>417</v>
      </c>
      <c r="E172" s="14" t="s">
        <v>126</v>
      </c>
      <c r="F172" s="15"/>
      <c r="G172" s="14"/>
      <c r="H172" s="14" t="s">
        <v>127</v>
      </c>
      <c r="I172" s="14" t="s">
        <v>294</v>
      </c>
      <c r="J172" s="16"/>
      <c r="K172" s="16"/>
      <c r="L172" s="16"/>
      <c r="M172" s="16"/>
      <c r="N172" s="16"/>
      <c r="O172" s="17" t="str">
        <f aca="false">IFERROR(INDEX(Lists!$B$3:$B$7,MATCH(K172,Lists!$A$3:$A$7,0)),"")</f>
        <v/>
      </c>
      <c r="P172" s="17" t="str">
        <f aca="false">IFERROR(INDEX('Evidence Pulls'!$P$6:$P$125,MATCH($J172,'Evidence Pulls'!$A$6:$A$125,0)),"")</f>
        <v/>
      </c>
      <c r="Q172" s="17" t="str">
        <f aca="false">IFERROR(INDEX('Evidence Pulls'!$H$6:$H$125,MATCH($J172,'Evidence Pulls'!$A$6:$A$125,0)),"")</f>
        <v/>
      </c>
      <c r="R172" s="17" t="str">
        <f aca="false">IFERROR(INDEX('Evidence Pulls'!$Q$6:$Q$125,MATCH($J172,'Evidence Pulls'!$A$6:$A$125,0)),"")</f>
        <v/>
      </c>
      <c r="S172" s="17" t="str">
        <f aca="false">IF(L172&lt;&gt;"",L172,IF(K172="","Not assessed",IF(N(O172)&gt;=3,"Demonstrated","Gap - remediate")))</f>
        <v>Not assessed</v>
      </c>
      <c r="T172" s="17" t="str">
        <f aca="false">IF(J172="","No evidence pull assigned",IF(COUNTIF('Evidence Pulls'!$A$6:$A$125,J172)=0,"Pull ID not on Evidence Pulls sheet",IF(K172="","Not graded",IF(AND(G172="MANDATORY",L172="Gap - recommend tailoring"),"INVALID: safety-mandatory, not tailorable",IF(OR(P172="",P172=0),"NO NAMED EXECUTOR",IF(AND(H172="Full",IFERROR(INDEX('Evidence Pulls'!$C$6:$C$125,MATCH($J172,'Evidence Pulls'!$A$6:$A$125,0)),"")&lt;&gt;"Artifact",N(O172)&gt;=3,N(IFERROR(INDEX('Evidence Pulls'!$K$6:$K$125,MATCH($J172,'Evidence Pulls'!$A$6:$A$125,0)),""))=0),"Operating claimed with no sample",IF(AND(N(O172)&gt;=3,P172=1),"Operating rests on one individual",IF(AND(L172&lt;&gt;"",N172=""),"Override with no rationale in column N",IF(AND(G172="MANDATORY",N(O172)&lt;3),"SAFETY GATE: below Operating","OK")))))))))</f>
        <v>No evidence pull assigned</v>
      </c>
    </row>
    <row r="173" customFormat="false" ht="22.35" hidden="false" customHeight="false" outlineLevel="0" collapsed="false">
      <c r="A173" s="14" t="s">
        <v>418</v>
      </c>
      <c r="B173" s="14" t="s">
        <v>291</v>
      </c>
      <c r="C173" s="14" t="s">
        <v>419</v>
      </c>
      <c r="D173" s="14" t="s">
        <v>420</v>
      </c>
      <c r="E173" s="14" t="s">
        <v>126</v>
      </c>
      <c r="F173" s="15"/>
      <c r="G173" s="14"/>
      <c r="H173" s="14" t="s">
        <v>127</v>
      </c>
      <c r="I173" s="14" t="s">
        <v>294</v>
      </c>
      <c r="J173" s="16"/>
      <c r="K173" s="16"/>
      <c r="L173" s="16"/>
      <c r="M173" s="16"/>
      <c r="N173" s="16"/>
      <c r="O173" s="17" t="str">
        <f aca="false">IFERROR(INDEX(Lists!$B$3:$B$7,MATCH(K173,Lists!$A$3:$A$7,0)),"")</f>
        <v/>
      </c>
      <c r="P173" s="17" t="str">
        <f aca="false">IFERROR(INDEX('Evidence Pulls'!$P$6:$P$125,MATCH($J173,'Evidence Pulls'!$A$6:$A$125,0)),"")</f>
        <v/>
      </c>
      <c r="Q173" s="17" t="str">
        <f aca="false">IFERROR(INDEX('Evidence Pulls'!$H$6:$H$125,MATCH($J173,'Evidence Pulls'!$A$6:$A$125,0)),"")</f>
        <v/>
      </c>
      <c r="R173" s="17" t="str">
        <f aca="false">IFERROR(INDEX('Evidence Pulls'!$Q$6:$Q$125,MATCH($J173,'Evidence Pulls'!$A$6:$A$125,0)),"")</f>
        <v/>
      </c>
      <c r="S173" s="17" t="str">
        <f aca="false">IF(L173&lt;&gt;"",L173,IF(K173="","Not assessed",IF(N(O173)&gt;=3,"Demonstrated","Gap - remediate")))</f>
        <v>Not assessed</v>
      </c>
      <c r="T173" s="17" t="str">
        <f aca="false">IF(J173="","No evidence pull assigned",IF(COUNTIF('Evidence Pulls'!$A$6:$A$125,J173)=0,"Pull ID not on Evidence Pulls sheet",IF(K173="","Not graded",IF(AND(G173="MANDATORY",L173="Gap - recommend tailoring"),"INVALID: safety-mandatory, not tailorable",IF(OR(P173="",P173=0),"NO NAMED EXECUTOR",IF(AND(H173="Full",IFERROR(INDEX('Evidence Pulls'!$C$6:$C$125,MATCH($J173,'Evidence Pulls'!$A$6:$A$125,0)),"")&lt;&gt;"Artifact",N(O173)&gt;=3,N(IFERROR(INDEX('Evidence Pulls'!$K$6:$K$125,MATCH($J173,'Evidence Pulls'!$A$6:$A$125,0)),""))=0),"Operating claimed with no sample",IF(AND(N(O173)&gt;=3,P173=1),"Operating rests on one individual",IF(AND(L173&lt;&gt;"",N173=""),"Override with no rationale in column N",IF(AND(G173="MANDATORY",N(O173)&lt;3),"SAFETY GATE: below Operating","OK")))))))))</f>
        <v>No evidence pull assigned</v>
      </c>
    </row>
    <row r="174" customFormat="false" ht="22.35" hidden="false" customHeight="false" outlineLevel="0" collapsed="false">
      <c r="A174" s="14" t="s">
        <v>421</v>
      </c>
      <c r="B174" s="14" t="s">
        <v>291</v>
      </c>
      <c r="C174" s="14" t="s">
        <v>419</v>
      </c>
      <c r="D174" s="14" t="s">
        <v>420</v>
      </c>
      <c r="E174" s="14" t="s">
        <v>130</v>
      </c>
      <c r="F174" s="15"/>
      <c r="G174" s="14"/>
      <c r="H174" s="14" t="s">
        <v>127</v>
      </c>
      <c r="I174" s="14" t="s">
        <v>294</v>
      </c>
      <c r="J174" s="16"/>
      <c r="K174" s="16"/>
      <c r="L174" s="16"/>
      <c r="M174" s="16"/>
      <c r="N174" s="16"/>
      <c r="O174" s="17" t="str">
        <f aca="false">IFERROR(INDEX(Lists!$B$3:$B$7,MATCH(K174,Lists!$A$3:$A$7,0)),"")</f>
        <v/>
      </c>
      <c r="P174" s="17" t="str">
        <f aca="false">IFERROR(INDEX('Evidence Pulls'!$P$6:$P$125,MATCH($J174,'Evidence Pulls'!$A$6:$A$125,0)),"")</f>
        <v/>
      </c>
      <c r="Q174" s="17" t="str">
        <f aca="false">IFERROR(INDEX('Evidence Pulls'!$H$6:$H$125,MATCH($J174,'Evidence Pulls'!$A$6:$A$125,0)),"")</f>
        <v/>
      </c>
      <c r="R174" s="17" t="str">
        <f aca="false">IFERROR(INDEX('Evidence Pulls'!$Q$6:$Q$125,MATCH($J174,'Evidence Pulls'!$A$6:$A$125,0)),"")</f>
        <v/>
      </c>
      <c r="S174" s="17" t="str">
        <f aca="false">IF(L174&lt;&gt;"",L174,IF(K174="","Not assessed",IF(N(O174)&gt;=3,"Demonstrated","Gap - remediate")))</f>
        <v>Not assessed</v>
      </c>
      <c r="T174" s="17" t="str">
        <f aca="false">IF(J174="","No evidence pull assigned",IF(COUNTIF('Evidence Pulls'!$A$6:$A$125,J174)=0,"Pull ID not on Evidence Pulls sheet",IF(K174="","Not graded",IF(AND(G174="MANDATORY",L174="Gap - recommend tailoring"),"INVALID: safety-mandatory, not tailorable",IF(OR(P174="",P174=0),"NO NAMED EXECUTOR",IF(AND(H174="Full",IFERROR(INDEX('Evidence Pulls'!$C$6:$C$125,MATCH($J174,'Evidence Pulls'!$A$6:$A$125,0)),"")&lt;&gt;"Artifact",N(O174)&gt;=3,N(IFERROR(INDEX('Evidence Pulls'!$K$6:$K$125,MATCH($J174,'Evidence Pulls'!$A$6:$A$125,0)),""))=0),"Operating claimed with no sample",IF(AND(N(O174)&gt;=3,P174=1),"Operating rests on one individual",IF(AND(L174&lt;&gt;"",N174=""),"Override with no rationale in column N",IF(AND(G174="MANDATORY",N(O174)&lt;3),"SAFETY GATE: below Operating","OK")))))))))</f>
        <v>No evidence pull assigned</v>
      </c>
    </row>
    <row r="175" customFormat="false" ht="22.35" hidden="false" customHeight="false" outlineLevel="0" collapsed="false">
      <c r="A175" s="14" t="s">
        <v>422</v>
      </c>
      <c r="B175" s="14" t="s">
        <v>291</v>
      </c>
      <c r="C175" s="14" t="s">
        <v>423</v>
      </c>
      <c r="D175" s="14" t="s">
        <v>424</v>
      </c>
      <c r="E175" s="14" t="s">
        <v>126</v>
      </c>
      <c r="F175" s="15"/>
      <c r="G175" s="14"/>
      <c r="H175" s="14" t="s">
        <v>127</v>
      </c>
      <c r="I175" s="14" t="s">
        <v>294</v>
      </c>
      <c r="J175" s="16"/>
      <c r="K175" s="16"/>
      <c r="L175" s="16"/>
      <c r="M175" s="16"/>
      <c r="N175" s="16"/>
      <c r="O175" s="17" t="str">
        <f aca="false">IFERROR(INDEX(Lists!$B$3:$B$7,MATCH(K175,Lists!$A$3:$A$7,0)),"")</f>
        <v/>
      </c>
      <c r="P175" s="17" t="str">
        <f aca="false">IFERROR(INDEX('Evidence Pulls'!$P$6:$P$125,MATCH($J175,'Evidence Pulls'!$A$6:$A$125,0)),"")</f>
        <v/>
      </c>
      <c r="Q175" s="17" t="str">
        <f aca="false">IFERROR(INDEX('Evidence Pulls'!$H$6:$H$125,MATCH($J175,'Evidence Pulls'!$A$6:$A$125,0)),"")</f>
        <v/>
      </c>
      <c r="R175" s="17" t="str">
        <f aca="false">IFERROR(INDEX('Evidence Pulls'!$Q$6:$Q$125,MATCH($J175,'Evidence Pulls'!$A$6:$A$125,0)),"")</f>
        <v/>
      </c>
      <c r="S175" s="17" t="str">
        <f aca="false">IF(L175&lt;&gt;"",L175,IF(K175="","Not assessed",IF(N(O175)&gt;=3,"Demonstrated","Gap - remediate")))</f>
        <v>Not assessed</v>
      </c>
      <c r="T175" s="17" t="str">
        <f aca="false">IF(J175="","No evidence pull assigned",IF(COUNTIF('Evidence Pulls'!$A$6:$A$125,J175)=0,"Pull ID not on Evidence Pulls sheet",IF(K175="","Not graded",IF(AND(G175="MANDATORY",L175="Gap - recommend tailoring"),"INVALID: safety-mandatory, not tailorable",IF(OR(P175="",P175=0),"NO NAMED EXECUTOR",IF(AND(H175="Full",IFERROR(INDEX('Evidence Pulls'!$C$6:$C$125,MATCH($J175,'Evidence Pulls'!$A$6:$A$125,0)),"")&lt;&gt;"Artifact",N(O175)&gt;=3,N(IFERROR(INDEX('Evidence Pulls'!$K$6:$K$125,MATCH($J175,'Evidence Pulls'!$A$6:$A$125,0)),""))=0),"Operating claimed with no sample",IF(AND(N(O175)&gt;=3,P175=1),"Operating rests on one individual",IF(AND(L175&lt;&gt;"",N175=""),"Override with no rationale in column N",IF(AND(G175="MANDATORY",N(O175)&lt;3),"SAFETY GATE: below Operating","OK")))))))))</f>
        <v>No evidence pull assigned</v>
      </c>
    </row>
    <row r="176" customFormat="false" ht="22.35" hidden="false" customHeight="false" outlineLevel="0" collapsed="false">
      <c r="A176" s="14" t="s">
        <v>425</v>
      </c>
      <c r="B176" s="14" t="s">
        <v>291</v>
      </c>
      <c r="C176" s="14" t="s">
        <v>423</v>
      </c>
      <c r="D176" s="14" t="s">
        <v>424</v>
      </c>
      <c r="E176" s="14" t="s">
        <v>130</v>
      </c>
      <c r="F176" s="15"/>
      <c r="G176" s="14"/>
      <c r="H176" s="14" t="s">
        <v>127</v>
      </c>
      <c r="I176" s="14" t="s">
        <v>294</v>
      </c>
      <c r="J176" s="16"/>
      <c r="K176" s="16"/>
      <c r="L176" s="16"/>
      <c r="M176" s="16"/>
      <c r="N176" s="16"/>
      <c r="O176" s="17" t="str">
        <f aca="false">IFERROR(INDEX(Lists!$B$3:$B$7,MATCH(K176,Lists!$A$3:$A$7,0)),"")</f>
        <v/>
      </c>
      <c r="P176" s="17" t="str">
        <f aca="false">IFERROR(INDEX('Evidence Pulls'!$P$6:$P$125,MATCH($J176,'Evidence Pulls'!$A$6:$A$125,0)),"")</f>
        <v/>
      </c>
      <c r="Q176" s="17" t="str">
        <f aca="false">IFERROR(INDEX('Evidence Pulls'!$H$6:$H$125,MATCH($J176,'Evidence Pulls'!$A$6:$A$125,0)),"")</f>
        <v/>
      </c>
      <c r="R176" s="17" t="str">
        <f aca="false">IFERROR(INDEX('Evidence Pulls'!$Q$6:$Q$125,MATCH($J176,'Evidence Pulls'!$A$6:$A$125,0)),"")</f>
        <v/>
      </c>
      <c r="S176" s="17" t="str">
        <f aca="false">IF(L176&lt;&gt;"",L176,IF(K176="","Not assessed",IF(N(O176)&gt;=3,"Demonstrated","Gap - remediate")))</f>
        <v>Not assessed</v>
      </c>
      <c r="T176" s="17" t="str">
        <f aca="false">IF(J176="","No evidence pull assigned",IF(COUNTIF('Evidence Pulls'!$A$6:$A$125,J176)=0,"Pull ID not on Evidence Pulls sheet",IF(K176="","Not graded",IF(AND(G176="MANDATORY",L176="Gap - recommend tailoring"),"INVALID: safety-mandatory, not tailorable",IF(OR(P176="",P176=0),"NO NAMED EXECUTOR",IF(AND(H176="Full",IFERROR(INDEX('Evidence Pulls'!$C$6:$C$125,MATCH($J176,'Evidence Pulls'!$A$6:$A$125,0)),"")&lt;&gt;"Artifact",N(O176)&gt;=3,N(IFERROR(INDEX('Evidence Pulls'!$K$6:$K$125,MATCH($J176,'Evidence Pulls'!$A$6:$A$125,0)),""))=0),"Operating claimed with no sample",IF(AND(N(O176)&gt;=3,P176=1),"Operating rests on one individual",IF(AND(L176&lt;&gt;"",N176=""),"Override with no rationale in column N",IF(AND(G176="MANDATORY",N(O176)&lt;3),"SAFETY GATE: below Operating","OK")))))))))</f>
        <v>No evidence pull assigned</v>
      </c>
    </row>
    <row r="177" customFormat="false" ht="22.35" hidden="false" customHeight="false" outlineLevel="0" collapsed="false">
      <c r="A177" s="14" t="s">
        <v>426</v>
      </c>
      <c r="B177" s="14" t="s">
        <v>291</v>
      </c>
      <c r="C177" s="14" t="s">
        <v>423</v>
      </c>
      <c r="D177" s="14" t="s">
        <v>424</v>
      </c>
      <c r="E177" s="14" t="s">
        <v>134</v>
      </c>
      <c r="F177" s="15"/>
      <c r="G177" s="14"/>
      <c r="H177" s="14" t="s">
        <v>127</v>
      </c>
      <c r="I177" s="14" t="s">
        <v>294</v>
      </c>
      <c r="J177" s="16"/>
      <c r="K177" s="16"/>
      <c r="L177" s="16"/>
      <c r="M177" s="16"/>
      <c r="N177" s="16"/>
      <c r="O177" s="17" t="str">
        <f aca="false">IFERROR(INDEX(Lists!$B$3:$B$7,MATCH(K177,Lists!$A$3:$A$7,0)),"")</f>
        <v/>
      </c>
      <c r="P177" s="17" t="str">
        <f aca="false">IFERROR(INDEX('Evidence Pulls'!$P$6:$P$125,MATCH($J177,'Evidence Pulls'!$A$6:$A$125,0)),"")</f>
        <v/>
      </c>
      <c r="Q177" s="17" t="str">
        <f aca="false">IFERROR(INDEX('Evidence Pulls'!$H$6:$H$125,MATCH($J177,'Evidence Pulls'!$A$6:$A$125,0)),"")</f>
        <v/>
      </c>
      <c r="R177" s="17" t="str">
        <f aca="false">IFERROR(INDEX('Evidence Pulls'!$Q$6:$Q$125,MATCH($J177,'Evidence Pulls'!$A$6:$A$125,0)),"")</f>
        <v/>
      </c>
      <c r="S177" s="17" t="str">
        <f aca="false">IF(L177&lt;&gt;"",L177,IF(K177="","Not assessed",IF(N(O177)&gt;=3,"Demonstrated","Gap - remediate")))</f>
        <v>Not assessed</v>
      </c>
      <c r="T177" s="17" t="str">
        <f aca="false">IF(J177="","No evidence pull assigned",IF(COUNTIF('Evidence Pulls'!$A$6:$A$125,J177)=0,"Pull ID not on Evidence Pulls sheet",IF(K177="","Not graded",IF(AND(G177="MANDATORY",L177="Gap - recommend tailoring"),"INVALID: safety-mandatory, not tailorable",IF(OR(P177="",P177=0),"NO NAMED EXECUTOR",IF(AND(H177="Full",IFERROR(INDEX('Evidence Pulls'!$C$6:$C$125,MATCH($J177,'Evidence Pulls'!$A$6:$A$125,0)),"")&lt;&gt;"Artifact",N(O177)&gt;=3,N(IFERROR(INDEX('Evidence Pulls'!$K$6:$K$125,MATCH($J177,'Evidence Pulls'!$A$6:$A$125,0)),""))=0),"Operating claimed with no sample",IF(AND(N(O177)&gt;=3,P177=1),"Operating rests on one individual",IF(AND(L177&lt;&gt;"",N177=""),"Override with no rationale in column N",IF(AND(G177="MANDATORY",N(O177)&lt;3),"SAFETY GATE: below Operating","OK")))))))))</f>
        <v>No evidence pull assigned</v>
      </c>
    </row>
    <row r="178" customFormat="false" ht="22.35" hidden="false" customHeight="false" outlineLevel="0" collapsed="false">
      <c r="A178" s="14" t="s">
        <v>427</v>
      </c>
      <c r="B178" s="14" t="s">
        <v>291</v>
      </c>
      <c r="C178" s="14" t="s">
        <v>423</v>
      </c>
      <c r="D178" s="14" t="s">
        <v>424</v>
      </c>
      <c r="E178" s="14" t="s">
        <v>136</v>
      </c>
      <c r="F178" s="15"/>
      <c r="G178" s="14"/>
      <c r="H178" s="14" t="s">
        <v>127</v>
      </c>
      <c r="I178" s="14" t="s">
        <v>294</v>
      </c>
      <c r="J178" s="16"/>
      <c r="K178" s="16"/>
      <c r="L178" s="16"/>
      <c r="M178" s="16"/>
      <c r="N178" s="16"/>
      <c r="O178" s="17" t="str">
        <f aca="false">IFERROR(INDEX(Lists!$B$3:$B$7,MATCH(K178,Lists!$A$3:$A$7,0)),"")</f>
        <v/>
      </c>
      <c r="P178" s="17" t="str">
        <f aca="false">IFERROR(INDEX('Evidence Pulls'!$P$6:$P$125,MATCH($J178,'Evidence Pulls'!$A$6:$A$125,0)),"")</f>
        <v/>
      </c>
      <c r="Q178" s="17" t="str">
        <f aca="false">IFERROR(INDEX('Evidence Pulls'!$H$6:$H$125,MATCH($J178,'Evidence Pulls'!$A$6:$A$125,0)),"")</f>
        <v/>
      </c>
      <c r="R178" s="17" t="str">
        <f aca="false">IFERROR(INDEX('Evidence Pulls'!$Q$6:$Q$125,MATCH($J178,'Evidence Pulls'!$A$6:$A$125,0)),"")</f>
        <v/>
      </c>
      <c r="S178" s="17" t="str">
        <f aca="false">IF(L178&lt;&gt;"",L178,IF(K178="","Not assessed",IF(N(O178)&gt;=3,"Demonstrated","Gap - remediate")))</f>
        <v>Not assessed</v>
      </c>
      <c r="T178" s="17" t="str">
        <f aca="false">IF(J178="","No evidence pull assigned",IF(COUNTIF('Evidence Pulls'!$A$6:$A$125,J178)=0,"Pull ID not on Evidence Pulls sheet",IF(K178="","Not graded",IF(AND(G178="MANDATORY",L178="Gap - recommend tailoring"),"INVALID: safety-mandatory, not tailorable",IF(OR(P178="",P178=0),"NO NAMED EXECUTOR",IF(AND(H178="Full",IFERROR(INDEX('Evidence Pulls'!$C$6:$C$125,MATCH($J178,'Evidence Pulls'!$A$6:$A$125,0)),"")&lt;&gt;"Artifact",N(O178)&gt;=3,N(IFERROR(INDEX('Evidence Pulls'!$K$6:$K$125,MATCH($J178,'Evidence Pulls'!$A$6:$A$125,0)),""))=0),"Operating claimed with no sample",IF(AND(N(O178)&gt;=3,P178=1),"Operating rests on one individual",IF(AND(L178&lt;&gt;"",N178=""),"Override with no rationale in column N",IF(AND(G178="MANDATORY",N(O178)&lt;3),"SAFETY GATE: below Operating","OK")))))))))</f>
        <v>No evidence pull assigned</v>
      </c>
    </row>
    <row r="179" customFormat="false" ht="22.35" hidden="false" customHeight="false" outlineLevel="0" collapsed="false">
      <c r="A179" s="14" t="s">
        <v>428</v>
      </c>
      <c r="B179" s="14" t="s">
        <v>291</v>
      </c>
      <c r="C179" s="14" t="s">
        <v>429</v>
      </c>
      <c r="D179" s="14" t="s">
        <v>430</v>
      </c>
      <c r="E179" s="14" t="s">
        <v>126</v>
      </c>
      <c r="F179" s="15"/>
      <c r="G179" s="14"/>
      <c r="H179" s="14" t="s">
        <v>127</v>
      </c>
      <c r="I179" s="14" t="s">
        <v>294</v>
      </c>
      <c r="J179" s="16"/>
      <c r="K179" s="16"/>
      <c r="L179" s="16"/>
      <c r="M179" s="16"/>
      <c r="N179" s="16"/>
      <c r="O179" s="17" t="str">
        <f aca="false">IFERROR(INDEX(Lists!$B$3:$B$7,MATCH(K179,Lists!$A$3:$A$7,0)),"")</f>
        <v/>
      </c>
      <c r="P179" s="17" t="str">
        <f aca="false">IFERROR(INDEX('Evidence Pulls'!$P$6:$P$125,MATCH($J179,'Evidence Pulls'!$A$6:$A$125,0)),"")</f>
        <v/>
      </c>
      <c r="Q179" s="17" t="str">
        <f aca="false">IFERROR(INDEX('Evidence Pulls'!$H$6:$H$125,MATCH($J179,'Evidence Pulls'!$A$6:$A$125,0)),"")</f>
        <v/>
      </c>
      <c r="R179" s="17" t="str">
        <f aca="false">IFERROR(INDEX('Evidence Pulls'!$Q$6:$Q$125,MATCH($J179,'Evidence Pulls'!$A$6:$A$125,0)),"")</f>
        <v/>
      </c>
      <c r="S179" s="17" t="str">
        <f aca="false">IF(L179&lt;&gt;"",L179,IF(K179="","Not assessed",IF(N(O179)&gt;=3,"Demonstrated","Gap - remediate")))</f>
        <v>Not assessed</v>
      </c>
      <c r="T179" s="17" t="str">
        <f aca="false">IF(J179="","No evidence pull assigned",IF(COUNTIF('Evidence Pulls'!$A$6:$A$125,J179)=0,"Pull ID not on Evidence Pulls sheet",IF(K179="","Not graded",IF(AND(G179="MANDATORY",L179="Gap - recommend tailoring"),"INVALID: safety-mandatory, not tailorable",IF(OR(P179="",P179=0),"NO NAMED EXECUTOR",IF(AND(H179="Full",IFERROR(INDEX('Evidence Pulls'!$C$6:$C$125,MATCH($J179,'Evidence Pulls'!$A$6:$A$125,0)),"")&lt;&gt;"Artifact",N(O179)&gt;=3,N(IFERROR(INDEX('Evidence Pulls'!$K$6:$K$125,MATCH($J179,'Evidence Pulls'!$A$6:$A$125,0)),""))=0),"Operating claimed with no sample",IF(AND(N(O179)&gt;=3,P179=1),"Operating rests on one individual",IF(AND(L179&lt;&gt;"",N179=""),"Override with no rationale in column N",IF(AND(G179="MANDATORY",N(O179)&lt;3),"SAFETY GATE: below Operating","OK")))))))))</f>
        <v>No evidence pull assigned</v>
      </c>
    </row>
    <row r="180" customFormat="false" ht="22.35" hidden="false" customHeight="false" outlineLevel="0" collapsed="false">
      <c r="A180" s="18" t="s">
        <v>431</v>
      </c>
      <c r="B180" s="18" t="s">
        <v>291</v>
      </c>
      <c r="C180" s="18" t="s">
        <v>432</v>
      </c>
      <c r="D180" s="18" t="s">
        <v>433</v>
      </c>
      <c r="E180" s="18" t="s">
        <v>126</v>
      </c>
      <c r="F180" s="18"/>
      <c r="G180" s="19" t="s">
        <v>131</v>
      </c>
      <c r="H180" s="19" t="s">
        <v>132</v>
      </c>
      <c r="I180" s="18" t="s">
        <v>294</v>
      </c>
      <c r="J180" s="16"/>
      <c r="K180" s="16"/>
      <c r="L180" s="16"/>
      <c r="M180" s="16"/>
      <c r="N180" s="16"/>
      <c r="O180" s="17" t="str">
        <f aca="false">IFERROR(INDEX(Lists!$B$3:$B$7,MATCH(K180,Lists!$A$3:$A$7,0)),"")</f>
        <v/>
      </c>
      <c r="P180" s="17" t="str">
        <f aca="false">IFERROR(INDEX('Evidence Pulls'!$P$6:$P$125,MATCH($J180,'Evidence Pulls'!$A$6:$A$125,0)),"")</f>
        <v/>
      </c>
      <c r="Q180" s="17" t="str">
        <f aca="false">IFERROR(INDEX('Evidence Pulls'!$H$6:$H$125,MATCH($J180,'Evidence Pulls'!$A$6:$A$125,0)),"")</f>
        <v/>
      </c>
      <c r="R180" s="17" t="str">
        <f aca="false">IFERROR(INDEX('Evidence Pulls'!$Q$6:$Q$125,MATCH($J180,'Evidence Pulls'!$A$6:$A$125,0)),"")</f>
        <v/>
      </c>
      <c r="S180" s="17" t="str">
        <f aca="false">IF(L180&lt;&gt;"",L180,IF(K180="","Not assessed",IF(N(O180)&gt;=3,"Demonstrated","Gap - remediate")))</f>
        <v>Not assessed</v>
      </c>
      <c r="T180" s="17" t="str">
        <f aca="false">IF(J180="","No evidence pull assigned",IF(COUNTIF('Evidence Pulls'!$A$6:$A$125,J180)=0,"Pull ID not on Evidence Pulls sheet",IF(K180="","Not graded",IF(AND(G180="MANDATORY",L180="Gap - recommend tailoring"),"INVALID: safety-mandatory, not tailorable",IF(OR(P180="",P180=0),"NO NAMED EXECUTOR",IF(AND(H180="Full",IFERROR(INDEX('Evidence Pulls'!$C$6:$C$125,MATCH($J180,'Evidence Pulls'!$A$6:$A$125,0)),"")&lt;&gt;"Artifact",N(O180)&gt;=3,N(IFERROR(INDEX('Evidence Pulls'!$K$6:$K$125,MATCH($J180,'Evidence Pulls'!$A$6:$A$125,0)),""))=0),"Operating claimed with no sample",IF(AND(N(O180)&gt;=3,P180=1),"Operating rests on one individual",IF(AND(L180&lt;&gt;"",N180=""),"Override with no rationale in column N",IF(AND(G180="MANDATORY",N(O180)&lt;3),"SAFETY GATE: below Operating","OK")))))))))</f>
        <v>No evidence pull assigned</v>
      </c>
    </row>
    <row r="181" customFormat="false" ht="22.35" hidden="false" customHeight="false" outlineLevel="0" collapsed="false">
      <c r="A181" s="14" t="s">
        <v>434</v>
      </c>
      <c r="B181" s="14" t="s">
        <v>291</v>
      </c>
      <c r="C181" s="14" t="s">
        <v>432</v>
      </c>
      <c r="D181" s="14" t="s">
        <v>433</v>
      </c>
      <c r="E181" s="14" t="s">
        <v>130</v>
      </c>
      <c r="F181" s="15"/>
      <c r="G181" s="14"/>
      <c r="H181" s="14" t="s">
        <v>127</v>
      </c>
      <c r="I181" s="14" t="s">
        <v>294</v>
      </c>
      <c r="J181" s="16"/>
      <c r="K181" s="16"/>
      <c r="L181" s="16"/>
      <c r="M181" s="16"/>
      <c r="N181" s="16"/>
      <c r="O181" s="17" t="str">
        <f aca="false">IFERROR(INDEX(Lists!$B$3:$B$7,MATCH(K181,Lists!$A$3:$A$7,0)),"")</f>
        <v/>
      </c>
      <c r="P181" s="17" t="str">
        <f aca="false">IFERROR(INDEX('Evidence Pulls'!$P$6:$P$125,MATCH($J181,'Evidence Pulls'!$A$6:$A$125,0)),"")</f>
        <v/>
      </c>
      <c r="Q181" s="17" t="str">
        <f aca="false">IFERROR(INDEX('Evidence Pulls'!$H$6:$H$125,MATCH($J181,'Evidence Pulls'!$A$6:$A$125,0)),"")</f>
        <v/>
      </c>
      <c r="R181" s="17" t="str">
        <f aca="false">IFERROR(INDEX('Evidence Pulls'!$Q$6:$Q$125,MATCH($J181,'Evidence Pulls'!$A$6:$A$125,0)),"")</f>
        <v/>
      </c>
      <c r="S181" s="17" t="str">
        <f aca="false">IF(L181&lt;&gt;"",L181,IF(K181="","Not assessed",IF(N(O181)&gt;=3,"Demonstrated","Gap - remediate")))</f>
        <v>Not assessed</v>
      </c>
      <c r="T181" s="17" t="str">
        <f aca="false">IF(J181="","No evidence pull assigned",IF(COUNTIF('Evidence Pulls'!$A$6:$A$125,J181)=0,"Pull ID not on Evidence Pulls sheet",IF(K181="","Not graded",IF(AND(G181="MANDATORY",L181="Gap - recommend tailoring"),"INVALID: safety-mandatory, not tailorable",IF(OR(P181="",P181=0),"NO NAMED EXECUTOR",IF(AND(H181="Full",IFERROR(INDEX('Evidence Pulls'!$C$6:$C$125,MATCH($J181,'Evidence Pulls'!$A$6:$A$125,0)),"")&lt;&gt;"Artifact",N(O181)&gt;=3,N(IFERROR(INDEX('Evidence Pulls'!$K$6:$K$125,MATCH($J181,'Evidence Pulls'!$A$6:$A$125,0)),""))=0),"Operating claimed with no sample",IF(AND(N(O181)&gt;=3,P181=1),"Operating rests on one individual",IF(AND(L181&lt;&gt;"",N181=""),"Override with no rationale in column N",IF(AND(G181="MANDATORY",N(O181)&lt;3),"SAFETY GATE: below Operating","OK")))))))))</f>
        <v>No evidence pull assigned</v>
      </c>
    </row>
    <row r="182" customFormat="false" ht="22.35" hidden="false" customHeight="false" outlineLevel="0" collapsed="false">
      <c r="A182" s="14" t="s">
        <v>435</v>
      </c>
      <c r="B182" s="14" t="s">
        <v>291</v>
      </c>
      <c r="C182" s="14" t="s">
        <v>432</v>
      </c>
      <c r="D182" s="14" t="s">
        <v>433</v>
      </c>
      <c r="E182" s="14" t="s">
        <v>134</v>
      </c>
      <c r="F182" s="15"/>
      <c r="G182" s="14"/>
      <c r="H182" s="14" t="s">
        <v>127</v>
      </c>
      <c r="I182" s="14" t="s">
        <v>294</v>
      </c>
      <c r="J182" s="16"/>
      <c r="K182" s="16"/>
      <c r="L182" s="16"/>
      <c r="M182" s="16"/>
      <c r="N182" s="16"/>
      <c r="O182" s="17" t="str">
        <f aca="false">IFERROR(INDEX(Lists!$B$3:$B$7,MATCH(K182,Lists!$A$3:$A$7,0)),"")</f>
        <v/>
      </c>
      <c r="P182" s="17" t="str">
        <f aca="false">IFERROR(INDEX('Evidence Pulls'!$P$6:$P$125,MATCH($J182,'Evidence Pulls'!$A$6:$A$125,0)),"")</f>
        <v/>
      </c>
      <c r="Q182" s="17" t="str">
        <f aca="false">IFERROR(INDEX('Evidence Pulls'!$H$6:$H$125,MATCH($J182,'Evidence Pulls'!$A$6:$A$125,0)),"")</f>
        <v/>
      </c>
      <c r="R182" s="17" t="str">
        <f aca="false">IFERROR(INDEX('Evidence Pulls'!$Q$6:$Q$125,MATCH($J182,'Evidence Pulls'!$A$6:$A$125,0)),"")</f>
        <v/>
      </c>
      <c r="S182" s="17" t="str">
        <f aca="false">IF(L182&lt;&gt;"",L182,IF(K182="","Not assessed",IF(N(O182)&gt;=3,"Demonstrated","Gap - remediate")))</f>
        <v>Not assessed</v>
      </c>
      <c r="T182" s="17" t="str">
        <f aca="false">IF(J182="","No evidence pull assigned",IF(COUNTIF('Evidence Pulls'!$A$6:$A$125,J182)=0,"Pull ID not on Evidence Pulls sheet",IF(K182="","Not graded",IF(AND(G182="MANDATORY",L182="Gap - recommend tailoring"),"INVALID: safety-mandatory, not tailorable",IF(OR(P182="",P182=0),"NO NAMED EXECUTOR",IF(AND(H182="Full",IFERROR(INDEX('Evidence Pulls'!$C$6:$C$125,MATCH($J182,'Evidence Pulls'!$A$6:$A$125,0)),"")&lt;&gt;"Artifact",N(O182)&gt;=3,N(IFERROR(INDEX('Evidence Pulls'!$K$6:$K$125,MATCH($J182,'Evidence Pulls'!$A$6:$A$125,0)),""))=0),"Operating claimed with no sample",IF(AND(N(O182)&gt;=3,P182=1),"Operating rests on one individual",IF(AND(L182&lt;&gt;"",N182=""),"Override with no rationale in column N",IF(AND(G182="MANDATORY",N(O182)&lt;3),"SAFETY GATE: below Operating","OK")))))))))</f>
        <v>No evidence pull assigned</v>
      </c>
    </row>
    <row r="183" customFormat="false" ht="22.35" hidden="false" customHeight="false" outlineLevel="0" collapsed="false">
      <c r="A183" s="14" t="s">
        <v>436</v>
      </c>
      <c r="B183" s="14" t="s">
        <v>291</v>
      </c>
      <c r="C183" s="14" t="s">
        <v>437</v>
      </c>
      <c r="D183" s="14" t="s">
        <v>438</v>
      </c>
      <c r="E183" s="14" t="s">
        <v>126</v>
      </c>
      <c r="F183" s="15"/>
      <c r="G183" s="14"/>
      <c r="H183" s="14" t="s">
        <v>127</v>
      </c>
      <c r="I183" s="14" t="s">
        <v>294</v>
      </c>
      <c r="J183" s="16"/>
      <c r="K183" s="16"/>
      <c r="L183" s="16"/>
      <c r="M183" s="16"/>
      <c r="N183" s="16"/>
      <c r="O183" s="17" t="str">
        <f aca="false">IFERROR(INDEX(Lists!$B$3:$B$7,MATCH(K183,Lists!$A$3:$A$7,0)),"")</f>
        <v/>
      </c>
      <c r="P183" s="17" t="str">
        <f aca="false">IFERROR(INDEX('Evidence Pulls'!$P$6:$P$125,MATCH($J183,'Evidence Pulls'!$A$6:$A$125,0)),"")</f>
        <v/>
      </c>
      <c r="Q183" s="17" t="str">
        <f aca="false">IFERROR(INDEX('Evidence Pulls'!$H$6:$H$125,MATCH($J183,'Evidence Pulls'!$A$6:$A$125,0)),"")</f>
        <v/>
      </c>
      <c r="R183" s="17" t="str">
        <f aca="false">IFERROR(INDEX('Evidence Pulls'!$Q$6:$Q$125,MATCH($J183,'Evidence Pulls'!$A$6:$A$125,0)),"")</f>
        <v/>
      </c>
      <c r="S183" s="17" t="str">
        <f aca="false">IF(L183&lt;&gt;"",L183,IF(K183="","Not assessed",IF(N(O183)&gt;=3,"Demonstrated","Gap - remediate")))</f>
        <v>Not assessed</v>
      </c>
      <c r="T183" s="17" t="str">
        <f aca="false">IF(J183="","No evidence pull assigned",IF(COUNTIF('Evidence Pulls'!$A$6:$A$125,J183)=0,"Pull ID not on Evidence Pulls sheet",IF(K183="","Not graded",IF(AND(G183="MANDATORY",L183="Gap - recommend tailoring"),"INVALID: safety-mandatory, not tailorable",IF(OR(P183="",P183=0),"NO NAMED EXECUTOR",IF(AND(H183="Full",IFERROR(INDEX('Evidence Pulls'!$C$6:$C$125,MATCH($J183,'Evidence Pulls'!$A$6:$A$125,0)),"")&lt;&gt;"Artifact",N(O183)&gt;=3,N(IFERROR(INDEX('Evidence Pulls'!$K$6:$K$125,MATCH($J183,'Evidence Pulls'!$A$6:$A$125,0)),""))=0),"Operating claimed with no sample",IF(AND(N(O183)&gt;=3,P183=1),"Operating rests on one individual",IF(AND(L183&lt;&gt;"",N183=""),"Override with no rationale in column N",IF(AND(G183="MANDATORY",N(O183)&lt;3),"SAFETY GATE: below Operating","OK")))))))))</f>
        <v>No evidence pull assigned</v>
      </c>
    </row>
    <row r="184" customFormat="false" ht="22.35" hidden="false" customHeight="false" outlineLevel="0" collapsed="false">
      <c r="A184" s="18" t="s">
        <v>439</v>
      </c>
      <c r="B184" s="18" t="s">
        <v>291</v>
      </c>
      <c r="C184" s="18" t="s">
        <v>440</v>
      </c>
      <c r="D184" s="18" t="s">
        <v>441</v>
      </c>
      <c r="E184" s="18" t="s">
        <v>126</v>
      </c>
      <c r="F184" s="18"/>
      <c r="G184" s="19" t="s">
        <v>131</v>
      </c>
      <c r="H184" s="19" t="s">
        <v>132</v>
      </c>
      <c r="I184" s="18" t="s">
        <v>294</v>
      </c>
      <c r="J184" s="16"/>
      <c r="K184" s="16"/>
      <c r="L184" s="16"/>
      <c r="M184" s="16"/>
      <c r="N184" s="16"/>
      <c r="O184" s="17" t="str">
        <f aca="false">IFERROR(INDEX(Lists!$B$3:$B$7,MATCH(K184,Lists!$A$3:$A$7,0)),"")</f>
        <v/>
      </c>
      <c r="P184" s="17" t="str">
        <f aca="false">IFERROR(INDEX('Evidence Pulls'!$P$6:$P$125,MATCH($J184,'Evidence Pulls'!$A$6:$A$125,0)),"")</f>
        <v/>
      </c>
      <c r="Q184" s="17" t="str">
        <f aca="false">IFERROR(INDEX('Evidence Pulls'!$H$6:$H$125,MATCH($J184,'Evidence Pulls'!$A$6:$A$125,0)),"")</f>
        <v/>
      </c>
      <c r="R184" s="17" t="str">
        <f aca="false">IFERROR(INDEX('Evidence Pulls'!$Q$6:$Q$125,MATCH($J184,'Evidence Pulls'!$A$6:$A$125,0)),"")</f>
        <v/>
      </c>
      <c r="S184" s="17" t="str">
        <f aca="false">IF(L184&lt;&gt;"",L184,IF(K184="","Not assessed",IF(N(O184)&gt;=3,"Demonstrated","Gap - remediate")))</f>
        <v>Not assessed</v>
      </c>
      <c r="T184" s="17" t="str">
        <f aca="false">IF(J184="","No evidence pull assigned",IF(COUNTIF('Evidence Pulls'!$A$6:$A$125,J184)=0,"Pull ID not on Evidence Pulls sheet",IF(K184="","Not graded",IF(AND(G184="MANDATORY",L184="Gap - recommend tailoring"),"INVALID: safety-mandatory, not tailorable",IF(OR(P184="",P184=0),"NO NAMED EXECUTOR",IF(AND(H184="Full",IFERROR(INDEX('Evidence Pulls'!$C$6:$C$125,MATCH($J184,'Evidence Pulls'!$A$6:$A$125,0)),"")&lt;&gt;"Artifact",N(O184)&gt;=3,N(IFERROR(INDEX('Evidence Pulls'!$K$6:$K$125,MATCH($J184,'Evidence Pulls'!$A$6:$A$125,0)),""))=0),"Operating claimed with no sample",IF(AND(N(O184)&gt;=3,P184=1),"Operating rests on one individual",IF(AND(L184&lt;&gt;"",N184=""),"Override with no rationale in column N",IF(AND(G184="MANDATORY",N(O184)&lt;3),"SAFETY GATE: below Operating","OK")))))))))</f>
        <v>No evidence pull assigned</v>
      </c>
    </row>
    <row r="185" customFormat="false" ht="22.35" hidden="false" customHeight="false" outlineLevel="0" collapsed="false">
      <c r="A185" s="18" t="s">
        <v>442</v>
      </c>
      <c r="B185" s="18" t="s">
        <v>291</v>
      </c>
      <c r="C185" s="18" t="s">
        <v>440</v>
      </c>
      <c r="D185" s="18" t="s">
        <v>441</v>
      </c>
      <c r="E185" s="18" t="s">
        <v>130</v>
      </c>
      <c r="F185" s="18"/>
      <c r="G185" s="19" t="s">
        <v>131</v>
      </c>
      <c r="H185" s="19" t="s">
        <v>132</v>
      </c>
      <c r="I185" s="18" t="s">
        <v>294</v>
      </c>
      <c r="J185" s="16"/>
      <c r="K185" s="16"/>
      <c r="L185" s="16"/>
      <c r="M185" s="16"/>
      <c r="N185" s="16"/>
      <c r="O185" s="17" t="str">
        <f aca="false">IFERROR(INDEX(Lists!$B$3:$B$7,MATCH(K185,Lists!$A$3:$A$7,0)),"")</f>
        <v/>
      </c>
      <c r="P185" s="17" t="str">
        <f aca="false">IFERROR(INDEX('Evidence Pulls'!$P$6:$P$125,MATCH($J185,'Evidence Pulls'!$A$6:$A$125,0)),"")</f>
        <v/>
      </c>
      <c r="Q185" s="17" t="str">
        <f aca="false">IFERROR(INDEX('Evidence Pulls'!$H$6:$H$125,MATCH($J185,'Evidence Pulls'!$A$6:$A$125,0)),"")</f>
        <v/>
      </c>
      <c r="R185" s="17" t="str">
        <f aca="false">IFERROR(INDEX('Evidence Pulls'!$Q$6:$Q$125,MATCH($J185,'Evidence Pulls'!$A$6:$A$125,0)),"")</f>
        <v/>
      </c>
      <c r="S185" s="17" t="str">
        <f aca="false">IF(L185&lt;&gt;"",L185,IF(K185="","Not assessed",IF(N(O185)&gt;=3,"Demonstrated","Gap - remediate")))</f>
        <v>Not assessed</v>
      </c>
      <c r="T185" s="17" t="str">
        <f aca="false">IF(J185="","No evidence pull assigned",IF(COUNTIF('Evidence Pulls'!$A$6:$A$125,J185)=0,"Pull ID not on Evidence Pulls sheet",IF(K185="","Not graded",IF(AND(G185="MANDATORY",L185="Gap - recommend tailoring"),"INVALID: safety-mandatory, not tailorable",IF(OR(P185="",P185=0),"NO NAMED EXECUTOR",IF(AND(H185="Full",IFERROR(INDEX('Evidence Pulls'!$C$6:$C$125,MATCH($J185,'Evidence Pulls'!$A$6:$A$125,0)),"")&lt;&gt;"Artifact",N(O185)&gt;=3,N(IFERROR(INDEX('Evidence Pulls'!$K$6:$K$125,MATCH($J185,'Evidence Pulls'!$A$6:$A$125,0)),""))=0),"Operating claimed with no sample",IF(AND(N(O185)&gt;=3,P185=1),"Operating rests on one individual",IF(AND(L185&lt;&gt;"",N185=""),"Override with no rationale in column N",IF(AND(G185="MANDATORY",N(O185)&lt;3),"SAFETY GATE: below Operating","OK")))))))))</f>
        <v>No evidence pull assigned</v>
      </c>
    </row>
    <row r="186" customFormat="false" ht="22.35" hidden="false" customHeight="false" outlineLevel="0" collapsed="false">
      <c r="A186" s="14" t="s">
        <v>443</v>
      </c>
      <c r="B186" s="14" t="s">
        <v>291</v>
      </c>
      <c r="C186" s="14" t="s">
        <v>440</v>
      </c>
      <c r="D186" s="14" t="s">
        <v>441</v>
      </c>
      <c r="E186" s="14" t="s">
        <v>204</v>
      </c>
      <c r="F186" s="15"/>
      <c r="G186" s="14"/>
      <c r="H186" s="14" t="s">
        <v>127</v>
      </c>
      <c r="I186" s="14" t="s">
        <v>294</v>
      </c>
      <c r="J186" s="16"/>
      <c r="K186" s="16"/>
      <c r="L186" s="16"/>
      <c r="M186" s="16"/>
      <c r="N186" s="16"/>
      <c r="O186" s="17" t="str">
        <f aca="false">IFERROR(INDEX(Lists!$B$3:$B$7,MATCH(K186,Lists!$A$3:$A$7,0)),"")</f>
        <v/>
      </c>
      <c r="P186" s="17" t="str">
        <f aca="false">IFERROR(INDEX('Evidence Pulls'!$P$6:$P$125,MATCH($J186,'Evidence Pulls'!$A$6:$A$125,0)),"")</f>
        <v/>
      </c>
      <c r="Q186" s="17" t="str">
        <f aca="false">IFERROR(INDEX('Evidence Pulls'!$H$6:$H$125,MATCH($J186,'Evidence Pulls'!$A$6:$A$125,0)),"")</f>
        <v/>
      </c>
      <c r="R186" s="17" t="str">
        <f aca="false">IFERROR(INDEX('Evidence Pulls'!$Q$6:$Q$125,MATCH($J186,'Evidence Pulls'!$A$6:$A$125,0)),"")</f>
        <v/>
      </c>
      <c r="S186" s="17" t="str">
        <f aca="false">IF(L186&lt;&gt;"",L186,IF(K186="","Not assessed",IF(N(O186)&gt;=3,"Demonstrated","Gap - remediate")))</f>
        <v>Not assessed</v>
      </c>
      <c r="T186" s="17" t="str">
        <f aca="false">IF(J186="","No evidence pull assigned",IF(COUNTIF('Evidence Pulls'!$A$6:$A$125,J186)=0,"Pull ID not on Evidence Pulls sheet",IF(K186="","Not graded",IF(AND(G186="MANDATORY",L186="Gap - recommend tailoring"),"INVALID: safety-mandatory, not tailorable",IF(OR(P186="",P186=0),"NO NAMED EXECUTOR",IF(AND(H186="Full",IFERROR(INDEX('Evidence Pulls'!$C$6:$C$125,MATCH($J186,'Evidence Pulls'!$A$6:$A$125,0)),"")&lt;&gt;"Artifact",N(O186)&gt;=3,N(IFERROR(INDEX('Evidence Pulls'!$K$6:$K$125,MATCH($J186,'Evidence Pulls'!$A$6:$A$125,0)),""))=0),"Operating claimed with no sample",IF(AND(N(O186)&gt;=3,P186=1),"Operating rests on one individual",IF(AND(L186&lt;&gt;"",N186=""),"Override with no rationale in column N",IF(AND(G186="MANDATORY",N(O186)&lt;3),"SAFETY GATE: below Operating","OK")))))))))</f>
        <v>No evidence pull assigned</v>
      </c>
    </row>
    <row r="187" customFormat="false" ht="22.35" hidden="false" customHeight="false" outlineLevel="0" collapsed="false">
      <c r="A187" s="14" t="s">
        <v>444</v>
      </c>
      <c r="B187" s="14" t="s">
        <v>291</v>
      </c>
      <c r="C187" s="14" t="s">
        <v>440</v>
      </c>
      <c r="D187" s="14" t="s">
        <v>441</v>
      </c>
      <c r="E187" s="14" t="s">
        <v>206</v>
      </c>
      <c r="F187" s="15"/>
      <c r="G187" s="14"/>
      <c r="H187" s="14" t="s">
        <v>127</v>
      </c>
      <c r="I187" s="14" t="s">
        <v>294</v>
      </c>
      <c r="J187" s="16"/>
      <c r="K187" s="16"/>
      <c r="L187" s="16"/>
      <c r="M187" s="16"/>
      <c r="N187" s="16"/>
      <c r="O187" s="17" t="str">
        <f aca="false">IFERROR(INDEX(Lists!$B$3:$B$7,MATCH(K187,Lists!$A$3:$A$7,0)),"")</f>
        <v/>
      </c>
      <c r="P187" s="17" t="str">
        <f aca="false">IFERROR(INDEX('Evidence Pulls'!$P$6:$P$125,MATCH($J187,'Evidence Pulls'!$A$6:$A$125,0)),"")</f>
        <v/>
      </c>
      <c r="Q187" s="17" t="str">
        <f aca="false">IFERROR(INDEX('Evidence Pulls'!$H$6:$H$125,MATCH($J187,'Evidence Pulls'!$A$6:$A$125,0)),"")</f>
        <v/>
      </c>
      <c r="R187" s="17" t="str">
        <f aca="false">IFERROR(INDEX('Evidence Pulls'!$Q$6:$Q$125,MATCH($J187,'Evidence Pulls'!$A$6:$A$125,0)),"")</f>
        <v/>
      </c>
      <c r="S187" s="17" t="str">
        <f aca="false">IF(L187&lt;&gt;"",L187,IF(K187="","Not assessed",IF(N(O187)&gt;=3,"Demonstrated","Gap - remediate")))</f>
        <v>Not assessed</v>
      </c>
      <c r="T187" s="17" t="str">
        <f aca="false">IF(J187="","No evidence pull assigned",IF(COUNTIF('Evidence Pulls'!$A$6:$A$125,J187)=0,"Pull ID not on Evidence Pulls sheet",IF(K187="","Not graded",IF(AND(G187="MANDATORY",L187="Gap - recommend tailoring"),"INVALID: safety-mandatory, not tailorable",IF(OR(P187="",P187=0),"NO NAMED EXECUTOR",IF(AND(H187="Full",IFERROR(INDEX('Evidence Pulls'!$C$6:$C$125,MATCH($J187,'Evidence Pulls'!$A$6:$A$125,0)),"")&lt;&gt;"Artifact",N(O187)&gt;=3,N(IFERROR(INDEX('Evidence Pulls'!$K$6:$K$125,MATCH($J187,'Evidence Pulls'!$A$6:$A$125,0)),""))=0),"Operating claimed with no sample",IF(AND(N(O187)&gt;=3,P187=1),"Operating rests on one individual",IF(AND(L187&lt;&gt;"",N187=""),"Override with no rationale in column N",IF(AND(G187="MANDATORY",N(O187)&lt;3),"SAFETY GATE: below Operating","OK")))))))))</f>
        <v>No evidence pull assigned</v>
      </c>
    </row>
    <row r="188" customFormat="false" ht="22.35" hidden="false" customHeight="false" outlineLevel="0" collapsed="false">
      <c r="A188" s="14" t="s">
        <v>445</v>
      </c>
      <c r="B188" s="14" t="s">
        <v>291</v>
      </c>
      <c r="C188" s="14" t="s">
        <v>440</v>
      </c>
      <c r="D188" s="14" t="s">
        <v>441</v>
      </c>
      <c r="E188" s="14" t="s">
        <v>446</v>
      </c>
      <c r="F188" s="15"/>
      <c r="G188" s="14"/>
      <c r="H188" s="14" t="s">
        <v>127</v>
      </c>
      <c r="I188" s="14" t="s">
        <v>294</v>
      </c>
      <c r="J188" s="16"/>
      <c r="K188" s="16"/>
      <c r="L188" s="16"/>
      <c r="M188" s="16"/>
      <c r="N188" s="16"/>
      <c r="O188" s="17" t="str">
        <f aca="false">IFERROR(INDEX(Lists!$B$3:$B$7,MATCH(K188,Lists!$A$3:$A$7,0)),"")</f>
        <v/>
      </c>
      <c r="P188" s="17" t="str">
        <f aca="false">IFERROR(INDEX('Evidence Pulls'!$P$6:$P$125,MATCH($J188,'Evidence Pulls'!$A$6:$A$125,0)),"")</f>
        <v/>
      </c>
      <c r="Q188" s="17" t="str">
        <f aca="false">IFERROR(INDEX('Evidence Pulls'!$H$6:$H$125,MATCH($J188,'Evidence Pulls'!$A$6:$A$125,0)),"")</f>
        <v/>
      </c>
      <c r="R188" s="17" t="str">
        <f aca="false">IFERROR(INDEX('Evidence Pulls'!$Q$6:$Q$125,MATCH($J188,'Evidence Pulls'!$A$6:$A$125,0)),"")</f>
        <v/>
      </c>
      <c r="S188" s="17" t="str">
        <f aca="false">IF(L188&lt;&gt;"",L188,IF(K188="","Not assessed",IF(N(O188)&gt;=3,"Demonstrated","Gap - remediate")))</f>
        <v>Not assessed</v>
      </c>
      <c r="T188" s="17" t="str">
        <f aca="false">IF(J188="","No evidence pull assigned",IF(COUNTIF('Evidence Pulls'!$A$6:$A$125,J188)=0,"Pull ID not on Evidence Pulls sheet",IF(K188="","Not graded",IF(AND(G188="MANDATORY",L188="Gap - recommend tailoring"),"INVALID: safety-mandatory, not tailorable",IF(OR(P188="",P188=0),"NO NAMED EXECUTOR",IF(AND(H188="Full",IFERROR(INDEX('Evidence Pulls'!$C$6:$C$125,MATCH($J188,'Evidence Pulls'!$A$6:$A$125,0)),"")&lt;&gt;"Artifact",N(O188)&gt;=3,N(IFERROR(INDEX('Evidence Pulls'!$K$6:$K$125,MATCH($J188,'Evidence Pulls'!$A$6:$A$125,0)),""))=0),"Operating claimed with no sample",IF(AND(N(O188)&gt;=3,P188=1),"Operating rests on one individual",IF(AND(L188&lt;&gt;"",N188=""),"Override with no rationale in column N",IF(AND(G188="MANDATORY",N(O188)&lt;3),"SAFETY GATE: below Operating","OK")))))))))</f>
        <v>No evidence pull assigned</v>
      </c>
    </row>
    <row r="189" customFormat="false" ht="22.35" hidden="false" customHeight="false" outlineLevel="0" collapsed="false">
      <c r="A189" s="14" t="s">
        <v>447</v>
      </c>
      <c r="B189" s="14" t="s">
        <v>291</v>
      </c>
      <c r="C189" s="14" t="s">
        <v>440</v>
      </c>
      <c r="D189" s="14" t="s">
        <v>441</v>
      </c>
      <c r="E189" s="14" t="s">
        <v>448</v>
      </c>
      <c r="F189" s="15"/>
      <c r="G189" s="14"/>
      <c r="H189" s="14" t="s">
        <v>127</v>
      </c>
      <c r="I189" s="14" t="s">
        <v>294</v>
      </c>
      <c r="J189" s="16"/>
      <c r="K189" s="16"/>
      <c r="L189" s="16"/>
      <c r="M189" s="16"/>
      <c r="N189" s="16"/>
      <c r="O189" s="17" t="str">
        <f aca="false">IFERROR(INDEX(Lists!$B$3:$B$7,MATCH(K189,Lists!$A$3:$A$7,0)),"")</f>
        <v/>
      </c>
      <c r="P189" s="17" t="str">
        <f aca="false">IFERROR(INDEX('Evidence Pulls'!$P$6:$P$125,MATCH($J189,'Evidence Pulls'!$A$6:$A$125,0)),"")</f>
        <v/>
      </c>
      <c r="Q189" s="17" t="str">
        <f aca="false">IFERROR(INDEX('Evidence Pulls'!$H$6:$H$125,MATCH($J189,'Evidence Pulls'!$A$6:$A$125,0)),"")</f>
        <v/>
      </c>
      <c r="R189" s="17" t="str">
        <f aca="false">IFERROR(INDEX('Evidence Pulls'!$Q$6:$Q$125,MATCH($J189,'Evidence Pulls'!$A$6:$A$125,0)),"")</f>
        <v/>
      </c>
      <c r="S189" s="17" t="str">
        <f aca="false">IF(L189&lt;&gt;"",L189,IF(K189="","Not assessed",IF(N(O189)&gt;=3,"Demonstrated","Gap - remediate")))</f>
        <v>Not assessed</v>
      </c>
      <c r="T189" s="17" t="str">
        <f aca="false">IF(J189="","No evidence pull assigned",IF(COUNTIF('Evidence Pulls'!$A$6:$A$125,J189)=0,"Pull ID not on Evidence Pulls sheet",IF(K189="","Not graded",IF(AND(G189="MANDATORY",L189="Gap - recommend tailoring"),"INVALID: safety-mandatory, not tailorable",IF(OR(P189="",P189=0),"NO NAMED EXECUTOR",IF(AND(H189="Full",IFERROR(INDEX('Evidence Pulls'!$C$6:$C$125,MATCH($J189,'Evidence Pulls'!$A$6:$A$125,0)),"")&lt;&gt;"Artifact",N(O189)&gt;=3,N(IFERROR(INDEX('Evidence Pulls'!$K$6:$K$125,MATCH($J189,'Evidence Pulls'!$A$6:$A$125,0)),""))=0),"Operating claimed with no sample",IF(AND(N(O189)&gt;=3,P189=1),"Operating rests on one individual",IF(AND(L189&lt;&gt;"",N189=""),"Override with no rationale in column N",IF(AND(G189="MANDATORY",N(O189)&lt;3),"SAFETY GATE: below Operating","OK")))))))))</f>
        <v>No evidence pull assigned</v>
      </c>
    </row>
    <row r="190" customFormat="false" ht="22.35" hidden="false" customHeight="false" outlineLevel="0" collapsed="false">
      <c r="A190" s="14" t="s">
        <v>449</v>
      </c>
      <c r="B190" s="14" t="s">
        <v>291</v>
      </c>
      <c r="C190" s="14" t="s">
        <v>440</v>
      </c>
      <c r="D190" s="14" t="s">
        <v>441</v>
      </c>
      <c r="E190" s="14" t="s">
        <v>450</v>
      </c>
      <c r="F190" s="15"/>
      <c r="G190" s="14"/>
      <c r="H190" s="14" t="s">
        <v>127</v>
      </c>
      <c r="I190" s="14" t="s">
        <v>294</v>
      </c>
      <c r="J190" s="16"/>
      <c r="K190" s="16"/>
      <c r="L190" s="16"/>
      <c r="M190" s="16"/>
      <c r="N190" s="16"/>
      <c r="O190" s="17" t="str">
        <f aca="false">IFERROR(INDEX(Lists!$B$3:$B$7,MATCH(K190,Lists!$A$3:$A$7,0)),"")</f>
        <v/>
      </c>
      <c r="P190" s="17" t="str">
        <f aca="false">IFERROR(INDEX('Evidence Pulls'!$P$6:$P$125,MATCH($J190,'Evidence Pulls'!$A$6:$A$125,0)),"")</f>
        <v/>
      </c>
      <c r="Q190" s="17" t="str">
        <f aca="false">IFERROR(INDEX('Evidence Pulls'!$H$6:$H$125,MATCH($J190,'Evidence Pulls'!$A$6:$A$125,0)),"")</f>
        <v/>
      </c>
      <c r="R190" s="17" t="str">
        <f aca="false">IFERROR(INDEX('Evidence Pulls'!$Q$6:$Q$125,MATCH($J190,'Evidence Pulls'!$A$6:$A$125,0)),"")</f>
        <v/>
      </c>
      <c r="S190" s="17" t="str">
        <f aca="false">IF(L190&lt;&gt;"",L190,IF(K190="","Not assessed",IF(N(O190)&gt;=3,"Demonstrated","Gap - remediate")))</f>
        <v>Not assessed</v>
      </c>
      <c r="T190" s="17" t="str">
        <f aca="false">IF(J190="","No evidence pull assigned",IF(COUNTIF('Evidence Pulls'!$A$6:$A$125,J190)=0,"Pull ID not on Evidence Pulls sheet",IF(K190="","Not graded",IF(AND(G190="MANDATORY",L190="Gap - recommend tailoring"),"INVALID: safety-mandatory, not tailorable",IF(OR(P190="",P190=0),"NO NAMED EXECUTOR",IF(AND(H190="Full",IFERROR(INDEX('Evidence Pulls'!$C$6:$C$125,MATCH($J190,'Evidence Pulls'!$A$6:$A$125,0)),"")&lt;&gt;"Artifact",N(O190)&gt;=3,N(IFERROR(INDEX('Evidence Pulls'!$K$6:$K$125,MATCH($J190,'Evidence Pulls'!$A$6:$A$125,0)),""))=0),"Operating claimed with no sample",IF(AND(N(O190)&gt;=3,P190=1),"Operating rests on one individual",IF(AND(L190&lt;&gt;"",N190=""),"Override with no rationale in column N",IF(AND(G190="MANDATORY",N(O190)&lt;3),"SAFETY GATE: below Operating","OK")))))))))</f>
        <v>No evidence pull assigned</v>
      </c>
    </row>
    <row r="191" customFormat="false" ht="22.35" hidden="false" customHeight="false" outlineLevel="0" collapsed="false">
      <c r="A191" s="14" t="s">
        <v>451</v>
      </c>
      <c r="B191" s="14" t="s">
        <v>291</v>
      </c>
      <c r="C191" s="14" t="s">
        <v>440</v>
      </c>
      <c r="D191" s="14" t="s">
        <v>441</v>
      </c>
      <c r="E191" s="14" t="s">
        <v>452</v>
      </c>
      <c r="F191" s="15"/>
      <c r="G191" s="14"/>
      <c r="H191" s="14" t="s">
        <v>127</v>
      </c>
      <c r="I191" s="14" t="s">
        <v>294</v>
      </c>
      <c r="J191" s="16"/>
      <c r="K191" s="16"/>
      <c r="L191" s="16"/>
      <c r="M191" s="16"/>
      <c r="N191" s="16"/>
      <c r="O191" s="17" t="str">
        <f aca="false">IFERROR(INDEX(Lists!$B$3:$B$7,MATCH(K191,Lists!$A$3:$A$7,0)),"")</f>
        <v/>
      </c>
      <c r="P191" s="17" t="str">
        <f aca="false">IFERROR(INDEX('Evidence Pulls'!$P$6:$P$125,MATCH($J191,'Evidence Pulls'!$A$6:$A$125,0)),"")</f>
        <v/>
      </c>
      <c r="Q191" s="17" t="str">
        <f aca="false">IFERROR(INDEX('Evidence Pulls'!$H$6:$H$125,MATCH($J191,'Evidence Pulls'!$A$6:$A$125,0)),"")</f>
        <v/>
      </c>
      <c r="R191" s="17" t="str">
        <f aca="false">IFERROR(INDEX('Evidence Pulls'!$Q$6:$Q$125,MATCH($J191,'Evidence Pulls'!$A$6:$A$125,0)),"")</f>
        <v/>
      </c>
      <c r="S191" s="17" t="str">
        <f aca="false">IF(L191&lt;&gt;"",L191,IF(K191="","Not assessed",IF(N(O191)&gt;=3,"Demonstrated","Gap - remediate")))</f>
        <v>Not assessed</v>
      </c>
      <c r="T191" s="17" t="str">
        <f aca="false">IF(J191="","No evidence pull assigned",IF(COUNTIF('Evidence Pulls'!$A$6:$A$125,J191)=0,"Pull ID not on Evidence Pulls sheet",IF(K191="","Not graded",IF(AND(G191="MANDATORY",L191="Gap - recommend tailoring"),"INVALID: safety-mandatory, not tailorable",IF(OR(P191="",P191=0),"NO NAMED EXECUTOR",IF(AND(H191="Full",IFERROR(INDEX('Evidence Pulls'!$C$6:$C$125,MATCH($J191,'Evidence Pulls'!$A$6:$A$125,0)),"")&lt;&gt;"Artifact",N(O191)&gt;=3,N(IFERROR(INDEX('Evidence Pulls'!$K$6:$K$125,MATCH($J191,'Evidence Pulls'!$A$6:$A$125,0)),""))=0),"Operating claimed with no sample",IF(AND(N(O191)&gt;=3,P191=1),"Operating rests on one individual",IF(AND(L191&lt;&gt;"",N191=""),"Override with no rationale in column N",IF(AND(G191="MANDATORY",N(O191)&lt;3),"SAFETY GATE: below Operating","OK")))))))))</f>
        <v>No evidence pull assigned</v>
      </c>
    </row>
    <row r="192" customFormat="false" ht="22.35" hidden="false" customHeight="false" outlineLevel="0" collapsed="false">
      <c r="A192" s="14" t="s">
        <v>453</v>
      </c>
      <c r="B192" s="14" t="s">
        <v>291</v>
      </c>
      <c r="C192" s="14" t="s">
        <v>440</v>
      </c>
      <c r="D192" s="14" t="s">
        <v>441</v>
      </c>
      <c r="E192" s="14" t="s">
        <v>228</v>
      </c>
      <c r="F192" s="15"/>
      <c r="G192" s="14"/>
      <c r="H192" s="14" t="s">
        <v>127</v>
      </c>
      <c r="I192" s="14" t="s">
        <v>294</v>
      </c>
      <c r="J192" s="16"/>
      <c r="K192" s="16"/>
      <c r="L192" s="16"/>
      <c r="M192" s="16"/>
      <c r="N192" s="16"/>
      <c r="O192" s="17" t="str">
        <f aca="false">IFERROR(INDEX(Lists!$B$3:$B$7,MATCH(K192,Lists!$A$3:$A$7,0)),"")</f>
        <v/>
      </c>
      <c r="P192" s="17" t="str">
        <f aca="false">IFERROR(INDEX('Evidence Pulls'!$P$6:$P$125,MATCH($J192,'Evidence Pulls'!$A$6:$A$125,0)),"")</f>
        <v/>
      </c>
      <c r="Q192" s="17" t="str">
        <f aca="false">IFERROR(INDEX('Evidence Pulls'!$H$6:$H$125,MATCH($J192,'Evidence Pulls'!$A$6:$A$125,0)),"")</f>
        <v/>
      </c>
      <c r="R192" s="17" t="str">
        <f aca="false">IFERROR(INDEX('Evidence Pulls'!$Q$6:$Q$125,MATCH($J192,'Evidence Pulls'!$A$6:$A$125,0)),"")</f>
        <v/>
      </c>
      <c r="S192" s="17" t="str">
        <f aca="false">IF(L192&lt;&gt;"",L192,IF(K192="","Not assessed",IF(N(O192)&gt;=3,"Demonstrated","Gap - remediate")))</f>
        <v>Not assessed</v>
      </c>
      <c r="T192" s="17" t="str">
        <f aca="false">IF(J192="","No evidence pull assigned",IF(COUNTIF('Evidence Pulls'!$A$6:$A$125,J192)=0,"Pull ID not on Evidence Pulls sheet",IF(K192="","Not graded",IF(AND(G192="MANDATORY",L192="Gap - recommend tailoring"),"INVALID: safety-mandatory, not tailorable",IF(OR(P192="",P192=0),"NO NAMED EXECUTOR",IF(AND(H192="Full",IFERROR(INDEX('Evidence Pulls'!$C$6:$C$125,MATCH($J192,'Evidence Pulls'!$A$6:$A$125,0)),"")&lt;&gt;"Artifact",N(O192)&gt;=3,N(IFERROR(INDEX('Evidence Pulls'!$K$6:$K$125,MATCH($J192,'Evidence Pulls'!$A$6:$A$125,0)),""))=0),"Operating claimed with no sample",IF(AND(N(O192)&gt;=3,P192=1),"Operating rests on one individual",IF(AND(L192&lt;&gt;"",N192=""),"Override with no rationale in column N",IF(AND(G192="MANDATORY",N(O192)&lt;3),"SAFETY GATE: below Operating","OK")))))))))</f>
        <v>No evidence pull assigned</v>
      </c>
    </row>
    <row r="193" customFormat="false" ht="22.35" hidden="false" customHeight="false" outlineLevel="0" collapsed="false">
      <c r="A193" s="14" t="s">
        <v>454</v>
      </c>
      <c r="B193" s="14" t="s">
        <v>291</v>
      </c>
      <c r="C193" s="14" t="s">
        <v>455</v>
      </c>
      <c r="D193" s="14" t="s">
        <v>456</v>
      </c>
      <c r="E193" s="14" t="s">
        <v>126</v>
      </c>
      <c r="F193" s="15"/>
      <c r="G193" s="14"/>
      <c r="H193" s="14" t="s">
        <v>127</v>
      </c>
      <c r="I193" s="14" t="s">
        <v>294</v>
      </c>
      <c r="J193" s="16"/>
      <c r="K193" s="16"/>
      <c r="L193" s="16"/>
      <c r="M193" s="16"/>
      <c r="N193" s="16"/>
      <c r="O193" s="17" t="str">
        <f aca="false">IFERROR(INDEX(Lists!$B$3:$B$7,MATCH(K193,Lists!$A$3:$A$7,0)),"")</f>
        <v/>
      </c>
      <c r="P193" s="17" t="str">
        <f aca="false">IFERROR(INDEX('Evidence Pulls'!$P$6:$P$125,MATCH($J193,'Evidence Pulls'!$A$6:$A$125,0)),"")</f>
        <v/>
      </c>
      <c r="Q193" s="17" t="str">
        <f aca="false">IFERROR(INDEX('Evidence Pulls'!$H$6:$H$125,MATCH($J193,'Evidence Pulls'!$A$6:$A$125,0)),"")</f>
        <v/>
      </c>
      <c r="R193" s="17" t="str">
        <f aca="false">IFERROR(INDEX('Evidence Pulls'!$Q$6:$Q$125,MATCH($J193,'Evidence Pulls'!$A$6:$A$125,0)),"")</f>
        <v/>
      </c>
      <c r="S193" s="17" t="str">
        <f aca="false">IF(L193&lt;&gt;"",L193,IF(K193="","Not assessed",IF(N(O193)&gt;=3,"Demonstrated","Gap - remediate")))</f>
        <v>Not assessed</v>
      </c>
      <c r="T193" s="17" t="str">
        <f aca="false">IF(J193="","No evidence pull assigned",IF(COUNTIF('Evidence Pulls'!$A$6:$A$125,J193)=0,"Pull ID not on Evidence Pulls sheet",IF(K193="","Not graded",IF(AND(G193="MANDATORY",L193="Gap - recommend tailoring"),"INVALID: safety-mandatory, not tailorable",IF(OR(P193="",P193=0),"NO NAMED EXECUTOR",IF(AND(H193="Full",IFERROR(INDEX('Evidence Pulls'!$C$6:$C$125,MATCH($J193,'Evidence Pulls'!$A$6:$A$125,0)),"")&lt;&gt;"Artifact",N(O193)&gt;=3,N(IFERROR(INDEX('Evidence Pulls'!$K$6:$K$125,MATCH($J193,'Evidence Pulls'!$A$6:$A$125,0)),""))=0),"Operating claimed with no sample",IF(AND(N(O193)&gt;=3,P193=1),"Operating rests on one individual",IF(AND(L193&lt;&gt;"",N193=""),"Override with no rationale in column N",IF(AND(G193="MANDATORY",N(O193)&lt;3),"SAFETY GATE: below Operating","OK")))))))))</f>
        <v>No evidence pull assigned</v>
      </c>
    </row>
    <row r="194" customFormat="false" ht="22.35" hidden="false" customHeight="false" outlineLevel="0" collapsed="false">
      <c r="A194" s="14" t="s">
        <v>457</v>
      </c>
      <c r="B194" s="14" t="s">
        <v>291</v>
      </c>
      <c r="C194" s="14" t="s">
        <v>455</v>
      </c>
      <c r="D194" s="14" t="s">
        <v>456</v>
      </c>
      <c r="E194" s="14" t="s">
        <v>130</v>
      </c>
      <c r="F194" s="15"/>
      <c r="G194" s="14"/>
      <c r="H194" s="14" t="s">
        <v>127</v>
      </c>
      <c r="I194" s="14" t="s">
        <v>294</v>
      </c>
      <c r="J194" s="16"/>
      <c r="K194" s="16"/>
      <c r="L194" s="16"/>
      <c r="M194" s="16"/>
      <c r="N194" s="16"/>
      <c r="O194" s="17" t="str">
        <f aca="false">IFERROR(INDEX(Lists!$B$3:$B$7,MATCH(K194,Lists!$A$3:$A$7,0)),"")</f>
        <v/>
      </c>
      <c r="P194" s="17" t="str">
        <f aca="false">IFERROR(INDEX('Evidence Pulls'!$P$6:$P$125,MATCH($J194,'Evidence Pulls'!$A$6:$A$125,0)),"")</f>
        <v/>
      </c>
      <c r="Q194" s="17" t="str">
        <f aca="false">IFERROR(INDEX('Evidence Pulls'!$H$6:$H$125,MATCH($J194,'Evidence Pulls'!$A$6:$A$125,0)),"")</f>
        <v/>
      </c>
      <c r="R194" s="17" t="str">
        <f aca="false">IFERROR(INDEX('Evidence Pulls'!$Q$6:$Q$125,MATCH($J194,'Evidence Pulls'!$A$6:$A$125,0)),"")</f>
        <v/>
      </c>
      <c r="S194" s="17" t="str">
        <f aca="false">IF(L194&lt;&gt;"",L194,IF(K194="","Not assessed",IF(N(O194)&gt;=3,"Demonstrated","Gap - remediate")))</f>
        <v>Not assessed</v>
      </c>
      <c r="T194" s="17" t="str">
        <f aca="false">IF(J194="","No evidence pull assigned",IF(COUNTIF('Evidence Pulls'!$A$6:$A$125,J194)=0,"Pull ID not on Evidence Pulls sheet",IF(K194="","Not graded",IF(AND(G194="MANDATORY",L194="Gap - recommend tailoring"),"INVALID: safety-mandatory, not tailorable",IF(OR(P194="",P194=0),"NO NAMED EXECUTOR",IF(AND(H194="Full",IFERROR(INDEX('Evidence Pulls'!$C$6:$C$125,MATCH($J194,'Evidence Pulls'!$A$6:$A$125,0)),"")&lt;&gt;"Artifact",N(O194)&gt;=3,N(IFERROR(INDEX('Evidence Pulls'!$K$6:$K$125,MATCH($J194,'Evidence Pulls'!$A$6:$A$125,0)),""))=0),"Operating claimed with no sample",IF(AND(N(O194)&gt;=3,P194=1),"Operating rests on one individual",IF(AND(L194&lt;&gt;"",N194=""),"Override with no rationale in column N",IF(AND(G194="MANDATORY",N(O194)&lt;3),"SAFETY GATE: below Operating","OK")))))))))</f>
        <v>No evidence pull assigned</v>
      </c>
    </row>
    <row r="195" customFormat="false" ht="22.35" hidden="false" customHeight="false" outlineLevel="0" collapsed="false">
      <c r="A195" s="14" t="s">
        <v>458</v>
      </c>
      <c r="B195" s="14" t="s">
        <v>291</v>
      </c>
      <c r="C195" s="14" t="s">
        <v>459</v>
      </c>
      <c r="D195" s="14" t="s">
        <v>460</v>
      </c>
      <c r="E195" s="14" t="s">
        <v>141</v>
      </c>
      <c r="F195" s="15"/>
      <c r="G195" s="14"/>
      <c r="H195" s="14" t="s">
        <v>127</v>
      </c>
      <c r="I195" s="14" t="s">
        <v>294</v>
      </c>
      <c r="J195" s="16"/>
      <c r="K195" s="16"/>
      <c r="L195" s="16"/>
      <c r="M195" s="16"/>
      <c r="N195" s="16"/>
      <c r="O195" s="17" t="str">
        <f aca="false">IFERROR(INDEX(Lists!$B$3:$B$7,MATCH(K195,Lists!$A$3:$A$7,0)),"")</f>
        <v/>
      </c>
      <c r="P195" s="17" t="str">
        <f aca="false">IFERROR(INDEX('Evidence Pulls'!$P$6:$P$125,MATCH($J195,'Evidence Pulls'!$A$6:$A$125,0)),"")</f>
        <v/>
      </c>
      <c r="Q195" s="17" t="str">
        <f aca="false">IFERROR(INDEX('Evidence Pulls'!$H$6:$H$125,MATCH($J195,'Evidence Pulls'!$A$6:$A$125,0)),"")</f>
        <v/>
      </c>
      <c r="R195" s="17" t="str">
        <f aca="false">IFERROR(INDEX('Evidence Pulls'!$Q$6:$Q$125,MATCH($J195,'Evidence Pulls'!$A$6:$A$125,0)),"")</f>
        <v/>
      </c>
      <c r="S195" s="17" t="str">
        <f aca="false">IF(L195&lt;&gt;"",L195,IF(K195="","Not assessed",IF(N(O195)&gt;=3,"Demonstrated","Gap - remediate")))</f>
        <v>Not assessed</v>
      </c>
      <c r="T195" s="17" t="str">
        <f aca="false">IF(J195="","No evidence pull assigned",IF(COUNTIF('Evidence Pulls'!$A$6:$A$125,J195)=0,"Pull ID not on Evidence Pulls sheet",IF(K195="","Not graded",IF(AND(G195="MANDATORY",L195="Gap - recommend tailoring"),"INVALID: safety-mandatory, not tailorable",IF(OR(P195="",P195=0),"NO NAMED EXECUTOR",IF(AND(H195="Full",IFERROR(INDEX('Evidence Pulls'!$C$6:$C$125,MATCH($J195,'Evidence Pulls'!$A$6:$A$125,0)),"")&lt;&gt;"Artifact",N(O195)&gt;=3,N(IFERROR(INDEX('Evidence Pulls'!$K$6:$K$125,MATCH($J195,'Evidence Pulls'!$A$6:$A$125,0)),""))=0),"Operating claimed with no sample",IF(AND(N(O195)&gt;=3,P195=1),"Operating rests on one individual",IF(AND(L195&lt;&gt;"",N195=""),"Override with no rationale in column N",IF(AND(G195="MANDATORY",N(O195)&lt;3),"SAFETY GATE: below Operating","OK")))))))))</f>
        <v>No evidence pull assigned</v>
      </c>
    </row>
    <row r="196" customFormat="false" ht="22.35" hidden="false" customHeight="false" outlineLevel="0" collapsed="false">
      <c r="A196" s="14" t="s">
        <v>461</v>
      </c>
      <c r="B196" s="14" t="s">
        <v>291</v>
      </c>
      <c r="C196" s="14" t="s">
        <v>459</v>
      </c>
      <c r="D196" s="14" t="s">
        <v>460</v>
      </c>
      <c r="E196" s="14" t="s">
        <v>143</v>
      </c>
      <c r="F196" s="15"/>
      <c r="G196" s="14"/>
      <c r="H196" s="14" t="s">
        <v>127</v>
      </c>
      <c r="I196" s="14" t="s">
        <v>294</v>
      </c>
      <c r="J196" s="16"/>
      <c r="K196" s="16"/>
      <c r="L196" s="16"/>
      <c r="M196" s="16"/>
      <c r="N196" s="16"/>
      <c r="O196" s="17" t="str">
        <f aca="false">IFERROR(INDEX(Lists!$B$3:$B$7,MATCH(K196,Lists!$A$3:$A$7,0)),"")</f>
        <v/>
      </c>
      <c r="P196" s="17" t="str">
        <f aca="false">IFERROR(INDEX('Evidence Pulls'!$P$6:$P$125,MATCH($J196,'Evidence Pulls'!$A$6:$A$125,0)),"")</f>
        <v/>
      </c>
      <c r="Q196" s="17" t="str">
        <f aca="false">IFERROR(INDEX('Evidence Pulls'!$H$6:$H$125,MATCH($J196,'Evidence Pulls'!$A$6:$A$125,0)),"")</f>
        <v/>
      </c>
      <c r="R196" s="17" t="str">
        <f aca="false">IFERROR(INDEX('Evidence Pulls'!$Q$6:$Q$125,MATCH($J196,'Evidence Pulls'!$A$6:$A$125,0)),"")</f>
        <v/>
      </c>
      <c r="S196" s="17" t="str">
        <f aca="false">IF(L196&lt;&gt;"",L196,IF(K196="","Not assessed",IF(N(O196)&gt;=3,"Demonstrated","Gap - remediate")))</f>
        <v>Not assessed</v>
      </c>
      <c r="T196" s="17" t="str">
        <f aca="false">IF(J196="","No evidence pull assigned",IF(COUNTIF('Evidence Pulls'!$A$6:$A$125,J196)=0,"Pull ID not on Evidence Pulls sheet",IF(K196="","Not graded",IF(AND(G196="MANDATORY",L196="Gap - recommend tailoring"),"INVALID: safety-mandatory, not tailorable",IF(OR(P196="",P196=0),"NO NAMED EXECUTOR",IF(AND(H196="Full",IFERROR(INDEX('Evidence Pulls'!$C$6:$C$125,MATCH($J196,'Evidence Pulls'!$A$6:$A$125,0)),"")&lt;&gt;"Artifact",N(O196)&gt;=3,N(IFERROR(INDEX('Evidence Pulls'!$K$6:$K$125,MATCH($J196,'Evidence Pulls'!$A$6:$A$125,0)),""))=0),"Operating claimed with no sample",IF(AND(N(O196)&gt;=3,P196=1),"Operating rests on one individual",IF(AND(L196&lt;&gt;"",N196=""),"Override with no rationale in column N",IF(AND(G196="MANDATORY",N(O196)&lt;3),"SAFETY GATE: below Operating","OK")))))))))</f>
        <v>No evidence pull assigned</v>
      </c>
    </row>
    <row r="197" customFormat="false" ht="22.35" hidden="false" customHeight="false" outlineLevel="0" collapsed="false">
      <c r="A197" s="14" t="s">
        <v>462</v>
      </c>
      <c r="B197" s="14" t="s">
        <v>291</v>
      </c>
      <c r="C197" s="14" t="s">
        <v>459</v>
      </c>
      <c r="D197" s="14" t="s">
        <v>460</v>
      </c>
      <c r="E197" s="14" t="s">
        <v>145</v>
      </c>
      <c r="F197" s="15"/>
      <c r="G197" s="14"/>
      <c r="H197" s="14" t="s">
        <v>127</v>
      </c>
      <c r="I197" s="14" t="s">
        <v>294</v>
      </c>
      <c r="J197" s="16"/>
      <c r="K197" s="16"/>
      <c r="L197" s="16"/>
      <c r="M197" s="16"/>
      <c r="N197" s="16"/>
      <c r="O197" s="17" t="str">
        <f aca="false">IFERROR(INDEX(Lists!$B$3:$B$7,MATCH(K197,Lists!$A$3:$A$7,0)),"")</f>
        <v/>
      </c>
      <c r="P197" s="17" t="str">
        <f aca="false">IFERROR(INDEX('Evidence Pulls'!$P$6:$P$125,MATCH($J197,'Evidence Pulls'!$A$6:$A$125,0)),"")</f>
        <v/>
      </c>
      <c r="Q197" s="17" t="str">
        <f aca="false">IFERROR(INDEX('Evidence Pulls'!$H$6:$H$125,MATCH($J197,'Evidence Pulls'!$A$6:$A$125,0)),"")</f>
        <v/>
      </c>
      <c r="R197" s="17" t="str">
        <f aca="false">IFERROR(INDEX('Evidence Pulls'!$Q$6:$Q$125,MATCH($J197,'Evidence Pulls'!$A$6:$A$125,0)),"")</f>
        <v/>
      </c>
      <c r="S197" s="17" t="str">
        <f aca="false">IF(L197&lt;&gt;"",L197,IF(K197="","Not assessed",IF(N(O197)&gt;=3,"Demonstrated","Gap - remediate")))</f>
        <v>Not assessed</v>
      </c>
      <c r="T197" s="17" t="str">
        <f aca="false">IF(J197="","No evidence pull assigned",IF(COUNTIF('Evidence Pulls'!$A$6:$A$125,J197)=0,"Pull ID not on Evidence Pulls sheet",IF(K197="","Not graded",IF(AND(G197="MANDATORY",L197="Gap - recommend tailoring"),"INVALID: safety-mandatory, not tailorable",IF(OR(P197="",P197=0),"NO NAMED EXECUTOR",IF(AND(H197="Full",IFERROR(INDEX('Evidence Pulls'!$C$6:$C$125,MATCH($J197,'Evidence Pulls'!$A$6:$A$125,0)),"")&lt;&gt;"Artifact",N(O197)&gt;=3,N(IFERROR(INDEX('Evidence Pulls'!$K$6:$K$125,MATCH($J197,'Evidence Pulls'!$A$6:$A$125,0)),""))=0),"Operating claimed with no sample",IF(AND(N(O197)&gt;=3,P197=1),"Operating rests on one individual",IF(AND(L197&lt;&gt;"",N197=""),"Override with no rationale in column N",IF(AND(G197="MANDATORY",N(O197)&lt;3),"SAFETY GATE: below Operating","OK")))))))))</f>
        <v>No evidence pull assigned</v>
      </c>
    </row>
    <row r="198" customFormat="false" ht="22.35" hidden="false" customHeight="false" outlineLevel="0" collapsed="false">
      <c r="A198" s="14" t="s">
        <v>463</v>
      </c>
      <c r="B198" s="14" t="s">
        <v>291</v>
      </c>
      <c r="C198" s="14" t="s">
        <v>459</v>
      </c>
      <c r="D198" s="14" t="s">
        <v>460</v>
      </c>
      <c r="E198" s="14" t="s">
        <v>130</v>
      </c>
      <c r="F198" s="15"/>
      <c r="G198" s="14"/>
      <c r="H198" s="14" t="s">
        <v>127</v>
      </c>
      <c r="I198" s="14" t="s">
        <v>294</v>
      </c>
      <c r="J198" s="16"/>
      <c r="K198" s="16"/>
      <c r="L198" s="16"/>
      <c r="M198" s="16"/>
      <c r="N198" s="16"/>
      <c r="O198" s="17" t="str">
        <f aca="false">IFERROR(INDEX(Lists!$B$3:$B$7,MATCH(K198,Lists!$A$3:$A$7,0)),"")</f>
        <v/>
      </c>
      <c r="P198" s="17" t="str">
        <f aca="false">IFERROR(INDEX('Evidence Pulls'!$P$6:$P$125,MATCH($J198,'Evidence Pulls'!$A$6:$A$125,0)),"")</f>
        <v/>
      </c>
      <c r="Q198" s="17" t="str">
        <f aca="false">IFERROR(INDEX('Evidence Pulls'!$H$6:$H$125,MATCH($J198,'Evidence Pulls'!$A$6:$A$125,0)),"")</f>
        <v/>
      </c>
      <c r="R198" s="17" t="str">
        <f aca="false">IFERROR(INDEX('Evidence Pulls'!$Q$6:$Q$125,MATCH($J198,'Evidence Pulls'!$A$6:$A$125,0)),"")</f>
        <v/>
      </c>
      <c r="S198" s="17" t="str">
        <f aca="false">IF(L198&lt;&gt;"",L198,IF(K198="","Not assessed",IF(N(O198)&gt;=3,"Demonstrated","Gap - remediate")))</f>
        <v>Not assessed</v>
      </c>
      <c r="T198" s="17" t="str">
        <f aca="false">IF(J198="","No evidence pull assigned",IF(COUNTIF('Evidence Pulls'!$A$6:$A$125,J198)=0,"Pull ID not on Evidence Pulls sheet",IF(K198="","Not graded",IF(AND(G198="MANDATORY",L198="Gap - recommend tailoring"),"INVALID: safety-mandatory, not tailorable",IF(OR(P198="",P198=0),"NO NAMED EXECUTOR",IF(AND(H198="Full",IFERROR(INDEX('Evidence Pulls'!$C$6:$C$125,MATCH($J198,'Evidence Pulls'!$A$6:$A$125,0)),"")&lt;&gt;"Artifact",N(O198)&gt;=3,N(IFERROR(INDEX('Evidence Pulls'!$K$6:$K$125,MATCH($J198,'Evidence Pulls'!$A$6:$A$125,0)),""))=0),"Operating claimed with no sample",IF(AND(N(O198)&gt;=3,P198=1),"Operating rests on one individual",IF(AND(L198&lt;&gt;"",N198=""),"Override with no rationale in column N",IF(AND(G198="MANDATORY",N(O198)&lt;3),"SAFETY GATE: below Operating","OK")))))))))</f>
        <v>No evidence pull assigned</v>
      </c>
    </row>
    <row r="199" customFormat="false" ht="22.35" hidden="false" customHeight="false" outlineLevel="0" collapsed="false">
      <c r="A199" s="14" t="s">
        <v>464</v>
      </c>
      <c r="B199" s="14" t="s">
        <v>291</v>
      </c>
      <c r="C199" s="14" t="s">
        <v>459</v>
      </c>
      <c r="D199" s="14" t="s">
        <v>460</v>
      </c>
      <c r="E199" s="14" t="s">
        <v>134</v>
      </c>
      <c r="F199" s="15"/>
      <c r="G199" s="14"/>
      <c r="H199" s="14" t="s">
        <v>127</v>
      </c>
      <c r="I199" s="14" t="s">
        <v>294</v>
      </c>
      <c r="J199" s="16"/>
      <c r="K199" s="16"/>
      <c r="L199" s="16"/>
      <c r="M199" s="16"/>
      <c r="N199" s="16"/>
      <c r="O199" s="17" t="str">
        <f aca="false">IFERROR(INDEX(Lists!$B$3:$B$7,MATCH(K199,Lists!$A$3:$A$7,0)),"")</f>
        <v/>
      </c>
      <c r="P199" s="17" t="str">
        <f aca="false">IFERROR(INDEX('Evidence Pulls'!$P$6:$P$125,MATCH($J199,'Evidence Pulls'!$A$6:$A$125,0)),"")</f>
        <v/>
      </c>
      <c r="Q199" s="17" t="str">
        <f aca="false">IFERROR(INDEX('Evidence Pulls'!$H$6:$H$125,MATCH($J199,'Evidence Pulls'!$A$6:$A$125,0)),"")</f>
        <v/>
      </c>
      <c r="R199" s="17" t="str">
        <f aca="false">IFERROR(INDEX('Evidence Pulls'!$Q$6:$Q$125,MATCH($J199,'Evidence Pulls'!$A$6:$A$125,0)),"")</f>
        <v/>
      </c>
      <c r="S199" s="17" t="str">
        <f aca="false">IF(L199&lt;&gt;"",L199,IF(K199="","Not assessed",IF(N(O199)&gt;=3,"Demonstrated","Gap - remediate")))</f>
        <v>Not assessed</v>
      </c>
      <c r="T199" s="17" t="str">
        <f aca="false">IF(J199="","No evidence pull assigned",IF(COUNTIF('Evidence Pulls'!$A$6:$A$125,J199)=0,"Pull ID not on Evidence Pulls sheet",IF(K199="","Not graded",IF(AND(G199="MANDATORY",L199="Gap - recommend tailoring"),"INVALID: safety-mandatory, not tailorable",IF(OR(P199="",P199=0),"NO NAMED EXECUTOR",IF(AND(H199="Full",IFERROR(INDEX('Evidence Pulls'!$C$6:$C$125,MATCH($J199,'Evidence Pulls'!$A$6:$A$125,0)),"")&lt;&gt;"Artifact",N(O199)&gt;=3,N(IFERROR(INDEX('Evidence Pulls'!$K$6:$K$125,MATCH($J199,'Evidence Pulls'!$A$6:$A$125,0)),""))=0),"Operating claimed with no sample",IF(AND(N(O199)&gt;=3,P199=1),"Operating rests on one individual",IF(AND(L199&lt;&gt;"",N199=""),"Override with no rationale in column N",IF(AND(G199="MANDATORY",N(O199)&lt;3),"SAFETY GATE: below Operating","OK")))))))))</f>
        <v>No evidence pull assigned</v>
      </c>
    </row>
    <row r="200" customFormat="false" ht="22.35" hidden="false" customHeight="false" outlineLevel="0" collapsed="false">
      <c r="A200" s="14" t="s">
        <v>465</v>
      </c>
      <c r="B200" s="14" t="s">
        <v>291</v>
      </c>
      <c r="C200" s="14" t="s">
        <v>466</v>
      </c>
      <c r="D200" s="14" t="s">
        <v>467</v>
      </c>
      <c r="E200" s="14" t="s">
        <v>126</v>
      </c>
      <c r="F200" s="15"/>
      <c r="G200" s="14"/>
      <c r="H200" s="14" t="s">
        <v>127</v>
      </c>
      <c r="I200" s="14" t="s">
        <v>294</v>
      </c>
      <c r="J200" s="16"/>
      <c r="K200" s="16"/>
      <c r="L200" s="16"/>
      <c r="M200" s="16"/>
      <c r="N200" s="16"/>
      <c r="O200" s="17" t="str">
        <f aca="false">IFERROR(INDEX(Lists!$B$3:$B$7,MATCH(K200,Lists!$A$3:$A$7,0)),"")</f>
        <v/>
      </c>
      <c r="P200" s="17" t="str">
        <f aca="false">IFERROR(INDEX('Evidence Pulls'!$P$6:$P$125,MATCH($J200,'Evidence Pulls'!$A$6:$A$125,0)),"")</f>
        <v/>
      </c>
      <c r="Q200" s="17" t="str">
        <f aca="false">IFERROR(INDEX('Evidence Pulls'!$H$6:$H$125,MATCH($J200,'Evidence Pulls'!$A$6:$A$125,0)),"")</f>
        <v/>
      </c>
      <c r="R200" s="17" t="str">
        <f aca="false">IFERROR(INDEX('Evidence Pulls'!$Q$6:$Q$125,MATCH($J200,'Evidence Pulls'!$A$6:$A$125,0)),"")</f>
        <v/>
      </c>
      <c r="S200" s="17" t="str">
        <f aca="false">IF(L200&lt;&gt;"",L200,IF(K200="","Not assessed",IF(N(O200)&gt;=3,"Demonstrated","Gap - remediate")))</f>
        <v>Not assessed</v>
      </c>
      <c r="T200" s="17" t="str">
        <f aca="false">IF(J200="","No evidence pull assigned",IF(COUNTIF('Evidence Pulls'!$A$6:$A$125,J200)=0,"Pull ID not on Evidence Pulls sheet",IF(K200="","Not graded",IF(AND(G200="MANDATORY",L200="Gap - recommend tailoring"),"INVALID: safety-mandatory, not tailorable",IF(OR(P200="",P200=0),"NO NAMED EXECUTOR",IF(AND(H200="Full",IFERROR(INDEX('Evidence Pulls'!$C$6:$C$125,MATCH($J200,'Evidence Pulls'!$A$6:$A$125,0)),"")&lt;&gt;"Artifact",N(O200)&gt;=3,N(IFERROR(INDEX('Evidence Pulls'!$K$6:$K$125,MATCH($J200,'Evidence Pulls'!$A$6:$A$125,0)),""))=0),"Operating claimed with no sample",IF(AND(N(O200)&gt;=3,P200=1),"Operating rests on one individual",IF(AND(L200&lt;&gt;"",N200=""),"Override with no rationale in column N",IF(AND(G200="MANDATORY",N(O200)&lt;3),"SAFETY GATE: below Operating","OK")))))))))</f>
        <v>No evidence pull assigned</v>
      </c>
    </row>
    <row r="201" customFormat="false" ht="22.35" hidden="false" customHeight="false" outlineLevel="0" collapsed="false">
      <c r="A201" s="14" t="s">
        <v>468</v>
      </c>
      <c r="B201" s="14" t="s">
        <v>291</v>
      </c>
      <c r="C201" s="14" t="s">
        <v>466</v>
      </c>
      <c r="D201" s="14" t="s">
        <v>467</v>
      </c>
      <c r="E201" s="14" t="s">
        <v>130</v>
      </c>
      <c r="F201" s="15"/>
      <c r="G201" s="14"/>
      <c r="H201" s="14" t="s">
        <v>127</v>
      </c>
      <c r="I201" s="14" t="s">
        <v>294</v>
      </c>
      <c r="J201" s="16"/>
      <c r="K201" s="16"/>
      <c r="L201" s="16"/>
      <c r="M201" s="16"/>
      <c r="N201" s="16"/>
      <c r="O201" s="17" t="str">
        <f aca="false">IFERROR(INDEX(Lists!$B$3:$B$7,MATCH(K201,Lists!$A$3:$A$7,0)),"")</f>
        <v/>
      </c>
      <c r="P201" s="17" t="str">
        <f aca="false">IFERROR(INDEX('Evidence Pulls'!$P$6:$P$125,MATCH($J201,'Evidence Pulls'!$A$6:$A$125,0)),"")</f>
        <v/>
      </c>
      <c r="Q201" s="17" t="str">
        <f aca="false">IFERROR(INDEX('Evidence Pulls'!$H$6:$H$125,MATCH($J201,'Evidence Pulls'!$A$6:$A$125,0)),"")</f>
        <v/>
      </c>
      <c r="R201" s="17" t="str">
        <f aca="false">IFERROR(INDEX('Evidence Pulls'!$Q$6:$Q$125,MATCH($J201,'Evidence Pulls'!$A$6:$A$125,0)),"")</f>
        <v/>
      </c>
      <c r="S201" s="17" t="str">
        <f aca="false">IF(L201&lt;&gt;"",L201,IF(K201="","Not assessed",IF(N(O201)&gt;=3,"Demonstrated","Gap - remediate")))</f>
        <v>Not assessed</v>
      </c>
      <c r="T201" s="17" t="str">
        <f aca="false">IF(J201="","No evidence pull assigned",IF(COUNTIF('Evidence Pulls'!$A$6:$A$125,J201)=0,"Pull ID not on Evidence Pulls sheet",IF(K201="","Not graded",IF(AND(G201="MANDATORY",L201="Gap - recommend tailoring"),"INVALID: safety-mandatory, not tailorable",IF(OR(P201="",P201=0),"NO NAMED EXECUTOR",IF(AND(H201="Full",IFERROR(INDEX('Evidence Pulls'!$C$6:$C$125,MATCH($J201,'Evidence Pulls'!$A$6:$A$125,0)),"")&lt;&gt;"Artifact",N(O201)&gt;=3,N(IFERROR(INDEX('Evidence Pulls'!$K$6:$K$125,MATCH($J201,'Evidence Pulls'!$A$6:$A$125,0)),""))=0),"Operating claimed with no sample",IF(AND(N(O201)&gt;=3,P201=1),"Operating rests on one individual",IF(AND(L201&lt;&gt;"",N201=""),"Override with no rationale in column N",IF(AND(G201="MANDATORY",N(O201)&lt;3),"SAFETY GATE: below Operating","OK")))))))))</f>
        <v>No evidence pull assigned</v>
      </c>
    </row>
    <row r="202" customFormat="false" ht="22.35" hidden="false" customHeight="false" outlineLevel="0" collapsed="false">
      <c r="A202" s="14" t="s">
        <v>469</v>
      </c>
      <c r="B202" s="14" t="s">
        <v>291</v>
      </c>
      <c r="C202" s="14" t="s">
        <v>470</v>
      </c>
      <c r="D202" s="14" t="s">
        <v>471</v>
      </c>
      <c r="E202" s="14" t="s">
        <v>126</v>
      </c>
      <c r="F202" s="15"/>
      <c r="G202" s="14"/>
      <c r="H202" s="14" t="s">
        <v>127</v>
      </c>
      <c r="I202" s="14" t="s">
        <v>294</v>
      </c>
      <c r="J202" s="16"/>
      <c r="K202" s="16"/>
      <c r="L202" s="16"/>
      <c r="M202" s="16"/>
      <c r="N202" s="16"/>
      <c r="O202" s="17" t="str">
        <f aca="false">IFERROR(INDEX(Lists!$B$3:$B$7,MATCH(K202,Lists!$A$3:$A$7,0)),"")</f>
        <v/>
      </c>
      <c r="P202" s="17" t="str">
        <f aca="false">IFERROR(INDEX('Evidence Pulls'!$P$6:$P$125,MATCH($J202,'Evidence Pulls'!$A$6:$A$125,0)),"")</f>
        <v/>
      </c>
      <c r="Q202" s="17" t="str">
        <f aca="false">IFERROR(INDEX('Evidence Pulls'!$H$6:$H$125,MATCH($J202,'Evidence Pulls'!$A$6:$A$125,0)),"")</f>
        <v/>
      </c>
      <c r="R202" s="17" t="str">
        <f aca="false">IFERROR(INDEX('Evidence Pulls'!$Q$6:$Q$125,MATCH($J202,'Evidence Pulls'!$A$6:$A$125,0)),"")</f>
        <v/>
      </c>
      <c r="S202" s="17" t="str">
        <f aca="false">IF(L202&lt;&gt;"",L202,IF(K202="","Not assessed",IF(N(O202)&gt;=3,"Demonstrated","Gap - remediate")))</f>
        <v>Not assessed</v>
      </c>
      <c r="T202" s="17" t="str">
        <f aca="false">IF(J202="","No evidence pull assigned",IF(COUNTIF('Evidence Pulls'!$A$6:$A$125,J202)=0,"Pull ID not on Evidence Pulls sheet",IF(K202="","Not graded",IF(AND(G202="MANDATORY",L202="Gap - recommend tailoring"),"INVALID: safety-mandatory, not tailorable",IF(OR(P202="",P202=0),"NO NAMED EXECUTOR",IF(AND(H202="Full",IFERROR(INDEX('Evidence Pulls'!$C$6:$C$125,MATCH($J202,'Evidence Pulls'!$A$6:$A$125,0)),"")&lt;&gt;"Artifact",N(O202)&gt;=3,N(IFERROR(INDEX('Evidence Pulls'!$K$6:$K$125,MATCH($J202,'Evidence Pulls'!$A$6:$A$125,0)),""))=0),"Operating claimed with no sample",IF(AND(N(O202)&gt;=3,P202=1),"Operating rests on one individual",IF(AND(L202&lt;&gt;"",N202=""),"Override with no rationale in column N",IF(AND(G202="MANDATORY",N(O202)&lt;3),"SAFETY GATE: below Operating","OK")))))))))</f>
        <v>No evidence pull assigned</v>
      </c>
    </row>
    <row r="203" customFormat="false" ht="22.35" hidden="false" customHeight="false" outlineLevel="0" collapsed="false">
      <c r="A203" s="14" t="s">
        <v>472</v>
      </c>
      <c r="B203" s="14" t="s">
        <v>291</v>
      </c>
      <c r="C203" s="14" t="s">
        <v>473</v>
      </c>
      <c r="D203" s="14" t="s">
        <v>474</v>
      </c>
      <c r="E203" s="14" t="s">
        <v>126</v>
      </c>
      <c r="F203" s="15"/>
      <c r="G203" s="14"/>
      <c r="H203" s="14" t="s">
        <v>127</v>
      </c>
      <c r="I203" s="14" t="s">
        <v>294</v>
      </c>
      <c r="J203" s="16"/>
      <c r="K203" s="16"/>
      <c r="L203" s="16"/>
      <c r="M203" s="16"/>
      <c r="N203" s="16"/>
      <c r="O203" s="17" t="str">
        <f aca="false">IFERROR(INDEX(Lists!$B$3:$B$7,MATCH(K203,Lists!$A$3:$A$7,0)),"")</f>
        <v/>
      </c>
      <c r="P203" s="17" t="str">
        <f aca="false">IFERROR(INDEX('Evidence Pulls'!$P$6:$P$125,MATCH($J203,'Evidence Pulls'!$A$6:$A$125,0)),"")</f>
        <v/>
      </c>
      <c r="Q203" s="17" t="str">
        <f aca="false">IFERROR(INDEX('Evidence Pulls'!$H$6:$H$125,MATCH($J203,'Evidence Pulls'!$A$6:$A$125,0)),"")</f>
        <v/>
      </c>
      <c r="R203" s="17" t="str">
        <f aca="false">IFERROR(INDEX('Evidence Pulls'!$Q$6:$Q$125,MATCH($J203,'Evidence Pulls'!$A$6:$A$125,0)),"")</f>
        <v/>
      </c>
      <c r="S203" s="17" t="str">
        <f aca="false">IF(L203&lt;&gt;"",L203,IF(K203="","Not assessed",IF(N(O203)&gt;=3,"Demonstrated","Gap - remediate")))</f>
        <v>Not assessed</v>
      </c>
      <c r="T203" s="17" t="str">
        <f aca="false">IF(J203="","No evidence pull assigned",IF(COUNTIF('Evidence Pulls'!$A$6:$A$125,J203)=0,"Pull ID not on Evidence Pulls sheet",IF(K203="","Not graded",IF(AND(G203="MANDATORY",L203="Gap - recommend tailoring"),"INVALID: safety-mandatory, not tailorable",IF(OR(P203="",P203=0),"NO NAMED EXECUTOR",IF(AND(H203="Full",IFERROR(INDEX('Evidence Pulls'!$C$6:$C$125,MATCH($J203,'Evidence Pulls'!$A$6:$A$125,0)),"")&lt;&gt;"Artifact",N(O203)&gt;=3,N(IFERROR(INDEX('Evidence Pulls'!$K$6:$K$125,MATCH($J203,'Evidence Pulls'!$A$6:$A$125,0)),""))=0),"Operating claimed with no sample",IF(AND(N(O203)&gt;=3,P203=1),"Operating rests on one individual",IF(AND(L203&lt;&gt;"",N203=""),"Override with no rationale in column N",IF(AND(G203="MANDATORY",N(O203)&lt;3),"SAFETY GATE: below Operating","OK")))))))))</f>
        <v>No evidence pull assigned</v>
      </c>
    </row>
    <row r="204" customFormat="false" ht="22.35" hidden="false" customHeight="false" outlineLevel="0" collapsed="false">
      <c r="A204" s="14" t="s">
        <v>475</v>
      </c>
      <c r="B204" s="14" t="s">
        <v>291</v>
      </c>
      <c r="C204" s="14" t="s">
        <v>473</v>
      </c>
      <c r="D204" s="14" t="s">
        <v>474</v>
      </c>
      <c r="E204" s="14" t="s">
        <v>130</v>
      </c>
      <c r="F204" s="15"/>
      <c r="G204" s="14"/>
      <c r="H204" s="14" t="s">
        <v>127</v>
      </c>
      <c r="I204" s="14" t="s">
        <v>294</v>
      </c>
      <c r="J204" s="16"/>
      <c r="K204" s="16"/>
      <c r="L204" s="16"/>
      <c r="M204" s="16"/>
      <c r="N204" s="16"/>
      <c r="O204" s="17" t="str">
        <f aca="false">IFERROR(INDEX(Lists!$B$3:$B$7,MATCH(K204,Lists!$A$3:$A$7,0)),"")</f>
        <v/>
      </c>
      <c r="P204" s="17" t="str">
        <f aca="false">IFERROR(INDEX('Evidence Pulls'!$P$6:$P$125,MATCH($J204,'Evidence Pulls'!$A$6:$A$125,0)),"")</f>
        <v/>
      </c>
      <c r="Q204" s="17" t="str">
        <f aca="false">IFERROR(INDEX('Evidence Pulls'!$H$6:$H$125,MATCH($J204,'Evidence Pulls'!$A$6:$A$125,0)),"")</f>
        <v/>
      </c>
      <c r="R204" s="17" t="str">
        <f aca="false">IFERROR(INDEX('Evidence Pulls'!$Q$6:$Q$125,MATCH($J204,'Evidence Pulls'!$A$6:$A$125,0)),"")</f>
        <v/>
      </c>
      <c r="S204" s="17" t="str">
        <f aca="false">IF(L204&lt;&gt;"",L204,IF(K204="","Not assessed",IF(N(O204)&gt;=3,"Demonstrated","Gap - remediate")))</f>
        <v>Not assessed</v>
      </c>
      <c r="T204" s="17" t="str">
        <f aca="false">IF(J204="","No evidence pull assigned",IF(COUNTIF('Evidence Pulls'!$A$6:$A$125,J204)=0,"Pull ID not on Evidence Pulls sheet",IF(K204="","Not graded",IF(AND(G204="MANDATORY",L204="Gap - recommend tailoring"),"INVALID: safety-mandatory, not tailorable",IF(OR(P204="",P204=0),"NO NAMED EXECUTOR",IF(AND(H204="Full",IFERROR(INDEX('Evidence Pulls'!$C$6:$C$125,MATCH($J204,'Evidence Pulls'!$A$6:$A$125,0)),"")&lt;&gt;"Artifact",N(O204)&gt;=3,N(IFERROR(INDEX('Evidence Pulls'!$K$6:$K$125,MATCH($J204,'Evidence Pulls'!$A$6:$A$125,0)),""))=0),"Operating claimed with no sample",IF(AND(N(O204)&gt;=3,P204=1),"Operating rests on one individual",IF(AND(L204&lt;&gt;"",N204=""),"Override with no rationale in column N",IF(AND(G204="MANDATORY",N(O204)&lt;3),"SAFETY GATE: below Operating","OK")))))))))</f>
        <v>No evidence pull assigned</v>
      </c>
    </row>
    <row r="205" customFormat="false" ht="22.35" hidden="false" customHeight="false" outlineLevel="0" collapsed="false">
      <c r="A205" s="18" t="s">
        <v>476</v>
      </c>
      <c r="B205" s="18" t="s">
        <v>291</v>
      </c>
      <c r="C205" s="18" t="s">
        <v>477</v>
      </c>
      <c r="D205" s="18" t="s">
        <v>478</v>
      </c>
      <c r="E205" s="18" t="s">
        <v>126</v>
      </c>
      <c r="F205" s="18"/>
      <c r="G205" s="19" t="s">
        <v>131</v>
      </c>
      <c r="H205" s="19" t="s">
        <v>132</v>
      </c>
      <c r="I205" s="18" t="s">
        <v>294</v>
      </c>
      <c r="J205" s="16"/>
      <c r="K205" s="16"/>
      <c r="L205" s="16"/>
      <c r="M205" s="16"/>
      <c r="N205" s="16"/>
      <c r="O205" s="17" t="str">
        <f aca="false">IFERROR(INDEX(Lists!$B$3:$B$7,MATCH(K205,Lists!$A$3:$A$7,0)),"")</f>
        <v/>
      </c>
      <c r="P205" s="17" t="str">
        <f aca="false">IFERROR(INDEX('Evidence Pulls'!$P$6:$P$125,MATCH($J205,'Evidence Pulls'!$A$6:$A$125,0)),"")</f>
        <v/>
      </c>
      <c r="Q205" s="17" t="str">
        <f aca="false">IFERROR(INDEX('Evidence Pulls'!$H$6:$H$125,MATCH($J205,'Evidence Pulls'!$A$6:$A$125,0)),"")</f>
        <v/>
      </c>
      <c r="R205" s="17" t="str">
        <f aca="false">IFERROR(INDEX('Evidence Pulls'!$Q$6:$Q$125,MATCH($J205,'Evidence Pulls'!$A$6:$A$125,0)),"")</f>
        <v/>
      </c>
      <c r="S205" s="17" t="str">
        <f aca="false">IF(L205&lt;&gt;"",L205,IF(K205="","Not assessed",IF(N(O205)&gt;=3,"Demonstrated","Gap - remediate")))</f>
        <v>Not assessed</v>
      </c>
      <c r="T205" s="17" t="str">
        <f aca="false">IF(J205="","No evidence pull assigned",IF(COUNTIF('Evidence Pulls'!$A$6:$A$125,J205)=0,"Pull ID not on Evidence Pulls sheet",IF(K205="","Not graded",IF(AND(G205="MANDATORY",L205="Gap - recommend tailoring"),"INVALID: safety-mandatory, not tailorable",IF(OR(P205="",P205=0),"NO NAMED EXECUTOR",IF(AND(H205="Full",IFERROR(INDEX('Evidence Pulls'!$C$6:$C$125,MATCH($J205,'Evidence Pulls'!$A$6:$A$125,0)),"")&lt;&gt;"Artifact",N(O205)&gt;=3,N(IFERROR(INDEX('Evidence Pulls'!$K$6:$K$125,MATCH($J205,'Evidence Pulls'!$A$6:$A$125,0)),""))=0),"Operating claimed with no sample",IF(AND(N(O205)&gt;=3,P205=1),"Operating rests on one individual",IF(AND(L205&lt;&gt;"",N205=""),"Override with no rationale in column N",IF(AND(G205="MANDATORY",N(O205)&lt;3),"SAFETY GATE: below Operating","OK")))))))))</f>
        <v>No evidence pull assigned</v>
      </c>
    </row>
    <row r="206" customFormat="false" ht="22.35" hidden="false" customHeight="false" outlineLevel="0" collapsed="false">
      <c r="A206" s="18" t="s">
        <v>479</v>
      </c>
      <c r="B206" s="18" t="s">
        <v>291</v>
      </c>
      <c r="C206" s="18" t="s">
        <v>477</v>
      </c>
      <c r="D206" s="18" t="s">
        <v>478</v>
      </c>
      <c r="E206" s="18" t="s">
        <v>130</v>
      </c>
      <c r="F206" s="18"/>
      <c r="G206" s="19" t="s">
        <v>131</v>
      </c>
      <c r="H206" s="19" t="s">
        <v>132</v>
      </c>
      <c r="I206" s="18" t="s">
        <v>294</v>
      </c>
      <c r="J206" s="16"/>
      <c r="K206" s="16"/>
      <c r="L206" s="16"/>
      <c r="M206" s="16"/>
      <c r="N206" s="16"/>
      <c r="O206" s="17" t="str">
        <f aca="false">IFERROR(INDEX(Lists!$B$3:$B$7,MATCH(K206,Lists!$A$3:$A$7,0)),"")</f>
        <v/>
      </c>
      <c r="P206" s="17" t="str">
        <f aca="false">IFERROR(INDEX('Evidence Pulls'!$P$6:$P$125,MATCH($J206,'Evidence Pulls'!$A$6:$A$125,0)),"")</f>
        <v/>
      </c>
      <c r="Q206" s="17" t="str">
        <f aca="false">IFERROR(INDEX('Evidence Pulls'!$H$6:$H$125,MATCH($J206,'Evidence Pulls'!$A$6:$A$125,0)),"")</f>
        <v/>
      </c>
      <c r="R206" s="17" t="str">
        <f aca="false">IFERROR(INDEX('Evidence Pulls'!$Q$6:$Q$125,MATCH($J206,'Evidence Pulls'!$A$6:$A$125,0)),"")</f>
        <v/>
      </c>
      <c r="S206" s="17" t="str">
        <f aca="false">IF(L206&lt;&gt;"",L206,IF(K206="","Not assessed",IF(N(O206)&gt;=3,"Demonstrated","Gap - remediate")))</f>
        <v>Not assessed</v>
      </c>
      <c r="T206" s="17" t="str">
        <f aca="false">IF(J206="","No evidence pull assigned",IF(COUNTIF('Evidence Pulls'!$A$6:$A$125,J206)=0,"Pull ID not on Evidence Pulls sheet",IF(K206="","Not graded",IF(AND(G206="MANDATORY",L206="Gap - recommend tailoring"),"INVALID: safety-mandatory, not tailorable",IF(OR(P206="",P206=0),"NO NAMED EXECUTOR",IF(AND(H206="Full",IFERROR(INDEX('Evidence Pulls'!$C$6:$C$125,MATCH($J206,'Evidence Pulls'!$A$6:$A$125,0)),"")&lt;&gt;"Artifact",N(O206)&gt;=3,N(IFERROR(INDEX('Evidence Pulls'!$K$6:$K$125,MATCH($J206,'Evidence Pulls'!$A$6:$A$125,0)),""))=0),"Operating claimed with no sample",IF(AND(N(O206)&gt;=3,P206=1),"Operating rests on one individual",IF(AND(L206&lt;&gt;"",N206=""),"Override with no rationale in column N",IF(AND(G206="MANDATORY",N(O206)&lt;3),"SAFETY GATE: below Operating","OK")))))))))</f>
        <v>No evidence pull assigned</v>
      </c>
    </row>
    <row r="207" customFormat="false" ht="15" hidden="false" customHeight="false" outlineLevel="0" collapsed="false">
      <c r="A207" s="18" t="s">
        <v>480</v>
      </c>
      <c r="B207" s="18" t="s">
        <v>481</v>
      </c>
      <c r="C207" s="18" t="s">
        <v>482</v>
      </c>
      <c r="D207" s="18" t="s">
        <v>483</v>
      </c>
      <c r="E207" s="18" t="s">
        <v>126</v>
      </c>
      <c r="F207" s="18"/>
      <c r="G207" s="19" t="s">
        <v>131</v>
      </c>
      <c r="H207" s="19" t="s">
        <v>132</v>
      </c>
      <c r="I207" s="18" t="s">
        <v>484</v>
      </c>
      <c r="J207" s="16"/>
      <c r="K207" s="16"/>
      <c r="L207" s="16"/>
      <c r="M207" s="16"/>
      <c r="N207" s="16"/>
      <c r="O207" s="17" t="str">
        <f aca="false">IFERROR(INDEX(Lists!$B$3:$B$7,MATCH(K207,Lists!$A$3:$A$7,0)),"")</f>
        <v/>
      </c>
      <c r="P207" s="17" t="str">
        <f aca="false">IFERROR(INDEX('Evidence Pulls'!$P$6:$P$125,MATCH($J207,'Evidence Pulls'!$A$6:$A$125,0)),"")</f>
        <v/>
      </c>
      <c r="Q207" s="17" t="str">
        <f aca="false">IFERROR(INDEX('Evidence Pulls'!$H$6:$H$125,MATCH($J207,'Evidence Pulls'!$A$6:$A$125,0)),"")</f>
        <v/>
      </c>
      <c r="R207" s="17" t="str">
        <f aca="false">IFERROR(INDEX('Evidence Pulls'!$Q$6:$Q$125,MATCH($J207,'Evidence Pulls'!$A$6:$A$125,0)),"")</f>
        <v/>
      </c>
      <c r="S207" s="17" t="str">
        <f aca="false">IF(L207&lt;&gt;"",L207,IF(K207="","Not assessed",IF(N(O207)&gt;=3,"Demonstrated","Gap - remediate")))</f>
        <v>Not assessed</v>
      </c>
      <c r="T207" s="17" t="str">
        <f aca="false">IF(J207="","No evidence pull assigned",IF(COUNTIF('Evidence Pulls'!$A$6:$A$125,J207)=0,"Pull ID not on Evidence Pulls sheet",IF(K207="","Not graded",IF(AND(G207="MANDATORY",L207="Gap - recommend tailoring"),"INVALID: safety-mandatory, not tailorable",IF(OR(P207="",P207=0),"NO NAMED EXECUTOR",IF(AND(H207="Full",IFERROR(INDEX('Evidence Pulls'!$C$6:$C$125,MATCH($J207,'Evidence Pulls'!$A$6:$A$125,0)),"")&lt;&gt;"Artifact",N(O207)&gt;=3,N(IFERROR(INDEX('Evidence Pulls'!$K$6:$K$125,MATCH($J207,'Evidence Pulls'!$A$6:$A$125,0)),""))=0),"Operating claimed with no sample",IF(AND(N(O207)&gt;=3,P207=1),"Operating rests on one individual",IF(AND(L207&lt;&gt;"",N207=""),"Override with no rationale in column N",IF(AND(G207="MANDATORY",N(O207)&lt;3),"SAFETY GATE: below Operating","OK")))))))))</f>
        <v>No evidence pull assigned</v>
      </c>
    </row>
    <row r="208" customFormat="false" ht="15" hidden="false" customHeight="false" outlineLevel="0" collapsed="false">
      <c r="A208" s="14" t="s">
        <v>485</v>
      </c>
      <c r="B208" s="14" t="s">
        <v>481</v>
      </c>
      <c r="C208" s="14" t="s">
        <v>482</v>
      </c>
      <c r="D208" s="14" t="s">
        <v>483</v>
      </c>
      <c r="E208" s="14" t="s">
        <v>130</v>
      </c>
      <c r="F208" s="15"/>
      <c r="G208" s="14"/>
      <c r="H208" s="14" t="s">
        <v>127</v>
      </c>
      <c r="I208" s="14" t="s">
        <v>484</v>
      </c>
      <c r="J208" s="16"/>
      <c r="K208" s="16"/>
      <c r="L208" s="16"/>
      <c r="M208" s="16"/>
      <c r="N208" s="16"/>
      <c r="O208" s="17" t="str">
        <f aca="false">IFERROR(INDEX(Lists!$B$3:$B$7,MATCH(K208,Lists!$A$3:$A$7,0)),"")</f>
        <v/>
      </c>
      <c r="P208" s="17" t="str">
        <f aca="false">IFERROR(INDEX('Evidence Pulls'!$P$6:$P$125,MATCH($J208,'Evidence Pulls'!$A$6:$A$125,0)),"")</f>
        <v/>
      </c>
      <c r="Q208" s="17" t="str">
        <f aca="false">IFERROR(INDEX('Evidence Pulls'!$H$6:$H$125,MATCH($J208,'Evidence Pulls'!$A$6:$A$125,0)),"")</f>
        <v/>
      </c>
      <c r="R208" s="17" t="str">
        <f aca="false">IFERROR(INDEX('Evidence Pulls'!$Q$6:$Q$125,MATCH($J208,'Evidence Pulls'!$A$6:$A$125,0)),"")</f>
        <v/>
      </c>
      <c r="S208" s="17" t="str">
        <f aca="false">IF(L208&lt;&gt;"",L208,IF(K208="","Not assessed",IF(N(O208)&gt;=3,"Demonstrated","Gap - remediate")))</f>
        <v>Not assessed</v>
      </c>
      <c r="T208" s="17" t="str">
        <f aca="false">IF(J208="","No evidence pull assigned",IF(COUNTIF('Evidence Pulls'!$A$6:$A$125,J208)=0,"Pull ID not on Evidence Pulls sheet",IF(K208="","Not graded",IF(AND(G208="MANDATORY",L208="Gap - recommend tailoring"),"INVALID: safety-mandatory, not tailorable",IF(OR(P208="",P208=0),"NO NAMED EXECUTOR",IF(AND(H208="Full",IFERROR(INDEX('Evidence Pulls'!$C$6:$C$125,MATCH($J208,'Evidence Pulls'!$A$6:$A$125,0)),"")&lt;&gt;"Artifact",N(O208)&gt;=3,N(IFERROR(INDEX('Evidence Pulls'!$K$6:$K$125,MATCH($J208,'Evidence Pulls'!$A$6:$A$125,0)),""))=0),"Operating claimed with no sample",IF(AND(N(O208)&gt;=3,P208=1),"Operating rests on one individual",IF(AND(L208&lt;&gt;"",N208=""),"Override with no rationale in column N",IF(AND(G208="MANDATORY",N(O208)&lt;3),"SAFETY GATE: below Operating","OK")))))))))</f>
        <v>No evidence pull assigned</v>
      </c>
    </row>
    <row r="209" customFormat="false" ht="15" hidden="false" customHeight="false" outlineLevel="0" collapsed="false">
      <c r="A209" s="14" t="s">
        <v>486</v>
      </c>
      <c r="B209" s="14" t="s">
        <v>481</v>
      </c>
      <c r="C209" s="14" t="s">
        <v>487</v>
      </c>
      <c r="D209" s="14" t="s">
        <v>488</v>
      </c>
      <c r="E209" s="14" t="s">
        <v>126</v>
      </c>
      <c r="F209" s="15"/>
      <c r="G209" s="14"/>
      <c r="H209" s="14" t="s">
        <v>127</v>
      </c>
      <c r="I209" s="14" t="s">
        <v>484</v>
      </c>
      <c r="J209" s="16"/>
      <c r="K209" s="16"/>
      <c r="L209" s="16"/>
      <c r="M209" s="16"/>
      <c r="N209" s="16"/>
      <c r="O209" s="17" t="str">
        <f aca="false">IFERROR(INDEX(Lists!$B$3:$B$7,MATCH(K209,Lists!$A$3:$A$7,0)),"")</f>
        <v/>
      </c>
      <c r="P209" s="17" t="str">
        <f aca="false">IFERROR(INDEX('Evidence Pulls'!$P$6:$P$125,MATCH($J209,'Evidence Pulls'!$A$6:$A$125,0)),"")</f>
        <v/>
      </c>
      <c r="Q209" s="17" t="str">
        <f aca="false">IFERROR(INDEX('Evidence Pulls'!$H$6:$H$125,MATCH($J209,'Evidence Pulls'!$A$6:$A$125,0)),"")</f>
        <v/>
      </c>
      <c r="R209" s="17" t="str">
        <f aca="false">IFERROR(INDEX('Evidence Pulls'!$Q$6:$Q$125,MATCH($J209,'Evidence Pulls'!$A$6:$A$125,0)),"")</f>
        <v/>
      </c>
      <c r="S209" s="17" t="str">
        <f aca="false">IF(L209&lt;&gt;"",L209,IF(K209="","Not assessed",IF(N(O209)&gt;=3,"Demonstrated","Gap - remediate")))</f>
        <v>Not assessed</v>
      </c>
      <c r="T209" s="17" t="str">
        <f aca="false">IF(J209="","No evidence pull assigned",IF(COUNTIF('Evidence Pulls'!$A$6:$A$125,J209)=0,"Pull ID not on Evidence Pulls sheet",IF(K209="","Not graded",IF(AND(G209="MANDATORY",L209="Gap - recommend tailoring"),"INVALID: safety-mandatory, not tailorable",IF(OR(P209="",P209=0),"NO NAMED EXECUTOR",IF(AND(H209="Full",IFERROR(INDEX('Evidence Pulls'!$C$6:$C$125,MATCH($J209,'Evidence Pulls'!$A$6:$A$125,0)),"")&lt;&gt;"Artifact",N(O209)&gt;=3,N(IFERROR(INDEX('Evidence Pulls'!$K$6:$K$125,MATCH($J209,'Evidence Pulls'!$A$6:$A$125,0)),""))=0),"Operating claimed with no sample",IF(AND(N(O209)&gt;=3,P209=1),"Operating rests on one individual",IF(AND(L209&lt;&gt;"",N209=""),"Override with no rationale in column N",IF(AND(G209="MANDATORY",N(O209)&lt;3),"SAFETY GATE: below Operating","OK")))))))))</f>
        <v>No evidence pull assigned</v>
      </c>
    </row>
    <row r="210" customFormat="false" ht="15" hidden="false" customHeight="false" outlineLevel="0" collapsed="false">
      <c r="A210" s="18" t="s">
        <v>489</v>
      </c>
      <c r="B210" s="18" t="s">
        <v>481</v>
      </c>
      <c r="C210" s="18" t="s">
        <v>487</v>
      </c>
      <c r="D210" s="18" t="s">
        <v>488</v>
      </c>
      <c r="E210" s="18" t="s">
        <v>130</v>
      </c>
      <c r="F210" s="18"/>
      <c r="G210" s="19" t="s">
        <v>131</v>
      </c>
      <c r="H210" s="19" t="s">
        <v>132</v>
      </c>
      <c r="I210" s="18" t="s">
        <v>484</v>
      </c>
      <c r="J210" s="16"/>
      <c r="K210" s="16"/>
      <c r="L210" s="16"/>
      <c r="M210" s="16"/>
      <c r="N210" s="16"/>
      <c r="O210" s="17" t="str">
        <f aca="false">IFERROR(INDEX(Lists!$B$3:$B$7,MATCH(K210,Lists!$A$3:$A$7,0)),"")</f>
        <v/>
      </c>
      <c r="P210" s="17" t="str">
        <f aca="false">IFERROR(INDEX('Evidence Pulls'!$P$6:$P$125,MATCH($J210,'Evidence Pulls'!$A$6:$A$125,0)),"")</f>
        <v/>
      </c>
      <c r="Q210" s="17" t="str">
        <f aca="false">IFERROR(INDEX('Evidence Pulls'!$H$6:$H$125,MATCH($J210,'Evidence Pulls'!$A$6:$A$125,0)),"")</f>
        <v/>
      </c>
      <c r="R210" s="17" t="str">
        <f aca="false">IFERROR(INDEX('Evidence Pulls'!$Q$6:$Q$125,MATCH($J210,'Evidence Pulls'!$A$6:$A$125,0)),"")</f>
        <v/>
      </c>
      <c r="S210" s="17" t="str">
        <f aca="false">IF(L210&lt;&gt;"",L210,IF(K210="","Not assessed",IF(N(O210)&gt;=3,"Demonstrated","Gap - remediate")))</f>
        <v>Not assessed</v>
      </c>
      <c r="T210" s="17" t="str">
        <f aca="false">IF(J210="","No evidence pull assigned",IF(COUNTIF('Evidence Pulls'!$A$6:$A$125,J210)=0,"Pull ID not on Evidence Pulls sheet",IF(K210="","Not graded",IF(AND(G210="MANDATORY",L210="Gap - recommend tailoring"),"INVALID: safety-mandatory, not tailorable",IF(OR(P210="",P210=0),"NO NAMED EXECUTOR",IF(AND(H210="Full",IFERROR(INDEX('Evidence Pulls'!$C$6:$C$125,MATCH($J210,'Evidence Pulls'!$A$6:$A$125,0)),"")&lt;&gt;"Artifact",N(O210)&gt;=3,N(IFERROR(INDEX('Evidence Pulls'!$K$6:$K$125,MATCH($J210,'Evidence Pulls'!$A$6:$A$125,0)),""))=0),"Operating claimed with no sample",IF(AND(N(O210)&gt;=3,P210=1),"Operating rests on one individual",IF(AND(L210&lt;&gt;"",N210=""),"Override with no rationale in column N",IF(AND(G210="MANDATORY",N(O210)&lt;3),"SAFETY GATE: below Operating","OK")))))))))</f>
        <v>No evidence pull assigned</v>
      </c>
    </row>
    <row r="211" customFormat="false" ht="15" hidden="false" customHeight="false" outlineLevel="0" collapsed="false">
      <c r="A211" s="18" t="s">
        <v>490</v>
      </c>
      <c r="B211" s="18" t="s">
        <v>481</v>
      </c>
      <c r="C211" s="18" t="s">
        <v>487</v>
      </c>
      <c r="D211" s="18" t="s">
        <v>488</v>
      </c>
      <c r="E211" s="18" t="s">
        <v>204</v>
      </c>
      <c r="F211" s="18"/>
      <c r="G211" s="19" t="s">
        <v>131</v>
      </c>
      <c r="H211" s="19" t="s">
        <v>132</v>
      </c>
      <c r="I211" s="18" t="s">
        <v>484</v>
      </c>
      <c r="J211" s="16"/>
      <c r="K211" s="16"/>
      <c r="L211" s="16"/>
      <c r="M211" s="16"/>
      <c r="N211" s="16"/>
      <c r="O211" s="17" t="str">
        <f aca="false">IFERROR(INDEX(Lists!$B$3:$B$7,MATCH(K211,Lists!$A$3:$A$7,0)),"")</f>
        <v/>
      </c>
      <c r="P211" s="17" t="str">
        <f aca="false">IFERROR(INDEX('Evidence Pulls'!$P$6:$P$125,MATCH($J211,'Evidence Pulls'!$A$6:$A$125,0)),"")</f>
        <v/>
      </c>
      <c r="Q211" s="17" t="str">
        <f aca="false">IFERROR(INDEX('Evidence Pulls'!$H$6:$H$125,MATCH($J211,'Evidence Pulls'!$A$6:$A$125,0)),"")</f>
        <v/>
      </c>
      <c r="R211" s="17" t="str">
        <f aca="false">IFERROR(INDEX('Evidence Pulls'!$Q$6:$Q$125,MATCH($J211,'Evidence Pulls'!$A$6:$A$125,0)),"")</f>
        <v/>
      </c>
      <c r="S211" s="17" t="str">
        <f aca="false">IF(L211&lt;&gt;"",L211,IF(K211="","Not assessed",IF(N(O211)&gt;=3,"Demonstrated","Gap - remediate")))</f>
        <v>Not assessed</v>
      </c>
      <c r="T211" s="17" t="str">
        <f aca="false">IF(J211="","No evidence pull assigned",IF(COUNTIF('Evidence Pulls'!$A$6:$A$125,J211)=0,"Pull ID not on Evidence Pulls sheet",IF(K211="","Not graded",IF(AND(G211="MANDATORY",L211="Gap - recommend tailoring"),"INVALID: safety-mandatory, not tailorable",IF(OR(P211="",P211=0),"NO NAMED EXECUTOR",IF(AND(H211="Full",IFERROR(INDEX('Evidence Pulls'!$C$6:$C$125,MATCH($J211,'Evidence Pulls'!$A$6:$A$125,0)),"")&lt;&gt;"Artifact",N(O211)&gt;=3,N(IFERROR(INDEX('Evidence Pulls'!$K$6:$K$125,MATCH($J211,'Evidence Pulls'!$A$6:$A$125,0)),""))=0),"Operating claimed with no sample",IF(AND(N(O211)&gt;=3,P211=1),"Operating rests on one individual",IF(AND(L211&lt;&gt;"",N211=""),"Override with no rationale in column N",IF(AND(G211="MANDATORY",N(O211)&lt;3),"SAFETY GATE: below Operating","OK")))))))))</f>
        <v>No evidence pull assigned</v>
      </c>
    </row>
    <row r="212" customFormat="false" ht="15" hidden="false" customHeight="false" outlineLevel="0" collapsed="false">
      <c r="A212" s="18" t="s">
        <v>491</v>
      </c>
      <c r="B212" s="18" t="s">
        <v>481</v>
      </c>
      <c r="C212" s="18" t="s">
        <v>487</v>
      </c>
      <c r="D212" s="18" t="s">
        <v>488</v>
      </c>
      <c r="E212" s="18" t="s">
        <v>206</v>
      </c>
      <c r="F212" s="18"/>
      <c r="G212" s="19" t="s">
        <v>131</v>
      </c>
      <c r="H212" s="19" t="s">
        <v>132</v>
      </c>
      <c r="I212" s="18" t="s">
        <v>484</v>
      </c>
      <c r="J212" s="16"/>
      <c r="K212" s="16"/>
      <c r="L212" s="16"/>
      <c r="M212" s="16"/>
      <c r="N212" s="16"/>
      <c r="O212" s="17" t="str">
        <f aca="false">IFERROR(INDEX(Lists!$B$3:$B$7,MATCH(K212,Lists!$A$3:$A$7,0)),"")</f>
        <v/>
      </c>
      <c r="P212" s="17" t="str">
        <f aca="false">IFERROR(INDEX('Evidence Pulls'!$P$6:$P$125,MATCH($J212,'Evidence Pulls'!$A$6:$A$125,0)),"")</f>
        <v/>
      </c>
      <c r="Q212" s="17" t="str">
        <f aca="false">IFERROR(INDEX('Evidence Pulls'!$H$6:$H$125,MATCH($J212,'Evidence Pulls'!$A$6:$A$125,0)),"")</f>
        <v/>
      </c>
      <c r="R212" s="17" t="str">
        <f aca="false">IFERROR(INDEX('Evidence Pulls'!$Q$6:$Q$125,MATCH($J212,'Evidence Pulls'!$A$6:$A$125,0)),"")</f>
        <v/>
      </c>
      <c r="S212" s="17" t="str">
        <f aca="false">IF(L212&lt;&gt;"",L212,IF(K212="","Not assessed",IF(N(O212)&gt;=3,"Demonstrated","Gap - remediate")))</f>
        <v>Not assessed</v>
      </c>
      <c r="T212" s="17" t="str">
        <f aca="false">IF(J212="","No evidence pull assigned",IF(COUNTIF('Evidence Pulls'!$A$6:$A$125,J212)=0,"Pull ID not on Evidence Pulls sheet",IF(K212="","Not graded",IF(AND(G212="MANDATORY",L212="Gap - recommend tailoring"),"INVALID: safety-mandatory, not tailorable",IF(OR(P212="",P212=0),"NO NAMED EXECUTOR",IF(AND(H212="Full",IFERROR(INDEX('Evidence Pulls'!$C$6:$C$125,MATCH($J212,'Evidence Pulls'!$A$6:$A$125,0)),"")&lt;&gt;"Artifact",N(O212)&gt;=3,N(IFERROR(INDEX('Evidence Pulls'!$K$6:$K$125,MATCH($J212,'Evidence Pulls'!$A$6:$A$125,0)),""))=0),"Operating claimed with no sample",IF(AND(N(O212)&gt;=3,P212=1),"Operating rests on one individual",IF(AND(L212&lt;&gt;"",N212=""),"Override with no rationale in column N",IF(AND(G212="MANDATORY",N(O212)&lt;3),"SAFETY GATE: below Operating","OK")))))))))</f>
        <v>No evidence pull assigned</v>
      </c>
    </row>
    <row r="213" customFormat="false" ht="15" hidden="false" customHeight="false" outlineLevel="0" collapsed="false">
      <c r="A213" s="18" t="s">
        <v>492</v>
      </c>
      <c r="B213" s="18" t="s">
        <v>481</v>
      </c>
      <c r="C213" s="18" t="s">
        <v>487</v>
      </c>
      <c r="D213" s="18" t="s">
        <v>488</v>
      </c>
      <c r="E213" s="18" t="s">
        <v>208</v>
      </c>
      <c r="F213" s="18"/>
      <c r="G213" s="19" t="s">
        <v>131</v>
      </c>
      <c r="H213" s="19" t="s">
        <v>132</v>
      </c>
      <c r="I213" s="18" t="s">
        <v>484</v>
      </c>
      <c r="J213" s="16"/>
      <c r="K213" s="16"/>
      <c r="L213" s="16"/>
      <c r="M213" s="16"/>
      <c r="N213" s="16"/>
      <c r="O213" s="17" t="str">
        <f aca="false">IFERROR(INDEX(Lists!$B$3:$B$7,MATCH(K213,Lists!$A$3:$A$7,0)),"")</f>
        <v/>
      </c>
      <c r="P213" s="17" t="str">
        <f aca="false">IFERROR(INDEX('Evidence Pulls'!$P$6:$P$125,MATCH($J213,'Evidence Pulls'!$A$6:$A$125,0)),"")</f>
        <v/>
      </c>
      <c r="Q213" s="17" t="str">
        <f aca="false">IFERROR(INDEX('Evidence Pulls'!$H$6:$H$125,MATCH($J213,'Evidence Pulls'!$A$6:$A$125,0)),"")</f>
        <v/>
      </c>
      <c r="R213" s="17" t="str">
        <f aca="false">IFERROR(INDEX('Evidence Pulls'!$Q$6:$Q$125,MATCH($J213,'Evidence Pulls'!$A$6:$A$125,0)),"")</f>
        <v/>
      </c>
      <c r="S213" s="17" t="str">
        <f aca="false">IF(L213&lt;&gt;"",L213,IF(K213="","Not assessed",IF(N(O213)&gt;=3,"Demonstrated","Gap - remediate")))</f>
        <v>Not assessed</v>
      </c>
      <c r="T213" s="17" t="str">
        <f aca="false">IF(J213="","No evidence pull assigned",IF(COUNTIF('Evidence Pulls'!$A$6:$A$125,J213)=0,"Pull ID not on Evidence Pulls sheet",IF(K213="","Not graded",IF(AND(G213="MANDATORY",L213="Gap - recommend tailoring"),"INVALID: safety-mandatory, not tailorable",IF(OR(P213="",P213=0),"NO NAMED EXECUTOR",IF(AND(H213="Full",IFERROR(INDEX('Evidence Pulls'!$C$6:$C$125,MATCH($J213,'Evidence Pulls'!$A$6:$A$125,0)),"")&lt;&gt;"Artifact",N(O213)&gt;=3,N(IFERROR(INDEX('Evidence Pulls'!$K$6:$K$125,MATCH($J213,'Evidence Pulls'!$A$6:$A$125,0)),""))=0),"Operating claimed with no sample",IF(AND(N(O213)&gt;=3,P213=1),"Operating rests on one individual",IF(AND(L213&lt;&gt;"",N213=""),"Override with no rationale in column N",IF(AND(G213="MANDATORY",N(O213)&lt;3),"SAFETY GATE: below Operating","OK")))))))))</f>
        <v>No evidence pull assigned</v>
      </c>
    </row>
    <row r="214" customFormat="false" ht="15" hidden="false" customHeight="false" outlineLevel="0" collapsed="false">
      <c r="A214" s="14" t="s">
        <v>493</v>
      </c>
      <c r="B214" s="14" t="s">
        <v>481</v>
      </c>
      <c r="C214" s="14" t="s">
        <v>487</v>
      </c>
      <c r="D214" s="14" t="s">
        <v>488</v>
      </c>
      <c r="E214" s="14" t="s">
        <v>210</v>
      </c>
      <c r="F214" s="15"/>
      <c r="G214" s="14"/>
      <c r="H214" s="14" t="s">
        <v>127</v>
      </c>
      <c r="I214" s="14" t="s">
        <v>484</v>
      </c>
      <c r="J214" s="16"/>
      <c r="K214" s="16"/>
      <c r="L214" s="16"/>
      <c r="M214" s="16"/>
      <c r="N214" s="16"/>
      <c r="O214" s="17" t="str">
        <f aca="false">IFERROR(INDEX(Lists!$B$3:$B$7,MATCH(K214,Lists!$A$3:$A$7,0)),"")</f>
        <v/>
      </c>
      <c r="P214" s="17" t="str">
        <f aca="false">IFERROR(INDEX('Evidence Pulls'!$P$6:$P$125,MATCH($J214,'Evidence Pulls'!$A$6:$A$125,0)),"")</f>
        <v/>
      </c>
      <c r="Q214" s="17" t="str">
        <f aca="false">IFERROR(INDEX('Evidence Pulls'!$H$6:$H$125,MATCH($J214,'Evidence Pulls'!$A$6:$A$125,0)),"")</f>
        <v/>
      </c>
      <c r="R214" s="17" t="str">
        <f aca="false">IFERROR(INDEX('Evidence Pulls'!$Q$6:$Q$125,MATCH($J214,'Evidence Pulls'!$A$6:$A$125,0)),"")</f>
        <v/>
      </c>
      <c r="S214" s="17" t="str">
        <f aca="false">IF(L214&lt;&gt;"",L214,IF(K214="","Not assessed",IF(N(O214)&gt;=3,"Demonstrated","Gap - remediate")))</f>
        <v>Not assessed</v>
      </c>
      <c r="T214" s="17" t="str">
        <f aca="false">IF(J214="","No evidence pull assigned",IF(COUNTIF('Evidence Pulls'!$A$6:$A$125,J214)=0,"Pull ID not on Evidence Pulls sheet",IF(K214="","Not graded",IF(AND(G214="MANDATORY",L214="Gap - recommend tailoring"),"INVALID: safety-mandatory, not tailorable",IF(OR(P214="",P214=0),"NO NAMED EXECUTOR",IF(AND(H214="Full",IFERROR(INDEX('Evidence Pulls'!$C$6:$C$125,MATCH($J214,'Evidence Pulls'!$A$6:$A$125,0)),"")&lt;&gt;"Artifact",N(O214)&gt;=3,N(IFERROR(INDEX('Evidence Pulls'!$K$6:$K$125,MATCH($J214,'Evidence Pulls'!$A$6:$A$125,0)),""))=0),"Operating claimed with no sample",IF(AND(N(O214)&gt;=3,P214=1),"Operating rests on one individual",IF(AND(L214&lt;&gt;"",N214=""),"Override with no rationale in column N",IF(AND(G214="MANDATORY",N(O214)&lt;3),"SAFETY GATE: below Operating","OK")))))))))</f>
        <v>No evidence pull assigned</v>
      </c>
    </row>
    <row r="215" customFormat="false" ht="15" hidden="false" customHeight="false" outlineLevel="0" collapsed="false">
      <c r="A215" s="14" t="s">
        <v>494</v>
      </c>
      <c r="B215" s="14" t="s">
        <v>481</v>
      </c>
      <c r="C215" s="14" t="s">
        <v>487</v>
      </c>
      <c r="D215" s="14" t="s">
        <v>488</v>
      </c>
      <c r="E215" s="14" t="s">
        <v>495</v>
      </c>
      <c r="F215" s="15"/>
      <c r="G215" s="14"/>
      <c r="H215" s="14" t="s">
        <v>127</v>
      </c>
      <c r="I215" s="14" t="s">
        <v>484</v>
      </c>
      <c r="J215" s="16"/>
      <c r="K215" s="16"/>
      <c r="L215" s="16"/>
      <c r="M215" s="16"/>
      <c r="N215" s="16"/>
      <c r="O215" s="17" t="str">
        <f aca="false">IFERROR(INDEX(Lists!$B$3:$B$7,MATCH(K215,Lists!$A$3:$A$7,0)),"")</f>
        <v/>
      </c>
      <c r="P215" s="17" t="str">
        <f aca="false">IFERROR(INDEX('Evidence Pulls'!$P$6:$P$125,MATCH($J215,'Evidence Pulls'!$A$6:$A$125,0)),"")</f>
        <v/>
      </c>
      <c r="Q215" s="17" t="str">
        <f aca="false">IFERROR(INDEX('Evidence Pulls'!$H$6:$H$125,MATCH($J215,'Evidence Pulls'!$A$6:$A$125,0)),"")</f>
        <v/>
      </c>
      <c r="R215" s="17" t="str">
        <f aca="false">IFERROR(INDEX('Evidence Pulls'!$Q$6:$Q$125,MATCH($J215,'Evidence Pulls'!$A$6:$A$125,0)),"")</f>
        <v/>
      </c>
      <c r="S215" s="17" t="str">
        <f aca="false">IF(L215&lt;&gt;"",L215,IF(K215="","Not assessed",IF(N(O215)&gt;=3,"Demonstrated","Gap - remediate")))</f>
        <v>Not assessed</v>
      </c>
      <c r="T215" s="17" t="str">
        <f aca="false">IF(J215="","No evidence pull assigned",IF(COUNTIF('Evidence Pulls'!$A$6:$A$125,J215)=0,"Pull ID not on Evidence Pulls sheet",IF(K215="","Not graded",IF(AND(G215="MANDATORY",L215="Gap - recommend tailoring"),"INVALID: safety-mandatory, not tailorable",IF(OR(P215="",P215=0),"NO NAMED EXECUTOR",IF(AND(H215="Full",IFERROR(INDEX('Evidence Pulls'!$C$6:$C$125,MATCH($J215,'Evidence Pulls'!$A$6:$A$125,0)),"")&lt;&gt;"Artifact",N(O215)&gt;=3,N(IFERROR(INDEX('Evidence Pulls'!$K$6:$K$125,MATCH($J215,'Evidence Pulls'!$A$6:$A$125,0)),""))=0),"Operating claimed with no sample",IF(AND(N(O215)&gt;=3,P215=1),"Operating rests on one individual",IF(AND(L215&lt;&gt;"",N215=""),"Override with no rationale in column N",IF(AND(G215="MANDATORY",N(O215)&lt;3),"SAFETY GATE: below Operating","OK")))))))))</f>
        <v>No evidence pull assigned</v>
      </c>
    </row>
    <row r="216" customFormat="false" ht="15" hidden="false" customHeight="false" outlineLevel="0" collapsed="false">
      <c r="A216" s="14" t="s">
        <v>496</v>
      </c>
      <c r="B216" s="14" t="s">
        <v>481</v>
      </c>
      <c r="C216" s="14" t="s">
        <v>487</v>
      </c>
      <c r="D216" s="14" t="s">
        <v>488</v>
      </c>
      <c r="E216" s="14" t="s">
        <v>497</v>
      </c>
      <c r="F216" s="15"/>
      <c r="G216" s="14"/>
      <c r="H216" s="14" t="s">
        <v>127</v>
      </c>
      <c r="I216" s="14" t="s">
        <v>484</v>
      </c>
      <c r="J216" s="16"/>
      <c r="K216" s="16"/>
      <c r="L216" s="16"/>
      <c r="M216" s="16"/>
      <c r="N216" s="16"/>
      <c r="O216" s="17" t="str">
        <f aca="false">IFERROR(INDEX(Lists!$B$3:$B$7,MATCH(K216,Lists!$A$3:$A$7,0)),"")</f>
        <v/>
      </c>
      <c r="P216" s="17" t="str">
        <f aca="false">IFERROR(INDEX('Evidence Pulls'!$P$6:$P$125,MATCH($J216,'Evidence Pulls'!$A$6:$A$125,0)),"")</f>
        <v/>
      </c>
      <c r="Q216" s="17" t="str">
        <f aca="false">IFERROR(INDEX('Evidence Pulls'!$H$6:$H$125,MATCH($J216,'Evidence Pulls'!$A$6:$A$125,0)),"")</f>
        <v/>
      </c>
      <c r="R216" s="17" t="str">
        <f aca="false">IFERROR(INDEX('Evidence Pulls'!$Q$6:$Q$125,MATCH($J216,'Evidence Pulls'!$A$6:$A$125,0)),"")</f>
        <v/>
      </c>
      <c r="S216" s="17" t="str">
        <f aca="false">IF(L216&lt;&gt;"",L216,IF(K216="","Not assessed",IF(N(O216)&gt;=3,"Demonstrated","Gap - remediate")))</f>
        <v>Not assessed</v>
      </c>
      <c r="T216" s="17" t="str">
        <f aca="false">IF(J216="","No evidence pull assigned",IF(COUNTIF('Evidence Pulls'!$A$6:$A$125,J216)=0,"Pull ID not on Evidence Pulls sheet",IF(K216="","Not graded",IF(AND(G216="MANDATORY",L216="Gap - recommend tailoring"),"INVALID: safety-mandatory, not tailorable",IF(OR(P216="",P216=0),"NO NAMED EXECUTOR",IF(AND(H216="Full",IFERROR(INDEX('Evidence Pulls'!$C$6:$C$125,MATCH($J216,'Evidence Pulls'!$A$6:$A$125,0)),"")&lt;&gt;"Artifact",N(O216)&gt;=3,N(IFERROR(INDEX('Evidence Pulls'!$K$6:$K$125,MATCH($J216,'Evidence Pulls'!$A$6:$A$125,0)),""))=0),"Operating claimed with no sample",IF(AND(N(O216)&gt;=3,P216=1),"Operating rests on one individual",IF(AND(L216&lt;&gt;"",N216=""),"Override with no rationale in column N",IF(AND(G216="MANDATORY",N(O216)&lt;3),"SAFETY GATE: below Operating","OK")))))))))</f>
        <v>No evidence pull assigned</v>
      </c>
    </row>
    <row r="217" customFormat="false" ht="15" hidden="false" customHeight="false" outlineLevel="0" collapsed="false">
      <c r="A217" s="14" t="s">
        <v>498</v>
      </c>
      <c r="B217" s="14" t="s">
        <v>481</v>
      </c>
      <c r="C217" s="14" t="s">
        <v>487</v>
      </c>
      <c r="D217" s="14" t="s">
        <v>488</v>
      </c>
      <c r="E217" s="14" t="s">
        <v>499</v>
      </c>
      <c r="F217" s="15"/>
      <c r="G217" s="14"/>
      <c r="H217" s="14" t="s">
        <v>127</v>
      </c>
      <c r="I217" s="14" t="s">
        <v>484</v>
      </c>
      <c r="J217" s="16"/>
      <c r="K217" s="16"/>
      <c r="L217" s="16"/>
      <c r="M217" s="16"/>
      <c r="N217" s="16"/>
      <c r="O217" s="17" t="str">
        <f aca="false">IFERROR(INDEX(Lists!$B$3:$B$7,MATCH(K217,Lists!$A$3:$A$7,0)),"")</f>
        <v/>
      </c>
      <c r="P217" s="17" t="str">
        <f aca="false">IFERROR(INDEX('Evidence Pulls'!$P$6:$P$125,MATCH($J217,'Evidence Pulls'!$A$6:$A$125,0)),"")</f>
        <v/>
      </c>
      <c r="Q217" s="17" t="str">
        <f aca="false">IFERROR(INDEX('Evidence Pulls'!$H$6:$H$125,MATCH($J217,'Evidence Pulls'!$A$6:$A$125,0)),"")</f>
        <v/>
      </c>
      <c r="R217" s="17" t="str">
        <f aca="false">IFERROR(INDEX('Evidence Pulls'!$Q$6:$Q$125,MATCH($J217,'Evidence Pulls'!$A$6:$A$125,0)),"")</f>
        <v/>
      </c>
      <c r="S217" s="17" t="str">
        <f aca="false">IF(L217&lt;&gt;"",L217,IF(K217="","Not assessed",IF(N(O217)&gt;=3,"Demonstrated","Gap - remediate")))</f>
        <v>Not assessed</v>
      </c>
      <c r="T217" s="17" t="str">
        <f aca="false">IF(J217="","No evidence pull assigned",IF(COUNTIF('Evidence Pulls'!$A$6:$A$125,J217)=0,"Pull ID not on Evidence Pulls sheet",IF(K217="","Not graded",IF(AND(G217="MANDATORY",L217="Gap - recommend tailoring"),"INVALID: safety-mandatory, not tailorable",IF(OR(P217="",P217=0),"NO NAMED EXECUTOR",IF(AND(H217="Full",IFERROR(INDEX('Evidence Pulls'!$C$6:$C$125,MATCH($J217,'Evidence Pulls'!$A$6:$A$125,0)),"")&lt;&gt;"Artifact",N(O217)&gt;=3,N(IFERROR(INDEX('Evidence Pulls'!$K$6:$K$125,MATCH($J217,'Evidence Pulls'!$A$6:$A$125,0)),""))=0),"Operating claimed with no sample",IF(AND(N(O217)&gt;=3,P217=1),"Operating rests on one individual",IF(AND(L217&lt;&gt;"",N217=""),"Override with no rationale in column N",IF(AND(G217="MANDATORY",N(O217)&lt;3),"SAFETY GATE: below Operating","OK")))))))))</f>
        <v>No evidence pull assigned</v>
      </c>
    </row>
    <row r="218" customFormat="false" ht="15" hidden="false" customHeight="false" outlineLevel="0" collapsed="false">
      <c r="A218" s="14" t="s">
        <v>500</v>
      </c>
      <c r="B218" s="14" t="s">
        <v>481</v>
      </c>
      <c r="C218" s="14" t="s">
        <v>487</v>
      </c>
      <c r="D218" s="14" t="s">
        <v>488</v>
      </c>
      <c r="E218" s="14" t="s">
        <v>501</v>
      </c>
      <c r="F218" s="15"/>
      <c r="G218" s="14"/>
      <c r="H218" s="14" t="s">
        <v>127</v>
      </c>
      <c r="I218" s="14" t="s">
        <v>484</v>
      </c>
      <c r="J218" s="16"/>
      <c r="K218" s="16"/>
      <c r="L218" s="16"/>
      <c r="M218" s="16"/>
      <c r="N218" s="16"/>
      <c r="O218" s="17" t="str">
        <f aca="false">IFERROR(INDEX(Lists!$B$3:$B$7,MATCH(K218,Lists!$A$3:$A$7,0)),"")</f>
        <v/>
      </c>
      <c r="P218" s="17" t="str">
        <f aca="false">IFERROR(INDEX('Evidence Pulls'!$P$6:$P$125,MATCH($J218,'Evidence Pulls'!$A$6:$A$125,0)),"")</f>
        <v/>
      </c>
      <c r="Q218" s="17" t="str">
        <f aca="false">IFERROR(INDEX('Evidence Pulls'!$H$6:$H$125,MATCH($J218,'Evidence Pulls'!$A$6:$A$125,0)),"")</f>
        <v/>
      </c>
      <c r="R218" s="17" t="str">
        <f aca="false">IFERROR(INDEX('Evidence Pulls'!$Q$6:$Q$125,MATCH($J218,'Evidence Pulls'!$A$6:$A$125,0)),"")</f>
        <v/>
      </c>
      <c r="S218" s="17" t="str">
        <f aca="false">IF(L218&lt;&gt;"",L218,IF(K218="","Not assessed",IF(N(O218)&gt;=3,"Demonstrated","Gap - remediate")))</f>
        <v>Not assessed</v>
      </c>
      <c r="T218" s="17" t="str">
        <f aca="false">IF(J218="","No evidence pull assigned",IF(COUNTIF('Evidence Pulls'!$A$6:$A$125,J218)=0,"Pull ID not on Evidence Pulls sheet",IF(K218="","Not graded",IF(AND(G218="MANDATORY",L218="Gap - recommend tailoring"),"INVALID: safety-mandatory, not tailorable",IF(OR(P218="",P218=0),"NO NAMED EXECUTOR",IF(AND(H218="Full",IFERROR(INDEX('Evidence Pulls'!$C$6:$C$125,MATCH($J218,'Evidence Pulls'!$A$6:$A$125,0)),"")&lt;&gt;"Artifact",N(O218)&gt;=3,N(IFERROR(INDEX('Evidence Pulls'!$K$6:$K$125,MATCH($J218,'Evidence Pulls'!$A$6:$A$125,0)),""))=0),"Operating claimed with no sample",IF(AND(N(O218)&gt;=3,P218=1),"Operating rests on one individual",IF(AND(L218&lt;&gt;"",N218=""),"Override with no rationale in column N",IF(AND(G218="MANDATORY",N(O218)&lt;3),"SAFETY GATE: below Operating","OK")))))))))</f>
        <v>No evidence pull assigned</v>
      </c>
    </row>
    <row r="219" customFormat="false" ht="15" hidden="false" customHeight="false" outlineLevel="0" collapsed="false">
      <c r="A219" s="14" t="s">
        <v>502</v>
      </c>
      <c r="B219" s="14" t="s">
        <v>481</v>
      </c>
      <c r="C219" s="14" t="s">
        <v>487</v>
      </c>
      <c r="D219" s="14" t="s">
        <v>488</v>
      </c>
      <c r="E219" s="14" t="s">
        <v>503</v>
      </c>
      <c r="F219" s="15"/>
      <c r="G219" s="14"/>
      <c r="H219" s="14" t="s">
        <v>127</v>
      </c>
      <c r="I219" s="14" t="s">
        <v>484</v>
      </c>
      <c r="J219" s="16"/>
      <c r="K219" s="16"/>
      <c r="L219" s="16"/>
      <c r="M219" s="16"/>
      <c r="N219" s="16"/>
      <c r="O219" s="17" t="str">
        <f aca="false">IFERROR(INDEX(Lists!$B$3:$B$7,MATCH(K219,Lists!$A$3:$A$7,0)),"")</f>
        <v/>
      </c>
      <c r="P219" s="17" t="str">
        <f aca="false">IFERROR(INDEX('Evidence Pulls'!$P$6:$P$125,MATCH($J219,'Evidence Pulls'!$A$6:$A$125,0)),"")</f>
        <v/>
      </c>
      <c r="Q219" s="17" t="str">
        <f aca="false">IFERROR(INDEX('Evidence Pulls'!$H$6:$H$125,MATCH($J219,'Evidence Pulls'!$A$6:$A$125,0)),"")</f>
        <v/>
      </c>
      <c r="R219" s="17" t="str">
        <f aca="false">IFERROR(INDEX('Evidence Pulls'!$Q$6:$Q$125,MATCH($J219,'Evidence Pulls'!$A$6:$A$125,0)),"")</f>
        <v/>
      </c>
      <c r="S219" s="17" t="str">
        <f aca="false">IF(L219&lt;&gt;"",L219,IF(K219="","Not assessed",IF(N(O219)&gt;=3,"Demonstrated","Gap - remediate")))</f>
        <v>Not assessed</v>
      </c>
      <c r="T219" s="17" t="str">
        <f aca="false">IF(J219="","No evidence pull assigned",IF(COUNTIF('Evidence Pulls'!$A$6:$A$125,J219)=0,"Pull ID not on Evidence Pulls sheet",IF(K219="","Not graded",IF(AND(G219="MANDATORY",L219="Gap - recommend tailoring"),"INVALID: safety-mandatory, not tailorable",IF(OR(P219="",P219=0),"NO NAMED EXECUTOR",IF(AND(H219="Full",IFERROR(INDEX('Evidence Pulls'!$C$6:$C$125,MATCH($J219,'Evidence Pulls'!$A$6:$A$125,0)),"")&lt;&gt;"Artifact",N(O219)&gt;=3,N(IFERROR(INDEX('Evidence Pulls'!$K$6:$K$125,MATCH($J219,'Evidence Pulls'!$A$6:$A$125,0)),""))=0),"Operating claimed with no sample",IF(AND(N(O219)&gt;=3,P219=1),"Operating rests on one individual",IF(AND(L219&lt;&gt;"",N219=""),"Override with no rationale in column N",IF(AND(G219="MANDATORY",N(O219)&lt;3),"SAFETY GATE: below Operating","OK")))))))))</f>
        <v>No evidence pull assigned</v>
      </c>
    </row>
    <row r="220" customFormat="false" ht="15" hidden="false" customHeight="false" outlineLevel="0" collapsed="false">
      <c r="A220" s="18" t="s">
        <v>504</v>
      </c>
      <c r="B220" s="18" t="s">
        <v>481</v>
      </c>
      <c r="C220" s="18" t="s">
        <v>487</v>
      </c>
      <c r="D220" s="18" t="s">
        <v>488</v>
      </c>
      <c r="E220" s="18" t="s">
        <v>505</v>
      </c>
      <c r="F220" s="18"/>
      <c r="G220" s="19" t="s">
        <v>131</v>
      </c>
      <c r="H220" s="19" t="s">
        <v>132</v>
      </c>
      <c r="I220" s="18" t="s">
        <v>484</v>
      </c>
      <c r="J220" s="16"/>
      <c r="K220" s="16"/>
      <c r="L220" s="16"/>
      <c r="M220" s="16"/>
      <c r="N220" s="16"/>
      <c r="O220" s="17" t="str">
        <f aca="false">IFERROR(INDEX(Lists!$B$3:$B$7,MATCH(K220,Lists!$A$3:$A$7,0)),"")</f>
        <v/>
      </c>
      <c r="P220" s="17" t="str">
        <f aca="false">IFERROR(INDEX('Evidence Pulls'!$P$6:$P$125,MATCH($J220,'Evidence Pulls'!$A$6:$A$125,0)),"")</f>
        <v/>
      </c>
      <c r="Q220" s="17" t="str">
        <f aca="false">IFERROR(INDEX('Evidence Pulls'!$H$6:$H$125,MATCH($J220,'Evidence Pulls'!$A$6:$A$125,0)),"")</f>
        <v/>
      </c>
      <c r="R220" s="17" t="str">
        <f aca="false">IFERROR(INDEX('Evidence Pulls'!$Q$6:$Q$125,MATCH($J220,'Evidence Pulls'!$A$6:$A$125,0)),"")</f>
        <v/>
      </c>
      <c r="S220" s="17" t="str">
        <f aca="false">IF(L220&lt;&gt;"",L220,IF(K220="","Not assessed",IF(N(O220)&gt;=3,"Demonstrated","Gap - remediate")))</f>
        <v>Not assessed</v>
      </c>
      <c r="T220" s="17" t="str">
        <f aca="false">IF(J220="","No evidence pull assigned",IF(COUNTIF('Evidence Pulls'!$A$6:$A$125,J220)=0,"Pull ID not on Evidence Pulls sheet",IF(K220="","Not graded",IF(AND(G220="MANDATORY",L220="Gap - recommend tailoring"),"INVALID: safety-mandatory, not tailorable",IF(OR(P220="",P220=0),"NO NAMED EXECUTOR",IF(AND(H220="Full",IFERROR(INDEX('Evidence Pulls'!$C$6:$C$125,MATCH($J220,'Evidence Pulls'!$A$6:$A$125,0)),"")&lt;&gt;"Artifact",N(O220)&gt;=3,N(IFERROR(INDEX('Evidence Pulls'!$K$6:$K$125,MATCH($J220,'Evidence Pulls'!$A$6:$A$125,0)),""))=0),"Operating claimed with no sample",IF(AND(N(O220)&gt;=3,P220=1),"Operating rests on one individual",IF(AND(L220&lt;&gt;"",N220=""),"Override with no rationale in column N",IF(AND(G220="MANDATORY",N(O220)&lt;3),"SAFETY GATE: below Operating","OK")))))))))</f>
        <v>No evidence pull assigned</v>
      </c>
    </row>
    <row r="221" customFormat="false" ht="15" hidden="false" customHeight="false" outlineLevel="0" collapsed="false">
      <c r="A221" s="14" t="s">
        <v>506</v>
      </c>
      <c r="B221" s="14" t="s">
        <v>481</v>
      </c>
      <c r="C221" s="14" t="s">
        <v>487</v>
      </c>
      <c r="D221" s="14" t="s">
        <v>488</v>
      </c>
      <c r="E221" s="14" t="s">
        <v>446</v>
      </c>
      <c r="F221" s="15"/>
      <c r="G221" s="14"/>
      <c r="H221" s="14" t="s">
        <v>127</v>
      </c>
      <c r="I221" s="14" t="s">
        <v>484</v>
      </c>
      <c r="J221" s="16"/>
      <c r="K221" s="16"/>
      <c r="L221" s="16"/>
      <c r="M221" s="16"/>
      <c r="N221" s="16"/>
      <c r="O221" s="17" t="str">
        <f aca="false">IFERROR(INDEX(Lists!$B$3:$B$7,MATCH(K221,Lists!$A$3:$A$7,0)),"")</f>
        <v/>
      </c>
      <c r="P221" s="17" t="str">
        <f aca="false">IFERROR(INDEX('Evidence Pulls'!$P$6:$P$125,MATCH($J221,'Evidence Pulls'!$A$6:$A$125,0)),"")</f>
        <v/>
      </c>
      <c r="Q221" s="17" t="str">
        <f aca="false">IFERROR(INDEX('Evidence Pulls'!$H$6:$H$125,MATCH($J221,'Evidence Pulls'!$A$6:$A$125,0)),"")</f>
        <v/>
      </c>
      <c r="R221" s="17" t="str">
        <f aca="false">IFERROR(INDEX('Evidence Pulls'!$Q$6:$Q$125,MATCH($J221,'Evidence Pulls'!$A$6:$A$125,0)),"")</f>
        <v/>
      </c>
      <c r="S221" s="17" t="str">
        <f aca="false">IF(L221&lt;&gt;"",L221,IF(K221="","Not assessed",IF(N(O221)&gt;=3,"Demonstrated","Gap - remediate")))</f>
        <v>Not assessed</v>
      </c>
      <c r="T221" s="17" t="str">
        <f aca="false">IF(J221="","No evidence pull assigned",IF(COUNTIF('Evidence Pulls'!$A$6:$A$125,J221)=0,"Pull ID not on Evidence Pulls sheet",IF(K221="","Not graded",IF(AND(G221="MANDATORY",L221="Gap - recommend tailoring"),"INVALID: safety-mandatory, not tailorable",IF(OR(P221="",P221=0),"NO NAMED EXECUTOR",IF(AND(H221="Full",IFERROR(INDEX('Evidence Pulls'!$C$6:$C$125,MATCH($J221,'Evidence Pulls'!$A$6:$A$125,0)),"")&lt;&gt;"Artifact",N(O221)&gt;=3,N(IFERROR(INDEX('Evidence Pulls'!$K$6:$K$125,MATCH($J221,'Evidence Pulls'!$A$6:$A$125,0)),""))=0),"Operating claimed with no sample",IF(AND(N(O221)&gt;=3,P221=1),"Operating rests on one individual",IF(AND(L221&lt;&gt;"",N221=""),"Override with no rationale in column N",IF(AND(G221="MANDATORY",N(O221)&lt;3),"SAFETY GATE: below Operating","OK")))))))))</f>
        <v>No evidence pull assigned</v>
      </c>
    </row>
    <row r="222" customFormat="false" ht="15" hidden="false" customHeight="false" outlineLevel="0" collapsed="false">
      <c r="A222" s="14" t="s">
        <v>507</v>
      </c>
      <c r="B222" s="14" t="s">
        <v>481</v>
      </c>
      <c r="C222" s="14" t="s">
        <v>487</v>
      </c>
      <c r="D222" s="14" t="s">
        <v>488</v>
      </c>
      <c r="E222" s="14" t="s">
        <v>448</v>
      </c>
      <c r="F222" s="15"/>
      <c r="G222" s="14"/>
      <c r="H222" s="14" t="s">
        <v>127</v>
      </c>
      <c r="I222" s="14" t="s">
        <v>484</v>
      </c>
      <c r="J222" s="16"/>
      <c r="K222" s="16"/>
      <c r="L222" s="16"/>
      <c r="M222" s="16"/>
      <c r="N222" s="16"/>
      <c r="O222" s="17" t="str">
        <f aca="false">IFERROR(INDEX(Lists!$B$3:$B$7,MATCH(K222,Lists!$A$3:$A$7,0)),"")</f>
        <v/>
      </c>
      <c r="P222" s="17" t="str">
        <f aca="false">IFERROR(INDEX('Evidence Pulls'!$P$6:$P$125,MATCH($J222,'Evidence Pulls'!$A$6:$A$125,0)),"")</f>
        <v/>
      </c>
      <c r="Q222" s="17" t="str">
        <f aca="false">IFERROR(INDEX('Evidence Pulls'!$H$6:$H$125,MATCH($J222,'Evidence Pulls'!$A$6:$A$125,0)),"")</f>
        <v/>
      </c>
      <c r="R222" s="17" t="str">
        <f aca="false">IFERROR(INDEX('Evidence Pulls'!$Q$6:$Q$125,MATCH($J222,'Evidence Pulls'!$A$6:$A$125,0)),"")</f>
        <v/>
      </c>
      <c r="S222" s="17" t="str">
        <f aca="false">IF(L222&lt;&gt;"",L222,IF(K222="","Not assessed",IF(N(O222)&gt;=3,"Demonstrated","Gap - remediate")))</f>
        <v>Not assessed</v>
      </c>
      <c r="T222" s="17" t="str">
        <f aca="false">IF(J222="","No evidence pull assigned",IF(COUNTIF('Evidence Pulls'!$A$6:$A$125,J222)=0,"Pull ID not on Evidence Pulls sheet",IF(K222="","Not graded",IF(AND(G222="MANDATORY",L222="Gap - recommend tailoring"),"INVALID: safety-mandatory, not tailorable",IF(OR(P222="",P222=0),"NO NAMED EXECUTOR",IF(AND(H222="Full",IFERROR(INDEX('Evidence Pulls'!$C$6:$C$125,MATCH($J222,'Evidence Pulls'!$A$6:$A$125,0)),"")&lt;&gt;"Artifact",N(O222)&gt;=3,N(IFERROR(INDEX('Evidence Pulls'!$K$6:$K$125,MATCH($J222,'Evidence Pulls'!$A$6:$A$125,0)),""))=0),"Operating claimed with no sample",IF(AND(N(O222)&gt;=3,P222=1),"Operating rests on one individual",IF(AND(L222&lt;&gt;"",N222=""),"Override with no rationale in column N",IF(AND(G222="MANDATORY",N(O222)&lt;3),"SAFETY GATE: below Operating","OK")))))))))</f>
        <v>No evidence pull assigned</v>
      </c>
    </row>
    <row r="223" customFormat="false" ht="15" hidden="false" customHeight="false" outlineLevel="0" collapsed="false">
      <c r="A223" s="18" t="s">
        <v>508</v>
      </c>
      <c r="B223" s="18" t="s">
        <v>481</v>
      </c>
      <c r="C223" s="18" t="s">
        <v>487</v>
      </c>
      <c r="D223" s="18" t="s">
        <v>488</v>
      </c>
      <c r="E223" s="18" t="s">
        <v>450</v>
      </c>
      <c r="F223" s="18"/>
      <c r="G223" s="19" t="s">
        <v>131</v>
      </c>
      <c r="H223" s="19" t="s">
        <v>132</v>
      </c>
      <c r="I223" s="18" t="s">
        <v>484</v>
      </c>
      <c r="J223" s="16"/>
      <c r="K223" s="16"/>
      <c r="L223" s="16"/>
      <c r="M223" s="16"/>
      <c r="N223" s="16"/>
      <c r="O223" s="17" t="str">
        <f aca="false">IFERROR(INDEX(Lists!$B$3:$B$7,MATCH(K223,Lists!$A$3:$A$7,0)),"")</f>
        <v/>
      </c>
      <c r="P223" s="17" t="str">
        <f aca="false">IFERROR(INDEX('Evidence Pulls'!$P$6:$P$125,MATCH($J223,'Evidence Pulls'!$A$6:$A$125,0)),"")</f>
        <v/>
      </c>
      <c r="Q223" s="17" t="str">
        <f aca="false">IFERROR(INDEX('Evidence Pulls'!$H$6:$H$125,MATCH($J223,'Evidence Pulls'!$A$6:$A$125,0)),"")</f>
        <v/>
      </c>
      <c r="R223" s="17" t="str">
        <f aca="false">IFERROR(INDEX('Evidence Pulls'!$Q$6:$Q$125,MATCH($J223,'Evidence Pulls'!$A$6:$A$125,0)),"")</f>
        <v/>
      </c>
      <c r="S223" s="17" t="str">
        <f aca="false">IF(L223&lt;&gt;"",L223,IF(K223="","Not assessed",IF(N(O223)&gt;=3,"Demonstrated","Gap - remediate")))</f>
        <v>Not assessed</v>
      </c>
      <c r="T223" s="17" t="str">
        <f aca="false">IF(J223="","No evidence pull assigned",IF(COUNTIF('Evidence Pulls'!$A$6:$A$125,J223)=0,"Pull ID not on Evidence Pulls sheet",IF(K223="","Not graded",IF(AND(G223="MANDATORY",L223="Gap - recommend tailoring"),"INVALID: safety-mandatory, not tailorable",IF(OR(P223="",P223=0),"NO NAMED EXECUTOR",IF(AND(H223="Full",IFERROR(INDEX('Evidence Pulls'!$C$6:$C$125,MATCH($J223,'Evidence Pulls'!$A$6:$A$125,0)),"")&lt;&gt;"Artifact",N(O223)&gt;=3,N(IFERROR(INDEX('Evidence Pulls'!$K$6:$K$125,MATCH($J223,'Evidence Pulls'!$A$6:$A$125,0)),""))=0),"Operating claimed with no sample",IF(AND(N(O223)&gt;=3,P223=1),"Operating rests on one individual",IF(AND(L223&lt;&gt;"",N223=""),"Override with no rationale in column N",IF(AND(G223="MANDATORY",N(O223)&lt;3),"SAFETY GATE: below Operating","OK")))))))))</f>
        <v>No evidence pull assigned</v>
      </c>
    </row>
    <row r="224" customFormat="false" ht="15" hidden="false" customHeight="false" outlineLevel="0" collapsed="false">
      <c r="A224" s="14" t="s">
        <v>509</v>
      </c>
      <c r="B224" s="14" t="s">
        <v>481</v>
      </c>
      <c r="C224" s="14" t="s">
        <v>487</v>
      </c>
      <c r="D224" s="14" t="s">
        <v>488</v>
      </c>
      <c r="E224" s="14" t="s">
        <v>228</v>
      </c>
      <c r="F224" s="15"/>
      <c r="G224" s="14"/>
      <c r="H224" s="14" t="s">
        <v>127</v>
      </c>
      <c r="I224" s="14" t="s">
        <v>484</v>
      </c>
      <c r="J224" s="16"/>
      <c r="K224" s="16"/>
      <c r="L224" s="16"/>
      <c r="M224" s="16"/>
      <c r="N224" s="16"/>
      <c r="O224" s="17" t="str">
        <f aca="false">IFERROR(INDEX(Lists!$B$3:$B$7,MATCH(K224,Lists!$A$3:$A$7,0)),"")</f>
        <v/>
      </c>
      <c r="P224" s="17" t="str">
        <f aca="false">IFERROR(INDEX('Evidence Pulls'!$P$6:$P$125,MATCH($J224,'Evidence Pulls'!$A$6:$A$125,0)),"")</f>
        <v/>
      </c>
      <c r="Q224" s="17" t="str">
        <f aca="false">IFERROR(INDEX('Evidence Pulls'!$H$6:$H$125,MATCH($J224,'Evidence Pulls'!$A$6:$A$125,0)),"")</f>
        <v/>
      </c>
      <c r="R224" s="17" t="str">
        <f aca="false">IFERROR(INDEX('Evidence Pulls'!$Q$6:$Q$125,MATCH($J224,'Evidence Pulls'!$A$6:$A$125,0)),"")</f>
        <v/>
      </c>
      <c r="S224" s="17" t="str">
        <f aca="false">IF(L224&lt;&gt;"",L224,IF(K224="","Not assessed",IF(N(O224)&gt;=3,"Demonstrated","Gap - remediate")))</f>
        <v>Not assessed</v>
      </c>
      <c r="T224" s="17" t="str">
        <f aca="false">IF(J224="","No evidence pull assigned",IF(COUNTIF('Evidence Pulls'!$A$6:$A$125,J224)=0,"Pull ID not on Evidence Pulls sheet",IF(K224="","Not graded",IF(AND(G224="MANDATORY",L224="Gap - recommend tailoring"),"INVALID: safety-mandatory, not tailorable",IF(OR(P224="",P224=0),"NO NAMED EXECUTOR",IF(AND(H224="Full",IFERROR(INDEX('Evidence Pulls'!$C$6:$C$125,MATCH($J224,'Evidence Pulls'!$A$6:$A$125,0)),"")&lt;&gt;"Artifact",N(O224)&gt;=3,N(IFERROR(INDEX('Evidence Pulls'!$K$6:$K$125,MATCH($J224,'Evidence Pulls'!$A$6:$A$125,0)),""))=0),"Operating claimed with no sample",IF(AND(N(O224)&gt;=3,P224=1),"Operating rests on one individual",IF(AND(L224&lt;&gt;"",N224=""),"Override with no rationale in column N",IF(AND(G224="MANDATORY",N(O224)&lt;3),"SAFETY GATE: below Operating","OK")))))))))</f>
        <v>No evidence pull assigned</v>
      </c>
    </row>
    <row r="225" customFormat="false" ht="15" hidden="false" customHeight="false" outlineLevel="0" collapsed="false">
      <c r="A225" s="18" t="s">
        <v>510</v>
      </c>
      <c r="B225" s="18" t="s">
        <v>481</v>
      </c>
      <c r="C225" s="18" t="s">
        <v>487</v>
      </c>
      <c r="D225" s="18" t="s">
        <v>488</v>
      </c>
      <c r="E225" s="18" t="s">
        <v>511</v>
      </c>
      <c r="F225" s="18"/>
      <c r="G225" s="19" t="s">
        <v>131</v>
      </c>
      <c r="H225" s="19" t="s">
        <v>132</v>
      </c>
      <c r="I225" s="18" t="s">
        <v>484</v>
      </c>
      <c r="J225" s="16"/>
      <c r="K225" s="16"/>
      <c r="L225" s="16"/>
      <c r="M225" s="16"/>
      <c r="N225" s="16"/>
      <c r="O225" s="17" t="str">
        <f aca="false">IFERROR(INDEX(Lists!$B$3:$B$7,MATCH(K225,Lists!$A$3:$A$7,0)),"")</f>
        <v/>
      </c>
      <c r="P225" s="17" t="str">
        <f aca="false">IFERROR(INDEX('Evidence Pulls'!$P$6:$P$125,MATCH($J225,'Evidence Pulls'!$A$6:$A$125,0)),"")</f>
        <v/>
      </c>
      <c r="Q225" s="17" t="str">
        <f aca="false">IFERROR(INDEX('Evidence Pulls'!$H$6:$H$125,MATCH($J225,'Evidence Pulls'!$A$6:$A$125,0)),"")</f>
        <v/>
      </c>
      <c r="R225" s="17" t="str">
        <f aca="false">IFERROR(INDEX('Evidence Pulls'!$Q$6:$Q$125,MATCH($J225,'Evidence Pulls'!$A$6:$A$125,0)),"")</f>
        <v/>
      </c>
      <c r="S225" s="17" t="str">
        <f aca="false">IF(L225&lt;&gt;"",L225,IF(K225="","Not assessed",IF(N(O225)&gt;=3,"Demonstrated","Gap - remediate")))</f>
        <v>Not assessed</v>
      </c>
      <c r="T225" s="17" t="str">
        <f aca="false">IF(J225="","No evidence pull assigned",IF(COUNTIF('Evidence Pulls'!$A$6:$A$125,J225)=0,"Pull ID not on Evidence Pulls sheet",IF(K225="","Not graded",IF(AND(G225="MANDATORY",L225="Gap - recommend tailoring"),"INVALID: safety-mandatory, not tailorable",IF(OR(P225="",P225=0),"NO NAMED EXECUTOR",IF(AND(H225="Full",IFERROR(INDEX('Evidence Pulls'!$C$6:$C$125,MATCH($J225,'Evidence Pulls'!$A$6:$A$125,0)),"")&lt;&gt;"Artifact",N(O225)&gt;=3,N(IFERROR(INDEX('Evidence Pulls'!$K$6:$K$125,MATCH($J225,'Evidence Pulls'!$A$6:$A$125,0)),""))=0),"Operating claimed with no sample",IF(AND(N(O225)&gt;=3,P225=1),"Operating rests on one individual",IF(AND(L225&lt;&gt;"",N225=""),"Override with no rationale in column N",IF(AND(G225="MANDATORY",N(O225)&lt;3),"SAFETY GATE: below Operating","OK")))))))))</f>
        <v>No evidence pull assigned</v>
      </c>
    </row>
    <row r="226" customFormat="false" ht="15" hidden="false" customHeight="false" outlineLevel="0" collapsed="false">
      <c r="A226" s="14" t="s">
        <v>512</v>
      </c>
      <c r="B226" s="14" t="s">
        <v>481</v>
      </c>
      <c r="C226" s="14" t="s">
        <v>513</v>
      </c>
      <c r="D226" s="14" t="s">
        <v>514</v>
      </c>
      <c r="E226" s="14" t="s">
        <v>126</v>
      </c>
      <c r="F226" s="15"/>
      <c r="G226" s="14"/>
      <c r="H226" s="14" t="s">
        <v>127</v>
      </c>
      <c r="I226" s="14" t="s">
        <v>484</v>
      </c>
      <c r="J226" s="16"/>
      <c r="K226" s="16"/>
      <c r="L226" s="16"/>
      <c r="M226" s="16"/>
      <c r="N226" s="16"/>
      <c r="O226" s="17" t="str">
        <f aca="false">IFERROR(INDEX(Lists!$B$3:$B$7,MATCH(K226,Lists!$A$3:$A$7,0)),"")</f>
        <v/>
      </c>
      <c r="P226" s="17" t="str">
        <f aca="false">IFERROR(INDEX('Evidence Pulls'!$P$6:$P$125,MATCH($J226,'Evidence Pulls'!$A$6:$A$125,0)),"")</f>
        <v/>
      </c>
      <c r="Q226" s="17" t="str">
        <f aca="false">IFERROR(INDEX('Evidence Pulls'!$H$6:$H$125,MATCH($J226,'Evidence Pulls'!$A$6:$A$125,0)),"")</f>
        <v/>
      </c>
      <c r="R226" s="17" t="str">
        <f aca="false">IFERROR(INDEX('Evidence Pulls'!$Q$6:$Q$125,MATCH($J226,'Evidence Pulls'!$A$6:$A$125,0)),"")</f>
        <v/>
      </c>
      <c r="S226" s="17" t="str">
        <f aca="false">IF(L226&lt;&gt;"",L226,IF(K226="","Not assessed",IF(N(O226)&gt;=3,"Demonstrated","Gap - remediate")))</f>
        <v>Not assessed</v>
      </c>
      <c r="T226" s="17" t="str">
        <f aca="false">IF(J226="","No evidence pull assigned",IF(COUNTIF('Evidence Pulls'!$A$6:$A$125,J226)=0,"Pull ID not on Evidence Pulls sheet",IF(K226="","Not graded",IF(AND(G226="MANDATORY",L226="Gap - recommend tailoring"),"INVALID: safety-mandatory, not tailorable",IF(OR(P226="",P226=0),"NO NAMED EXECUTOR",IF(AND(H226="Full",IFERROR(INDEX('Evidence Pulls'!$C$6:$C$125,MATCH($J226,'Evidence Pulls'!$A$6:$A$125,0)),"")&lt;&gt;"Artifact",N(O226)&gt;=3,N(IFERROR(INDEX('Evidence Pulls'!$K$6:$K$125,MATCH($J226,'Evidence Pulls'!$A$6:$A$125,0)),""))=0),"Operating claimed with no sample",IF(AND(N(O226)&gt;=3,P226=1),"Operating rests on one individual",IF(AND(L226&lt;&gt;"",N226=""),"Override with no rationale in column N",IF(AND(G226="MANDATORY",N(O226)&lt;3),"SAFETY GATE: below Operating","OK")))))))))</f>
        <v>No evidence pull assigned</v>
      </c>
    </row>
    <row r="227" customFormat="false" ht="22.35" hidden="false" customHeight="false" outlineLevel="0" collapsed="false">
      <c r="A227" s="14" t="s">
        <v>515</v>
      </c>
      <c r="B227" s="14" t="s">
        <v>516</v>
      </c>
      <c r="C227" s="14" t="s">
        <v>517</v>
      </c>
      <c r="D227" s="14" t="s">
        <v>518</v>
      </c>
      <c r="E227" s="14" t="s">
        <v>141</v>
      </c>
      <c r="F227" s="15"/>
      <c r="G227" s="14"/>
      <c r="H227" s="14" t="s">
        <v>127</v>
      </c>
      <c r="I227" s="14" t="s">
        <v>484</v>
      </c>
      <c r="J227" s="16"/>
      <c r="K227" s="16"/>
      <c r="L227" s="16"/>
      <c r="M227" s="16"/>
      <c r="N227" s="16"/>
      <c r="O227" s="17" t="str">
        <f aca="false">IFERROR(INDEX(Lists!$B$3:$B$7,MATCH(K227,Lists!$A$3:$A$7,0)),"")</f>
        <v/>
      </c>
      <c r="P227" s="17" t="str">
        <f aca="false">IFERROR(INDEX('Evidence Pulls'!$P$6:$P$125,MATCH($J227,'Evidence Pulls'!$A$6:$A$125,0)),"")</f>
        <v/>
      </c>
      <c r="Q227" s="17" t="str">
        <f aca="false">IFERROR(INDEX('Evidence Pulls'!$H$6:$H$125,MATCH($J227,'Evidence Pulls'!$A$6:$A$125,0)),"")</f>
        <v/>
      </c>
      <c r="R227" s="17" t="str">
        <f aca="false">IFERROR(INDEX('Evidence Pulls'!$Q$6:$Q$125,MATCH($J227,'Evidence Pulls'!$A$6:$A$125,0)),"")</f>
        <v/>
      </c>
      <c r="S227" s="17" t="str">
        <f aca="false">IF(L227&lt;&gt;"",L227,IF(K227="","Not assessed",IF(N(O227)&gt;=3,"Demonstrated","Gap - remediate")))</f>
        <v>Not assessed</v>
      </c>
      <c r="T227" s="17" t="str">
        <f aca="false">IF(J227="","No evidence pull assigned",IF(COUNTIF('Evidence Pulls'!$A$6:$A$125,J227)=0,"Pull ID not on Evidence Pulls sheet",IF(K227="","Not graded",IF(AND(G227="MANDATORY",L227="Gap - recommend tailoring"),"INVALID: safety-mandatory, not tailorable",IF(OR(P227="",P227=0),"NO NAMED EXECUTOR",IF(AND(H227="Full",IFERROR(INDEX('Evidence Pulls'!$C$6:$C$125,MATCH($J227,'Evidence Pulls'!$A$6:$A$125,0)),"")&lt;&gt;"Artifact",N(O227)&gt;=3,N(IFERROR(INDEX('Evidence Pulls'!$K$6:$K$125,MATCH($J227,'Evidence Pulls'!$A$6:$A$125,0)),""))=0),"Operating claimed with no sample",IF(AND(N(O227)&gt;=3,P227=1),"Operating rests on one individual",IF(AND(L227&lt;&gt;"",N227=""),"Override with no rationale in column N",IF(AND(G227="MANDATORY",N(O227)&lt;3),"SAFETY GATE: below Operating","OK")))))))))</f>
        <v>No evidence pull assigned</v>
      </c>
    </row>
    <row r="228" customFormat="false" ht="22.35" hidden="false" customHeight="false" outlineLevel="0" collapsed="false">
      <c r="A228" s="14" t="s">
        <v>519</v>
      </c>
      <c r="B228" s="14" t="s">
        <v>516</v>
      </c>
      <c r="C228" s="14" t="s">
        <v>517</v>
      </c>
      <c r="D228" s="14" t="s">
        <v>518</v>
      </c>
      <c r="E228" s="14" t="s">
        <v>143</v>
      </c>
      <c r="F228" s="15"/>
      <c r="G228" s="14"/>
      <c r="H228" s="14" t="s">
        <v>127</v>
      </c>
      <c r="I228" s="14" t="s">
        <v>484</v>
      </c>
      <c r="J228" s="16"/>
      <c r="K228" s="16"/>
      <c r="L228" s="16"/>
      <c r="M228" s="16"/>
      <c r="N228" s="16"/>
      <c r="O228" s="17" t="str">
        <f aca="false">IFERROR(INDEX(Lists!$B$3:$B$7,MATCH(K228,Lists!$A$3:$A$7,0)),"")</f>
        <v/>
      </c>
      <c r="P228" s="17" t="str">
        <f aca="false">IFERROR(INDEX('Evidence Pulls'!$P$6:$P$125,MATCH($J228,'Evidence Pulls'!$A$6:$A$125,0)),"")</f>
        <v/>
      </c>
      <c r="Q228" s="17" t="str">
        <f aca="false">IFERROR(INDEX('Evidence Pulls'!$H$6:$H$125,MATCH($J228,'Evidence Pulls'!$A$6:$A$125,0)),"")</f>
        <v/>
      </c>
      <c r="R228" s="17" t="str">
        <f aca="false">IFERROR(INDEX('Evidence Pulls'!$Q$6:$Q$125,MATCH($J228,'Evidence Pulls'!$A$6:$A$125,0)),"")</f>
        <v/>
      </c>
      <c r="S228" s="17" t="str">
        <f aca="false">IF(L228&lt;&gt;"",L228,IF(K228="","Not assessed",IF(N(O228)&gt;=3,"Demonstrated","Gap - remediate")))</f>
        <v>Not assessed</v>
      </c>
      <c r="T228" s="17" t="str">
        <f aca="false">IF(J228="","No evidence pull assigned",IF(COUNTIF('Evidence Pulls'!$A$6:$A$125,J228)=0,"Pull ID not on Evidence Pulls sheet",IF(K228="","Not graded",IF(AND(G228="MANDATORY",L228="Gap - recommend tailoring"),"INVALID: safety-mandatory, not tailorable",IF(OR(P228="",P228=0),"NO NAMED EXECUTOR",IF(AND(H228="Full",IFERROR(INDEX('Evidence Pulls'!$C$6:$C$125,MATCH($J228,'Evidence Pulls'!$A$6:$A$125,0)),"")&lt;&gt;"Artifact",N(O228)&gt;=3,N(IFERROR(INDEX('Evidence Pulls'!$K$6:$K$125,MATCH($J228,'Evidence Pulls'!$A$6:$A$125,0)),""))=0),"Operating claimed with no sample",IF(AND(N(O228)&gt;=3,P228=1),"Operating rests on one individual",IF(AND(L228&lt;&gt;"",N228=""),"Override with no rationale in column N",IF(AND(G228="MANDATORY",N(O228)&lt;3),"SAFETY GATE: below Operating","OK")))))))))</f>
        <v>No evidence pull assigned</v>
      </c>
    </row>
    <row r="229" customFormat="false" ht="22.35" hidden="false" customHeight="false" outlineLevel="0" collapsed="false">
      <c r="A229" s="14" t="s">
        <v>520</v>
      </c>
      <c r="B229" s="14" t="s">
        <v>516</v>
      </c>
      <c r="C229" s="14" t="s">
        <v>517</v>
      </c>
      <c r="D229" s="14" t="s">
        <v>518</v>
      </c>
      <c r="E229" s="14" t="s">
        <v>145</v>
      </c>
      <c r="F229" s="15"/>
      <c r="G229" s="14"/>
      <c r="H229" s="14" t="s">
        <v>127</v>
      </c>
      <c r="I229" s="14" t="s">
        <v>484</v>
      </c>
      <c r="J229" s="16"/>
      <c r="K229" s="16"/>
      <c r="L229" s="16"/>
      <c r="M229" s="16"/>
      <c r="N229" s="16"/>
      <c r="O229" s="17" t="str">
        <f aca="false">IFERROR(INDEX(Lists!$B$3:$B$7,MATCH(K229,Lists!$A$3:$A$7,0)),"")</f>
        <v/>
      </c>
      <c r="P229" s="17" t="str">
        <f aca="false">IFERROR(INDEX('Evidence Pulls'!$P$6:$P$125,MATCH($J229,'Evidence Pulls'!$A$6:$A$125,0)),"")</f>
        <v/>
      </c>
      <c r="Q229" s="17" t="str">
        <f aca="false">IFERROR(INDEX('Evidence Pulls'!$H$6:$H$125,MATCH($J229,'Evidence Pulls'!$A$6:$A$125,0)),"")</f>
        <v/>
      </c>
      <c r="R229" s="17" t="str">
        <f aca="false">IFERROR(INDEX('Evidence Pulls'!$Q$6:$Q$125,MATCH($J229,'Evidence Pulls'!$A$6:$A$125,0)),"")</f>
        <v/>
      </c>
      <c r="S229" s="17" t="str">
        <f aca="false">IF(L229&lt;&gt;"",L229,IF(K229="","Not assessed",IF(N(O229)&gt;=3,"Demonstrated","Gap - remediate")))</f>
        <v>Not assessed</v>
      </c>
      <c r="T229" s="17" t="str">
        <f aca="false">IF(J229="","No evidence pull assigned",IF(COUNTIF('Evidence Pulls'!$A$6:$A$125,J229)=0,"Pull ID not on Evidence Pulls sheet",IF(K229="","Not graded",IF(AND(G229="MANDATORY",L229="Gap - recommend tailoring"),"INVALID: safety-mandatory, not tailorable",IF(OR(P229="",P229=0),"NO NAMED EXECUTOR",IF(AND(H229="Full",IFERROR(INDEX('Evidence Pulls'!$C$6:$C$125,MATCH($J229,'Evidence Pulls'!$A$6:$A$125,0)),"")&lt;&gt;"Artifact",N(O229)&gt;=3,N(IFERROR(INDEX('Evidence Pulls'!$K$6:$K$125,MATCH($J229,'Evidence Pulls'!$A$6:$A$125,0)),""))=0),"Operating claimed with no sample",IF(AND(N(O229)&gt;=3,P229=1),"Operating rests on one individual",IF(AND(L229&lt;&gt;"",N229=""),"Override with no rationale in column N",IF(AND(G229="MANDATORY",N(O229)&lt;3),"SAFETY GATE: below Operating","OK")))))))))</f>
        <v>No evidence pull assigned</v>
      </c>
    </row>
    <row r="230" customFormat="false" ht="22.35" hidden="false" customHeight="false" outlineLevel="0" collapsed="false">
      <c r="A230" s="14" t="s">
        <v>521</v>
      </c>
      <c r="B230" s="14" t="s">
        <v>516</v>
      </c>
      <c r="C230" s="14" t="s">
        <v>517</v>
      </c>
      <c r="D230" s="14" t="s">
        <v>518</v>
      </c>
      <c r="E230" s="14" t="s">
        <v>147</v>
      </c>
      <c r="F230" s="15"/>
      <c r="G230" s="14"/>
      <c r="H230" s="14" t="s">
        <v>127</v>
      </c>
      <c r="I230" s="14" t="s">
        <v>484</v>
      </c>
      <c r="J230" s="16"/>
      <c r="K230" s="16"/>
      <c r="L230" s="16"/>
      <c r="M230" s="16"/>
      <c r="N230" s="16"/>
      <c r="O230" s="17" t="str">
        <f aca="false">IFERROR(INDEX(Lists!$B$3:$B$7,MATCH(K230,Lists!$A$3:$A$7,0)),"")</f>
        <v/>
      </c>
      <c r="P230" s="17" t="str">
        <f aca="false">IFERROR(INDEX('Evidence Pulls'!$P$6:$P$125,MATCH($J230,'Evidence Pulls'!$A$6:$A$125,0)),"")</f>
        <v/>
      </c>
      <c r="Q230" s="17" t="str">
        <f aca="false">IFERROR(INDEX('Evidence Pulls'!$H$6:$H$125,MATCH($J230,'Evidence Pulls'!$A$6:$A$125,0)),"")</f>
        <v/>
      </c>
      <c r="R230" s="17" t="str">
        <f aca="false">IFERROR(INDEX('Evidence Pulls'!$Q$6:$Q$125,MATCH($J230,'Evidence Pulls'!$A$6:$A$125,0)),"")</f>
        <v/>
      </c>
      <c r="S230" s="17" t="str">
        <f aca="false">IF(L230&lt;&gt;"",L230,IF(K230="","Not assessed",IF(N(O230)&gt;=3,"Demonstrated","Gap - remediate")))</f>
        <v>Not assessed</v>
      </c>
      <c r="T230" s="17" t="str">
        <f aca="false">IF(J230="","No evidence pull assigned",IF(COUNTIF('Evidence Pulls'!$A$6:$A$125,J230)=0,"Pull ID not on Evidence Pulls sheet",IF(K230="","Not graded",IF(AND(G230="MANDATORY",L230="Gap - recommend tailoring"),"INVALID: safety-mandatory, not tailorable",IF(OR(P230="",P230=0),"NO NAMED EXECUTOR",IF(AND(H230="Full",IFERROR(INDEX('Evidence Pulls'!$C$6:$C$125,MATCH($J230,'Evidence Pulls'!$A$6:$A$125,0)),"")&lt;&gt;"Artifact",N(O230)&gt;=3,N(IFERROR(INDEX('Evidence Pulls'!$K$6:$K$125,MATCH($J230,'Evidence Pulls'!$A$6:$A$125,0)),""))=0),"Operating claimed with no sample",IF(AND(N(O230)&gt;=3,P230=1),"Operating rests on one individual",IF(AND(L230&lt;&gt;"",N230=""),"Override with no rationale in column N",IF(AND(G230="MANDATORY",N(O230)&lt;3),"SAFETY GATE: below Operating","OK")))))))))</f>
        <v>No evidence pull assigned</v>
      </c>
    </row>
    <row r="231" customFormat="false" ht="22.35" hidden="false" customHeight="false" outlineLevel="0" collapsed="false">
      <c r="A231" s="14" t="s">
        <v>522</v>
      </c>
      <c r="B231" s="14" t="s">
        <v>516</v>
      </c>
      <c r="C231" s="14" t="s">
        <v>517</v>
      </c>
      <c r="D231" s="14" t="s">
        <v>518</v>
      </c>
      <c r="E231" s="14" t="s">
        <v>149</v>
      </c>
      <c r="F231" s="15"/>
      <c r="G231" s="14"/>
      <c r="H231" s="14" t="s">
        <v>127</v>
      </c>
      <c r="I231" s="14" t="s">
        <v>484</v>
      </c>
      <c r="J231" s="16"/>
      <c r="K231" s="16"/>
      <c r="L231" s="16"/>
      <c r="M231" s="16"/>
      <c r="N231" s="16"/>
      <c r="O231" s="17" t="str">
        <f aca="false">IFERROR(INDEX(Lists!$B$3:$B$7,MATCH(K231,Lists!$A$3:$A$7,0)),"")</f>
        <v/>
      </c>
      <c r="P231" s="17" t="str">
        <f aca="false">IFERROR(INDEX('Evidence Pulls'!$P$6:$P$125,MATCH($J231,'Evidence Pulls'!$A$6:$A$125,0)),"")</f>
        <v/>
      </c>
      <c r="Q231" s="17" t="str">
        <f aca="false">IFERROR(INDEX('Evidence Pulls'!$H$6:$H$125,MATCH($J231,'Evidence Pulls'!$A$6:$A$125,0)),"")</f>
        <v/>
      </c>
      <c r="R231" s="17" t="str">
        <f aca="false">IFERROR(INDEX('Evidence Pulls'!$Q$6:$Q$125,MATCH($J231,'Evidence Pulls'!$A$6:$A$125,0)),"")</f>
        <v/>
      </c>
      <c r="S231" s="17" t="str">
        <f aca="false">IF(L231&lt;&gt;"",L231,IF(K231="","Not assessed",IF(N(O231)&gt;=3,"Demonstrated","Gap - remediate")))</f>
        <v>Not assessed</v>
      </c>
      <c r="T231" s="17" t="str">
        <f aca="false">IF(J231="","No evidence pull assigned",IF(COUNTIF('Evidence Pulls'!$A$6:$A$125,J231)=0,"Pull ID not on Evidence Pulls sheet",IF(K231="","Not graded",IF(AND(G231="MANDATORY",L231="Gap - recommend tailoring"),"INVALID: safety-mandatory, not tailorable",IF(OR(P231="",P231=0),"NO NAMED EXECUTOR",IF(AND(H231="Full",IFERROR(INDEX('Evidence Pulls'!$C$6:$C$125,MATCH($J231,'Evidence Pulls'!$A$6:$A$125,0)),"")&lt;&gt;"Artifact",N(O231)&gt;=3,N(IFERROR(INDEX('Evidence Pulls'!$K$6:$K$125,MATCH($J231,'Evidence Pulls'!$A$6:$A$125,0)),""))=0),"Operating claimed with no sample",IF(AND(N(O231)&gt;=3,P231=1),"Operating rests on one individual",IF(AND(L231&lt;&gt;"",N231=""),"Override with no rationale in column N",IF(AND(G231="MANDATORY",N(O231)&lt;3),"SAFETY GATE: below Operating","OK")))))))))</f>
        <v>No evidence pull assigned</v>
      </c>
    </row>
    <row r="232" customFormat="false" ht="22.35" hidden="false" customHeight="false" outlineLevel="0" collapsed="false">
      <c r="A232" s="14" t="s">
        <v>523</v>
      </c>
      <c r="B232" s="14" t="s">
        <v>516</v>
      </c>
      <c r="C232" s="14" t="s">
        <v>517</v>
      </c>
      <c r="D232" s="14" t="s">
        <v>518</v>
      </c>
      <c r="E232" s="14" t="s">
        <v>151</v>
      </c>
      <c r="F232" s="15"/>
      <c r="G232" s="14"/>
      <c r="H232" s="14" t="s">
        <v>127</v>
      </c>
      <c r="I232" s="14" t="s">
        <v>484</v>
      </c>
      <c r="J232" s="16"/>
      <c r="K232" s="16"/>
      <c r="L232" s="16"/>
      <c r="M232" s="16"/>
      <c r="N232" s="16"/>
      <c r="O232" s="17" t="str">
        <f aca="false">IFERROR(INDEX(Lists!$B$3:$B$7,MATCH(K232,Lists!$A$3:$A$7,0)),"")</f>
        <v/>
      </c>
      <c r="P232" s="17" t="str">
        <f aca="false">IFERROR(INDEX('Evidence Pulls'!$P$6:$P$125,MATCH($J232,'Evidence Pulls'!$A$6:$A$125,0)),"")</f>
        <v/>
      </c>
      <c r="Q232" s="17" t="str">
        <f aca="false">IFERROR(INDEX('Evidence Pulls'!$H$6:$H$125,MATCH($J232,'Evidence Pulls'!$A$6:$A$125,0)),"")</f>
        <v/>
      </c>
      <c r="R232" s="17" t="str">
        <f aca="false">IFERROR(INDEX('Evidence Pulls'!$Q$6:$Q$125,MATCH($J232,'Evidence Pulls'!$A$6:$A$125,0)),"")</f>
        <v/>
      </c>
      <c r="S232" s="17" t="str">
        <f aca="false">IF(L232&lt;&gt;"",L232,IF(K232="","Not assessed",IF(N(O232)&gt;=3,"Demonstrated","Gap - remediate")))</f>
        <v>Not assessed</v>
      </c>
      <c r="T232" s="17" t="str">
        <f aca="false">IF(J232="","No evidence pull assigned",IF(COUNTIF('Evidence Pulls'!$A$6:$A$125,J232)=0,"Pull ID not on Evidence Pulls sheet",IF(K232="","Not graded",IF(AND(G232="MANDATORY",L232="Gap - recommend tailoring"),"INVALID: safety-mandatory, not tailorable",IF(OR(P232="",P232=0),"NO NAMED EXECUTOR",IF(AND(H232="Full",IFERROR(INDEX('Evidence Pulls'!$C$6:$C$125,MATCH($J232,'Evidence Pulls'!$A$6:$A$125,0)),"")&lt;&gt;"Artifact",N(O232)&gt;=3,N(IFERROR(INDEX('Evidence Pulls'!$K$6:$K$125,MATCH($J232,'Evidence Pulls'!$A$6:$A$125,0)),""))=0),"Operating claimed with no sample",IF(AND(N(O232)&gt;=3,P232=1),"Operating rests on one individual",IF(AND(L232&lt;&gt;"",N232=""),"Override with no rationale in column N",IF(AND(G232="MANDATORY",N(O232)&lt;3),"SAFETY GATE: below Operating","OK")))))))))</f>
        <v>No evidence pull assigned</v>
      </c>
    </row>
    <row r="233" customFormat="false" ht="22.35" hidden="false" customHeight="false" outlineLevel="0" collapsed="false">
      <c r="A233" s="14" t="s">
        <v>524</v>
      </c>
      <c r="B233" s="14" t="s">
        <v>516</v>
      </c>
      <c r="C233" s="14" t="s">
        <v>517</v>
      </c>
      <c r="D233" s="14" t="s">
        <v>518</v>
      </c>
      <c r="E233" s="14" t="s">
        <v>153</v>
      </c>
      <c r="F233" s="15"/>
      <c r="G233" s="14"/>
      <c r="H233" s="14" t="s">
        <v>127</v>
      </c>
      <c r="I233" s="14" t="s">
        <v>484</v>
      </c>
      <c r="J233" s="16"/>
      <c r="K233" s="16"/>
      <c r="L233" s="16"/>
      <c r="M233" s="16"/>
      <c r="N233" s="16"/>
      <c r="O233" s="17" t="str">
        <f aca="false">IFERROR(INDEX(Lists!$B$3:$B$7,MATCH(K233,Lists!$A$3:$A$7,0)),"")</f>
        <v/>
      </c>
      <c r="P233" s="17" t="str">
        <f aca="false">IFERROR(INDEX('Evidence Pulls'!$P$6:$P$125,MATCH($J233,'Evidence Pulls'!$A$6:$A$125,0)),"")</f>
        <v/>
      </c>
      <c r="Q233" s="17" t="str">
        <f aca="false">IFERROR(INDEX('Evidence Pulls'!$H$6:$H$125,MATCH($J233,'Evidence Pulls'!$A$6:$A$125,0)),"")</f>
        <v/>
      </c>
      <c r="R233" s="17" t="str">
        <f aca="false">IFERROR(INDEX('Evidence Pulls'!$Q$6:$Q$125,MATCH($J233,'Evidence Pulls'!$A$6:$A$125,0)),"")</f>
        <v/>
      </c>
      <c r="S233" s="17" t="str">
        <f aca="false">IF(L233&lt;&gt;"",L233,IF(K233="","Not assessed",IF(N(O233)&gt;=3,"Demonstrated","Gap - remediate")))</f>
        <v>Not assessed</v>
      </c>
      <c r="T233" s="17" t="str">
        <f aca="false">IF(J233="","No evidence pull assigned",IF(COUNTIF('Evidence Pulls'!$A$6:$A$125,J233)=0,"Pull ID not on Evidence Pulls sheet",IF(K233="","Not graded",IF(AND(G233="MANDATORY",L233="Gap - recommend tailoring"),"INVALID: safety-mandatory, not tailorable",IF(OR(P233="",P233=0),"NO NAMED EXECUTOR",IF(AND(H233="Full",IFERROR(INDEX('Evidence Pulls'!$C$6:$C$125,MATCH($J233,'Evidence Pulls'!$A$6:$A$125,0)),"")&lt;&gt;"Artifact",N(O233)&gt;=3,N(IFERROR(INDEX('Evidence Pulls'!$K$6:$K$125,MATCH($J233,'Evidence Pulls'!$A$6:$A$125,0)),""))=0),"Operating claimed with no sample",IF(AND(N(O233)&gt;=3,P233=1),"Operating rests on one individual",IF(AND(L233&lt;&gt;"",N233=""),"Override with no rationale in column N",IF(AND(G233="MANDATORY",N(O233)&lt;3),"SAFETY GATE: below Operating","OK")))))))))</f>
        <v>No evidence pull assigned</v>
      </c>
    </row>
    <row r="234" customFormat="false" ht="22.35" hidden="false" customHeight="false" outlineLevel="0" collapsed="false">
      <c r="A234" s="14" t="s">
        <v>525</v>
      </c>
      <c r="B234" s="14" t="s">
        <v>516</v>
      </c>
      <c r="C234" s="14" t="s">
        <v>517</v>
      </c>
      <c r="D234" s="14" t="s">
        <v>518</v>
      </c>
      <c r="E234" s="14" t="s">
        <v>155</v>
      </c>
      <c r="F234" s="15"/>
      <c r="G234" s="14"/>
      <c r="H234" s="14" t="s">
        <v>127</v>
      </c>
      <c r="I234" s="14" t="s">
        <v>484</v>
      </c>
      <c r="J234" s="16"/>
      <c r="K234" s="16"/>
      <c r="L234" s="16"/>
      <c r="M234" s="16"/>
      <c r="N234" s="16"/>
      <c r="O234" s="17" t="str">
        <f aca="false">IFERROR(INDEX(Lists!$B$3:$B$7,MATCH(K234,Lists!$A$3:$A$7,0)),"")</f>
        <v/>
      </c>
      <c r="P234" s="17" t="str">
        <f aca="false">IFERROR(INDEX('Evidence Pulls'!$P$6:$P$125,MATCH($J234,'Evidence Pulls'!$A$6:$A$125,0)),"")</f>
        <v/>
      </c>
      <c r="Q234" s="17" t="str">
        <f aca="false">IFERROR(INDEX('Evidence Pulls'!$H$6:$H$125,MATCH($J234,'Evidence Pulls'!$A$6:$A$125,0)),"")</f>
        <v/>
      </c>
      <c r="R234" s="17" t="str">
        <f aca="false">IFERROR(INDEX('Evidence Pulls'!$Q$6:$Q$125,MATCH($J234,'Evidence Pulls'!$A$6:$A$125,0)),"")</f>
        <v/>
      </c>
      <c r="S234" s="17" t="str">
        <f aca="false">IF(L234&lt;&gt;"",L234,IF(K234="","Not assessed",IF(N(O234)&gt;=3,"Demonstrated","Gap - remediate")))</f>
        <v>Not assessed</v>
      </c>
      <c r="T234" s="17" t="str">
        <f aca="false">IF(J234="","No evidence pull assigned",IF(COUNTIF('Evidence Pulls'!$A$6:$A$125,J234)=0,"Pull ID not on Evidence Pulls sheet",IF(K234="","Not graded",IF(AND(G234="MANDATORY",L234="Gap - recommend tailoring"),"INVALID: safety-mandatory, not tailorable",IF(OR(P234="",P234=0),"NO NAMED EXECUTOR",IF(AND(H234="Full",IFERROR(INDEX('Evidence Pulls'!$C$6:$C$125,MATCH($J234,'Evidence Pulls'!$A$6:$A$125,0)),"")&lt;&gt;"Artifact",N(O234)&gt;=3,N(IFERROR(INDEX('Evidence Pulls'!$K$6:$K$125,MATCH($J234,'Evidence Pulls'!$A$6:$A$125,0)),""))=0),"Operating claimed with no sample",IF(AND(N(O234)&gt;=3,P234=1),"Operating rests on one individual",IF(AND(L234&lt;&gt;"",N234=""),"Override with no rationale in column N",IF(AND(G234="MANDATORY",N(O234)&lt;3),"SAFETY GATE: below Operating","OK")))))))))</f>
        <v>No evidence pull assigned</v>
      </c>
    </row>
    <row r="235" customFormat="false" ht="22.35" hidden="false" customHeight="false" outlineLevel="0" collapsed="false">
      <c r="A235" s="14" t="s">
        <v>526</v>
      </c>
      <c r="B235" s="14" t="s">
        <v>516</v>
      </c>
      <c r="C235" s="14" t="s">
        <v>517</v>
      </c>
      <c r="D235" s="14" t="s">
        <v>518</v>
      </c>
      <c r="E235" s="14" t="s">
        <v>157</v>
      </c>
      <c r="F235" s="15"/>
      <c r="G235" s="14"/>
      <c r="H235" s="14" t="s">
        <v>127</v>
      </c>
      <c r="I235" s="14" t="s">
        <v>484</v>
      </c>
      <c r="J235" s="16"/>
      <c r="K235" s="16"/>
      <c r="L235" s="16"/>
      <c r="M235" s="16"/>
      <c r="N235" s="16"/>
      <c r="O235" s="17" t="str">
        <f aca="false">IFERROR(INDEX(Lists!$B$3:$B$7,MATCH(K235,Lists!$A$3:$A$7,0)),"")</f>
        <v/>
      </c>
      <c r="P235" s="17" t="str">
        <f aca="false">IFERROR(INDEX('Evidence Pulls'!$P$6:$P$125,MATCH($J235,'Evidence Pulls'!$A$6:$A$125,0)),"")</f>
        <v/>
      </c>
      <c r="Q235" s="17" t="str">
        <f aca="false">IFERROR(INDEX('Evidence Pulls'!$H$6:$H$125,MATCH($J235,'Evidence Pulls'!$A$6:$A$125,0)),"")</f>
        <v/>
      </c>
      <c r="R235" s="17" t="str">
        <f aca="false">IFERROR(INDEX('Evidence Pulls'!$Q$6:$Q$125,MATCH($J235,'Evidence Pulls'!$A$6:$A$125,0)),"")</f>
        <v/>
      </c>
      <c r="S235" s="17" t="str">
        <f aca="false">IF(L235&lt;&gt;"",L235,IF(K235="","Not assessed",IF(N(O235)&gt;=3,"Demonstrated","Gap - remediate")))</f>
        <v>Not assessed</v>
      </c>
      <c r="T235" s="17" t="str">
        <f aca="false">IF(J235="","No evidence pull assigned",IF(COUNTIF('Evidence Pulls'!$A$6:$A$125,J235)=0,"Pull ID not on Evidence Pulls sheet",IF(K235="","Not graded",IF(AND(G235="MANDATORY",L235="Gap - recommend tailoring"),"INVALID: safety-mandatory, not tailorable",IF(OR(P235="",P235=0),"NO NAMED EXECUTOR",IF(AND(H235="Full",IFERROR(INDEX('Evidence Pulls'!$C$6:$C$125,MATCH($J235,'Evidence Pulls'!$A$6:$A$125,0)),"")&lt;&gt;"Artifact",N(O235)&gt;=3,N(IFERROR(INDEX('Evidence Pulls'!$K$6:$K$125,MATCH($J235,'Evidence Pulls'!$A$6:$A$125,0)),""))=0),"Operating claimed with no sample",IF(AND(N(O235)&gt;=3,P235=1),"Operating rests on one individual",IF(AND(L235&lt;&gt;"",N235=""),"Override with no rationale in column N",IF(AND(G235="MANDATORY",N(O235)&lt;3),"SAFETY GATE: below Operating","OK")))))))))</f>
        <v>No evidence pull assigned</v>
      </c>
    </row>
    <row r="236" customFormat="false" ht="22.35" hidden="false" customHeight="false" outlineLevel="0" collapsed="false">
      <c r="A236" s="14" t="s">
        <v>527</v>
      </c>
      <c r="B236" s="14" t="s">
        <v>516</v>
      </c>
      <c r="C236" s="14" t="s">
        <v>517</v>
      </c>
      <c r="D236" s="14" t="s">
        <v>518</v>
      </c>
      <c r="E236" s="14" t="s">
        <v>159</v>
      </c>
      <c r="F236" s="15"/>
      <c r="G236" s="14"/>
      <c r="H236" s="14" t="s">
        <v>127</v>
      </c>
      <c r="I236" s="14" t="s">
        <v>484</v>
      </c>
      <c r="J236" s="16"/>
      <c r="K236" s="16"/>
      <c r="L236" s="16"/>
      <c r="M236" s="16"/>
      <c r="N236" s="16"/>
      <c r="O236" s="17" t="str">
        <f aca="false">IFERROR(INDEX(Lists!$B$3:$B$7,MATCH(K236,Lists!$A$3:$A$7,0)),"")</f>
        <v/>
      </c>
      <c r="P236" s="17" t="str">
        <f aca="false">IFERROR(INDEX('Evidence Pulls'!$P$6:$P$125,MATCH($J236,'Evidence Pulls'!$A$6:$A$125,0)),"")</f>
        <v/>
      </c>
      <c r="Q236" s="17" t="str">
        <f aca="false">IFERROR(INDEX('Evidence Pulls'!$H$6:$H$125,MATCH($J236,'Evidence Pulls'!$A$6:$A$125,0)),"")</f>
        <v/>
      </c>
      <c r="R236" s="17" t="str">
        <f aca="false">IFERROR(INDEX('Evidence Pulls'!$Q$6:$Q$125,MATCH($J236,'Evidence Pulls'!$A$6:$A$125,0)),"")</f>
        <v/>
      </c>
      <c r="S236" s="17" t="str">
        <f aca="false">IF(L236&lt;&gt;"",L236,IF(K236="","Not assessed",IF(N(O236)&gt;=3,"Demonstrated","Gap - remediate")))</f>
        <v>Not assessed</v>
      </c>
      <c r="T236" s="17" t="str">
        <f aca="false">IF(J236="","No evidence pull assigned",IF(COUNTIF('Evidence Pulls'!$A$6:$A$125,J236)=0,"Pull ID not on Evidence Pulls sheet",IF(K236="","Not graded",IF(AND(G236="MANDATORY",L236="Gap - recommend tailoring"),"INVALID: safety-mandatory, not tailorable",IF(OR(P236="",P236=0),"NO NAMED EXECUTOR",IF(AND(H236="Full",IFERROR(INDEX('Evidence Pulls'!$C$6:$C$125,MATCH($J236,'Evidence Pulls'!$A$6:$A$125,0)),"")&lt;&gt;"Artifact",N(O236)&gt;=3,N(IFERROR(INDEX('Evidence Pulls'!$K$6:$K$125,MATCH($J236,'Evidence Pulls'!$A$6:$A$125,0)),""))=0),"Operating claimed with no sample",IF(AND(N(O236)&gt;=3,P236=1),"Operating rests on one individual",IF(AND(L236&lt;&gt;"",N236=""),"Override with no rationale in column N",IF(AND(G236="MANDATORY",N(O236)&lt;3),"SAFETY GATE: below Operating","OK")))))))))</f>
        <v>No evidence pull assigned</v>
      </c>
    </row>
    <row r="237" customFormat="false" ht="22.35" hidden="false" customHeight="false" outlineLevel="0" collapsed="false">
      <c r="A237" s="14" t="s">
        <v>528</v>
      </c>
      <c r="B237" s="14" t="s">
        <v>516</v>
      </c>
      <c r="C237" s="14" t="s">
        <v>517</v>
      </c>
      <c r="D237" s="14" t="s">
        <v>518</v>
      </c>
      <c r="E237" s="14" t="s">
        <v>161</v>
      </c>
      <c r="F237" s="15"/>
      <c r="G237" s="14"/>
      <c r="H237" s="14" t="s">
        <v>127</v>
      </c>
      <c r="I237" s="14" t="s">
        <v>484</v>
      </c>
      <c r="J237" s="16"/>
      <c r="K237" s="16"/>
      <c r="L237" s="16"/>
      <c r="M237" s="16"/>
      <c r="N237" s="16"/>
      <c r="O237" s="17" t="str">
        <f aca="false">IFERROR(INDEX(Lists!$B$3:$B$7,MATCH(K237,Lists!$A$3:$A$7,0)),"")</f>
        <v/>
      </c>
      <c r="P237" s="17" t="str">
        <f aca="false">IFERROR(INDEX('Evidence Pulls'!$P$6:$P$125,MATCH($J237,'Evidence Pulls'!$A$6:$A$125,0)),"")</f>
        <v/>
      </c>
      <c r="Q237" s="17" t="str">
        <f aca="false">IFERROR(INDEX('Evidence Pulls'!$H$6:$H$125,MATCH($J237,'Evidence Pulls'!$A$6:$A$125,0)),"")</f>
        <v/>
      </c>
      <c r="R237" s="17" t="str">
        <f aca="false">IFERROR(INDEX('Evidence Pulls'!$Q$6:$Q$125,MATCH($J237,'Evidence Pulls'!$A$6:$A$125,0)),"")</f>
        <v/>
      </c>
      <c r="S237" s="17" t="str">
        <f aca="false">IF(L237&lt;&gt;"",L237,IF(K237="","Not assessed",IF(N(O237)&gt;=3,"Demonstrated","Gap - remediate")))</f>
        <v>Not assessed</v>
      </c>
      <c r="T237" s="17" t="str">
        <f aca="false">IF(J237="","No evidence pull assigned",IF(COUNTIF('Evidence Pulls'!$A$6:$A$125,J237)=0,"Pull ID not on Evidence Pulls sheet",IF(K237="","Not graded",IF(AND(G237="MANDATORY",L237="Gap - recommend tailoring"),"INVALID: safety-mandatory, not tailorable",IF(OR(P237="",P237=0),"NO NAMED EXECUTOR",IF(AND(H237="Full",IFERROR(INDEX('Evidence Pulls'!$C$6:$C$125,MATCH($J237,'Evidence Pulls'!$A$6:$A$125,0)),"")&lt;&gt;"Artifact",N(O237)&gt;=3,N(IFERROR(INDEX('Evidence Pulls'!$K$6:$K$125,MATCH($J237,'Evidence Pulls'!$A$6:$A$125,0)),""))=0),"Operating claimed with no sample",IF(AND(N(O237)&gt;=3,P237=1),"Operating rests on one individual",IF(AND(L237&lt;&gt;"",N237=""),"Override with no rationale in column N",IF(AND(G237="MANDATORY",N(O237)&lt;3),"SAFETY GATE: below Operating","OK")))))))))</f>
        <v>No evidence pull assigned</v>
      </c>
    </row>
    <row r="238" customFormat="false" ht="22.35" hidden="false" customHeight="false" outlineLevel="0" collapsed="false">
      <c r="A238" s="14" t="s">
        <v>529</v>
      </c>
      <c r="B238" s="14" t="s">
        <v>516</v>
      </c>
      <c r="C238" s="14" t="s">
        <v>517</v>
      </c>
      <c r="D238" s="14" t="s">
        <v>518</v>
      </c>
      <c r="E238" s="14" t="s">
        <v>320</v>
      </c>
      <c r="F238" s="15"/>
      <c r="G238" s="14"/>
      <c r="H238" s="14" t="s">
        <v>127</v>
      </c>
      <c r="I238" s="14" t="s">
        <v>484</v>
      </c>
      <c r="J238" s="16"/>
      <c r="K238" s="16"/>
      <c r="L238" s="16"/>
      <c r="M238" s="16"/>
      <c r="N238" s="16"/>
      <c r="O238" s="17" t="str">
        <f aca="false">IFERROR(INDEX(Lists!$B$3:$B$7,MATCH(K238,Lists!$A$3:$A$7,0)),"")</f>
        <v/>
      </c>
      <c r="P238" s="17" t="str">
        <f aca="false">IFERROR(INDEX('Evidence Pulls'!$P$6:$P$125,MATCH($J238,'Evidence Pulls'!$A$6:$A$125,0)),"")</f>
        <v/>
      </c>
      <c r="Q238" s="17" t="str">
        <f aca="false">IFERROR(INDEX('Evidence Pulls'!$H$6:$H$125,MATCH($J238,'Evidence Pulls'!$A$6:$A$125,0)),"")</f>
        <v/>
      </c>
      <c r="R238" s="17" t="str">
        <f aca="false">IFERROR(INDEX('Evidence Pulls'!$Q$6:$Q$125,MATCH($J238,'Evidence Pulls'!$A$6:$A$125,0)),"")</f>
        <v/>
      </c>
      <c r="S238" s="17" t="str">
        <f aca="false">IF(L238&lt;&gt;"",L238,IF(K238="","Not assessed",IF(N(O238)&gt;=3,"Demonstrated","Gap - remediate")))</f>
        <v>Not assessed</v>
      </c>
      <c r="T238" s="17" t="str">
        <f aca="false">IF(J238="","No evidence pull assigned",IF(COUNTIF('Evidence Pulls'!$A$6:$A$125,J238)=0,"Pull ID not on Evidence Pulls sheet",IF(K238="","Not graded",IF(AND(G238="MANDATORY",L238="Gap - recommend tailoring"),"INVALID: safety-mandatory, not tailorable",IF(OR(P238="",P238=0),"NO NAMED EXECUTOR",IF(AND(H238="Full",IFERROR(INDEX('Evidence Pulls'!$C$6:$C$125,MATCH($J238,'Evidence Pulls'!$A$6:$A$125,0)),"")&lt;&gt;"Artifact",N(O238)&gt;=3,N(IFERROR(INDEX('Evidence Pulls'!$K$6:$K$125,MATCH($J238,'Evidence Pulls'!$A$6:$A$125,0)),""))=0),"Operating claimed with no sample",IF(AND(N(O238)&gt;=3,P238=1),"Operating rests on one individual",IF(AND(L238&lt;&gt;"",N238=""),"Override with no rationale in column N",IF(AND(G238="MANDATORY",N(O238)&lt;3),"SAFETY GATE: below Operating","OK")))))))))</f>
        <v>No evidence pull assigned</v>
      </c>
    </row>
    <row r="239" customFormat="false" ht="22.35" hidden="false" customHeight="false" outlineLevel="0" collapsed="false">
      <c r="A239" s="14" t="s">
        <v>530</v>
      </c>
      <c r="B239" s="14" t="s">
        <v>516</v>
      </c>
      <c r="C239" s="14" t="s">
        <v>517</v>
      </c>
      <c r="D239" s="14" t="s">
        <v>518</v>
      </c>
      <c r="E239" s="14" t="s">
        <v>531</v>
      </c>
      <c r="F239" s="15"/>
      <c r="G239" s="14"/>
      <c r="H239" s="14" t="s">
        <v>127</v>
      </c>
      <c r="I239" s="14" t="s">
        <v>484</v>
      </c>
      <c r="J239" s="16"/>
      <c r="K239" s="16"/>
      <c r="L239" s="16"/>
      <c r="M239" s="16"/>
      <c r="N239" s="16"/>
      <c r="O239" s="17" t="str">
        <f aca="false">IFERROR(INDEX(Lists!$B$3:$B$7,MATCH(K239,Lists!$A$3:$A$7,0)),"")</f>
        <v/>
      </c>
      <c r="P239" s="17" t="str">
        <f aca="false">IFERROR(INDEX('Evidence Pulls'!$P$6:$P$125,MATCH($J239,'Evidence Pulls'!$A$6:$A$125,0)),"")</f>
        <v/>
      </c>
      <c r="Q239" s="17" t="str">
        <f aca="false">IFERROR(INDEX('Evidence Pulls'!$H$6:$H$125,MATCH($J239,'Evidence Pulls'!$A$6:$A$125,0)),"")</f>
        <v/>
      </c>
      <c r="R239" s="17" t="str">
        <f aca="false">IFERROR(INDEX('Evidence Pulls'!$Q$6:$Q$125,MATCH($J239,'Evidence Pulls'!$A$6:$A$125,0)),"")</f>
        <v/>
      </c>
      <c r="S239" s="17" t="str">
        <f aca="false">IF(L239&lt;&gt;"",L239,IF(K239="","Not assessed",IF(N(O239)&gt;=3,"Demonstrated","Gap - remediate")))</f>
        <v>Not assessed</v>
      </c>
      <c r="T239" s="17" t="str">
        <f aca="false">IF(J239="","No evidence pull assigned",IF(COUNTIF('Evidence Pulls'!$A$6:$A$125,J239)=0,"Pull ID not on Evidence Pulls sheet",IF(K239="","Not graded",IF(AND(G239="MANDATORY",L239="Gap - recommend tailoring"),"INVALID: safety-mandatory, not tailorable",IF(OR(P239="",P239=0),"NO NAMED EXECUTOR",IF(AND(H239="Full",IFERROR(INDEX('Evidence Pulls'!$C$6:$C$125,MATCH($J239,'Evidence Pulls'!$A$6:$A$125,0)),"")&lt;&gt;"Artifact",N(O239)&gt;=3,N(IFERROR(INDEX('Evidence Pulls'!$K$6:$K$125,MATCH($J239,'Evidence Pulls'!$A$6:$A$125,0)),""))=0),"Operating claimed with no sample",IF(AND(N(O239)&gt;=3,P239=1),"Operating rests on one individual",IF(AND(L239&lt;&gt;"",N239=""),"Override with no rationale in column N",IF(AND(G239="MANDATORY",N(O239)&lt;3),"SAFETY GATE: below Operating","OK")))))))))</f>
        <v>No evidence pull assigned</v>
      </c>
    </row>
    <row r="240" customFormat="false" ht="22.35" hidden="false" customHeight="false" outlineLevel="0" collapsed="false">
      <c r="A240" s="14" t="s">
        <v>532</v>
      </c>
      <c r="B240" s="14" t="s">
        <v>516</v>
      </c>
      <c r="C240" s="14" t="s">
        <v>517</v>
      </c>
      <c r="D240" s="14" t="s">
        <v>518</v>
      </c>
      <c r="E240" s="14" t="s">
        <v>533</v>
      </c>
      <c r="F240" s="15"/>
      <c r="G240" s="14"/>
      <c r="H240" s="14" t="s">
        <v>127</v>
      </c>
      <c r="I240" s="14" t="s">
        <v>484</v>
      </c>
      <c r="J240" s="16"/>
      <c r="K240" s="16"/>
      <c r="L240" s="16"/>
      <c r="M240" s="16"/>
      <c r="N240" s="16"/>
      <c r="O240" s="17" t="str">
        <f aca="false">IFERROR(INDEX(Lists!$B$3:$B$7,MATCH(K240,Lists!$A$3:$A$7,0)),"")</f>
        <v/>
      </c>
      <c r="P240" s="17" t="str">
        <f aca="false">IFERROR(INDEX('Evidence Pulls'!$P$6:$P$125,MATCH($J240,'Evidence Pulls'!$A$6:$A$125,0)),"")</f>
        <v/>
      </c>
      <c r="Q240" s="17" t="str">
        <f aca="false">IFERROR(INDEX('Evidence Pulls'!$H$6:$H$125,MATCH($J240,'Evidence Pulls'!$A$6:$A$125,0)),"")</f>
        <v/>
      </c>
      <c r="R240" s="17" t="str">
        <f aca="false">IFERROR(INDEX('Evidence Pulls'!$Q$6:$Q$125,MATCH($J240,'Evidence Pulls'!$A$6:$A$125,0)),"")</f>
        <v/>
      </c>
      <c r="S240" s="17" t="str">
        <f aca="false">IF(L240&lt;&gt;"",L240,IF(K240="","Not assessed",IF(N(O240)&gt;=3,"Demonstrated","Gap - remediate")))</f>
        <v>Not assessed</v>
      </c>
      <c r="T240" s="17" t="str">
        <f aca="false">IF(J240="","No evidence pull assigned",IF(COUNTIF('Evidence Pulls'!$A$6:$A$125,J240)=0,"Pull ID not on Evidence Pulls sheet",IF(K240="","Not graded",IF(AND(G240="MANDATORY",L240="Gap - recommend tailoring"),"INVALID: safety-mandatory, not tailorable",IF(OR(P240="",P240=0),"NO NAMED EXECUTOR",IF(AND(H240="Full",IFERROR(INDEX('Evidence Pulls'!$C$6:$C$125,MATCH($J240,'Evidence Pulls'!$A$6:$A$125,0)),"")&lt;&gt;"Artifact",N(O240)&gt;=3,N(IFERROR(INDEX('Evidence Pulls'!$K$6:$K$125,MATCH($J240,'Evidence Pulls'!$A$6:$A$125,0)),""))=0),"Operating claimed with no sample",IF(AND(N(O240)&gt;=3,P240=1),"Operating rests on one individual",IF(AND(L240&lt;&gt;"",N240=""),"Override with no rationale in column N",IF(AND(G240="MANDATORY",N(O240)&lt;3),"SAFETY GATE: below Operating","OK")))))))))</f>
        <v>No evidence pull assigned</v>
      </c>
    </row>
    <row r="241" customFormat="false" ht="22.35" hidden="false" customHeight="false" outlineLevel="0" collapsed="false">
      <c r="A241" s="14" t="s">
        <v>534</v>
      </c>
      <c r="B241" s="14" t="s">
        <v>516</v>
      </c>
      <c r="C241" s="14" t="s">
        <v>517</v>
      </c>
      <c r="D241" s="14" t="s">
        <v>518</v>
      </c>
      <c r="E241" s="14" t="s">
        <v>130</v>
      </c>
      <c r="F241" s="15"/>
      <c r="G241" s="14"/>
      <c r="H241" s="14" t="s">
        <v>127</v>
      </c>
      <c r="I241" s="14" t="s">
        <v>484</v>
      </c>
      <c r="J241" s="16"/>
      <c r="K241" s="16"/>
      <c r="L241" s="16"/>
      <c r="M241" s="16"/>
      <c r="N241" s="16"/>
      <c r="O241" s="17" t="str">
        <f aca="false">IFERROR(INDEX(Lists!$B$3:$B$7,MATCH(K241,Lists!$A$3:$A$7,0)),"")</f>
        <v/>
      </c>
      <c r="P241" s="17" t="str">
        <f aca="false">IFERROR(INDEX('Evidence Pulls'!$P$6:$P$125,MATCH($J241,'Evidence Pulls'!$A$6:$A$125,0)),"")</f>
        <v/>
      </c>
      <c r="Q241" s="17" t="str">
        <f aca="false">IFERROR(INDEX('Evidence Pulls'!$H$6:$H$125,MATCH($J241,'Evidence Pulls'!$A$6:$A$125,0)),"")</f>
        <v/>
      </c>
      <c r="R241" s="17" t="str">
        <f aca="false">IFERROR(INDEX('Evidence Pulls'!$Q$6:$Q$125,MATCH($J241,'Evidence Pulls'!$A$6:$A$125,0)),"")</f>
        <v/>
      </c>
      <c r="S241" s="17" t="str">
        <f aca="false">IF(L241&lt;&gt;"",L241,IF(K241="","Not assessed",IF(N(O241)&gt;=3,"Demonstrated","Gap - remediate")))</f>
        <v>Not assessed</v>
      </c>
      <c r="T241" s="17" t="str">
        <f aca="false">IF(J241="","No evidence pull assigned",IF(COUNTIF('Evidence Pulls'!$A$6:$A$125,J241)=0,"Pull ID not on Evidence Pulls sheet",IF(K241="","Not graded",IF(AND(G241="MANDATORY",L241="Gap - recommend tailoring"),"INVALID: safety-mandatory, not tailorable",IF(OR(P241="",P241=0),"NO NAMED EXECUTOR",IF(AND(H241="Full",IFERROR(INDEX('Evidence Pulls'!$C$6:$C$125,MATCH($J241,'Evidence Pulls'!$A$6:$A$125,0)),"")&lt;&gt;"Artifact",N(O241)&gt;=3,N(IFERROR(INDEX('Evidence Pulls'!$K$6:$K$125,MATCH($J241,'Evidence Pulls'!$A$6:$A$125,0)),""))=0),"Operating claimed with no sample",IF(AND(N(O241)&gt;=3,P241=1),"Operating rests on one individual",IF(AND(L241&lt;&gt;"",N241=""),"Override with no rationale in column N",IF(AND(G241="MANDATORY",N(O241)&lt;3),"SAFETY GATE: below Operating","OK")))))))))</f>
        <v>No evidence pull assigned</v>
      </c>
    </row>
    <row r="242" customFormat="false" ht="22.35" hidden="false" customHeight="false" outlineLevel="0" collapsed="false">
      <c r="A242" s="14" t="s">
        <v>535</v>
      </c>
      <c r="B242" s="14" t="s">
        <v>516</v>
      </c>
      <c r="C242" s="14" t="s">
        <v>517</v>
      </c>
      <c r="D242" s="14" t="s">
        <v>518</v>
      </c>
      <c r="E242" s="14" t="s">
        <v>134</v>
      </c>
      <c r="F242" s="15"/>
      <c r="G242" s="14"/>
      <c r="H242" s="14" t="s">
        <v>127</v>
      </c>
      <c r="I242" s="14" t="s">
        <v>484</v>
      </c>
      <c r="J242" s="16"/>
      <c r="K242" s="16"/>
      <c r="L242" s="16"/>
      <c r="M242" s="16"/>
      <c r="N242" s="16"/>
      <c r="O242" s="17" t="str">
        <f aca="false">IFERROR(INDEX(Lists!$B$3:$B$7,MATCH(K242,Lists!$A$3:$A$7,0)),"")</f>
        <v/>
      </c>
      <c r="P242" s="17" t="str">
        <f aca="false">IFERROR(INDEX('Evidence Pulls'!$P$6:$P$125,MATCH($J242,'Evidence Pulls'!$A$6:$A$125,0)),"")</f>
        <v/>
      </c>
      <c r="Q242" s="17" t="str">
        <f aca="false">IFERROR(INDEX('Evidence Pulls'!$H$6:$H$125,MATCH($J242,'Evidence Pulls'!$A$6:$A$125,0)),"")</f>
        <v/>
      </c>
      <c r="R242" s="17" t="str">
        <f aca="false">IFERROR(INDEX('Evidence Pulls'!$Q$6:$Q$125,MATCH($J242,'Evidence Pulls'!$A$6:$A$125,0)),"")</f>
        <v/>
      </c>
      <c r="S242" s="17" t="str">
        <f aca="false">IF(L242&lt;&gt;"",L242,IF(K242="","Not assessed",IF(N(O242)&gt;=3,"Demonstrated","Gap - remediate")))</f>
        <v>Not assessed</v>
      </c>
      <c r="T242" s="17" t="str">
        <f aca="false">IF(J242="","No evidence pull assigned",IF(COUNTIF('Evidence Pulls'!$A$6:$A$125,J242)=0,"Pull ID not on Evidence Pulls sheet",IF(K242="","Not graded",IF(AND(G242="MANDATORY",L242="Gap - recommend tailoring"),"INVALID: safety-mandatory, not tailorable",IF(OR(P242="",P242=0),"NO NAMED EXECUTOR",IF(AND(H242="Full",IFERROR(INDEX('Evidence Pulls'!$C$6:$C$125,MATCH($J242,'Evidence Pulls'!$A$6:$A$125,0)),"")&lt;&gt;"Artifact",N(O242)&gt;=3,N(IFERROR(INDEX('Evidence Pulls'!$K$6:$K$125,MATCH($J242,'Evidence Pulls'!$A$6:$A$125,0)),""))=0),"Operating claimed with no sample",IF(AND(N(O242)&gt;=3,P242=1),"Operating rests on one individual",IF(AND(L242&lt;&gt;"",N242=""),"Override with no rationale in column N",IF(AND(G242="MANDATORY",N(O242)&lt;3),"SAFETY GATE: below Operating","OK")))))))))</f>
        <v>No evidence pull assigned</v>
      </c>
    </row>
    <row r="243" customFormat="false" ht="22.35" hidden="false" customHeight="false" outlineLevel="0" collapsed="false">
      <c r="A243" s="14" t="s">
        <v>536</v>
      </c>
      <c r="B243" s="14" t="s">
        <v>516</v>
      </c>
      <c r="C243" s="14" t="s">
        <v>537</v>
      </c>
      <c r="D243" s="14" t="s">
        <v>538</v>
      </c>
      <c r="E243" s="14" t="s">
        <v>126</v>
      </c>
      <c r="F243" s="15"/>
      <c r="G243" s="14"/>
      <c r="H243" s="14" t="s">
        <v>127</v>
      </c>
      <c r="I243" s="14" t="s">
        <v>484</v>
      </c>
      <c r="J243" s="16"/>
      <c r="K243" s="16"/>
      <c r="L243" s="16"/>
      <c r="M243" s="16"/>
      <c r="N243" s="16"/>
      <c r="O243" s="17" t="str">
        <f aca="false">IFERROR(INDEX(Lists!$B$3:$B$7,MATCH(K243,Lists!$A$3:$A$7,0)),"")</f>
        <v/>
      </c>
      <c r="P243" s="17" t="str">
        <f aca="false">IFERROR(INDEX('Evidence Pulls'!$P$6:$P$125,MATCH($J243,'Evidence Pulls'!$A$6:$A$125,0)),"")</f>
        <v/>
      </c>
      <c r="Q243" s="17" t="str">
        <f aca="false">IFERROR(INDEX('Evidence Pulls'!$H$6:$H$125,MATCH($J243,'Evidence Pulls'!$A$6:$A$125,0)),"")</f>
        <v/>
      </c>
      <c r="R243" s="17" t="str">
        <f aca="false">IFERROR(INDEX('Evidence Pulls'!$Q$6:$Q$125,MATCH($J243,'Evidence Pulls'!$A$6:$A$125,0)),"")</f>
        <v/>
      </c>
      <c r="S243" s="17" t="str">
        <f aca="false">IF(L243&lt;&gt;"",L243,IF(K243="","Not assessed",IF(N(O243)&gt;=3,"Demonstrated","Gap - remediate")))</f>
        <v>Not assessed</v>
      </c>
      <c r="T243" s="17" t="str">
        <f aca="false">IF(J243="","No evidence pull assigned",IF(COUNTIF('Evidence Pulls'!$A$6:$A$125,J243)=0,"Pull ID not on Evidence Pulls sheet",IF(K243="","Not graded",IF(AND(G243="MANDATORY",L243="Gap - recommend tailoring"),"INVALID: safety-mandatory, not tailorable",IF(OR(P243="",P243=0),"NO NAMED EXECUTOR",IF(AND(H243="Full",IFERROR(INDEX('Evidence Pulls'!$C$6:$C$125,MATCH($J243,'Evidence Pulls'!$A$6:$A$125,0)),"")&lt;&gt;"Artifact",N(O243)&gt;=3,N(IFERROR(INDEX('Evidence Pulls'!$K$6:$K$125,MATCH($J243,'Evidence Pulls'!$A$6:$A$125,0)),""))=0),"Operating claimed with no sample",IF(AND(N(O243)&gt;=3,P243=1),"Operating rests on one individual",IF(AND(L243&lt;&gt;"",N243=""),"Override with no rationale in column N",IF(AND(G243="MANDATORY",N(O243)&lt;3),"SAFETY GATE: below Operating","OK")))))))))</f>
        <v>No evidence pull assigned</v>
      </c>
    </row>
    <row r="244" customFormat="false" ht="22.35" hidden="false" customHeight="false" outlineLevel="0" collapsed="false">
      <c r="A244" s="18" t="s">
        <v>539</v>
      </c>
      <c r="B244" s="18" t="s">
        <v>516</v>
      </c>
      <c r="C244" s="18" t="s">
        <v>537</v>
      </c>
      <c r="D244" s="18" t="s">
        <v>538</v>
      </c>
      <c r="E244" s="18" t="s">
        <v>130</v>
      </c>
      <c r="F244" s="18"/>
      <c r="G244" s="19" t="s">
        <v>131</v>
      </c>
      <c r="H244" s="19" t="s">
        <v>132</v>
      </c>
      <c r="I244" s="18" t="s">
        <v>484</v>
      </c>
      <c r="J244" s="16"/>
      <c r="K244" s="16"/>
      <c r="L244" s="16"/>
      <c r="M244" s="16"/>
      <c r="N244" s="16"/>
      <c r="O244" s="17" t="str">
        <f aca="false">IFERROR(INDEX(Lists!$B$3:$B$7,MATCH(K244,Lists!$A$3:$A$7,0)),"")</f>
        <v/>
      </c>
      <c r="P244" s="17" t="str">
        <f aca="false">IFERROR(INDEX('Evidence Pulls'!$P$6:$P$125,MATCH($J244,'Evidence Pulls'!$A$6:$A$125,0)),"")</f>
        <v/>
      </c>
      <c r="Q244" s="17" t="str">
        <f aca="false">IFERROR(INDEX('Evidence Pulls'!$H$6:$H$125,MATCH($J244,'Evidence Pulls'!$A$6:$A$125,0)),"")</f>
        <v/>
      </c>
      <c r="R244" s="17" t="str">
        <f aca="false">IFERROR(INDEX('Evidence Pulls'!$Q$6:$Q$125,MATCH($J244,'Evidence Pulls'!$A$6:$A$125,0)),"")</f>
        <v/>
      </c>
      <c r="S244" s="17" t="str">
        <f aca="false">IF(L244&lt;&gt;"",L244,IF(K244="","Not assessed",IF(N(O244)&gt;=3,"Demonstrated","Gap - remediate")))</f>
        <v>Not assessed</v>
      </c>
      <c r="T244" s="17" t="str">
        <f aca="false">IF(J244="","No evidence pull assigned",IF(COUNTIF('Evidence Pulls'!$A$6:$A$125,J244)=0,"Pull ID not on Evidence Pulls sheet",IF(K244="","Not graded",IF(AND(G244="MANDATORY",L244="Gap - recommend tailoring"),"INVALID: safety-mandatory, not tailorable",IF(OR(P244="",P244=0),"NO NAMED EXECUTOR",IF(AND(H244="Full",IFERROR(INDEX('Evidence Pulls'!$C$6:$C$125,MATCH($J244,'Evidence Pulls'!$A$6:$A$125,0)),"")&lt;&gt;"Artifact",N(O244)&gt;=3,N(IFERROR(INDEX('Evidence Pulls'!$K$6:$K$125,MATCH($J244,'Evidence Pulls'!$A$6:$A$125,0)),""))=0),"Operating claimed with no sample",IF(AND(N(O244)&gt;=3,P244=1),"Operating rests on one individual",IF(AND(L244&lt;&gt;"",N244=""),"Override with no rationale in column N",IF(AND(G244="MANDATORY",N(O244)&lt;3),"SAFETY GATE: below Operating","OK")))))))))</f>
        <v>No evidence pull assigned</v>
      </c>
    </row>
    <row r="245" customFormat="false" ht="22.35" hidden="false" customHeight="false" outlineLevel="0" collapsed="false">
      <c r="A245" s="18" t="s">
        <v>540</v>
      </c>
      <c r="B245" s="18" t="s">
        <v>516</v>
      </c>
      <c r="C245" s="18" t="s">
        <v>537</v>
      </c>
      <c r="D245" s="18" t="s">
        <v>538</v>
      </c>
      <c r="E245" s="18" t="s">
        <v>134</v>
      </c>
      <c r="F245" s="18"/>
      <c r="G245" s="19" t="s">
        <v>131</v>
      </c>
      <c r="H245" s="19" t="s">
        <v>132</v>
      </c>
      <c r="I245" s="18" t="s">
        <v>484</v>
      </c>
      <c r="J245" s="16"/>
      <c r="K245" s="16"/>
      <c r="L245" s="16"/>
      <c r="M245" s="16"/>
      <c r="N245" s="16"/>
      <c r="O245" s="17" t="str">
        <f aca="false">IFERROR(INDEX(Lists!$B$3:$B$7,MATCH(K245,Lists!$A$3:$A$7,0)),"")</f>
        <v/>
      </c>
      <c r="P245" s="17" t="str">
        <f aca="false">IFERROR(INDEX('Evidence Pulls'!$P$6:$P$125,MATCH($J245,'Evidence Pulls'!$A$6:$A$125,0)),"")</f>
        <v/>
      </c>
      <c r="Q245" s="17" t="str">
        <f aca="false">IFERROR(INDEX('Evidence Pulls'!$H$6:$H$125,MATCH($J245,'Evidence Pulls'!$A$6:$A$125,0)),"")</f>
        <v/>
      </c>
      <c r="R245" s="17" t="str">
        <f aca="false">IFERROR(INDEX('Evidence Pulls'!$Q$6:$Q$125,MATCH($J245,'Evidence Pulls'!$A$6:$A$125,0)),"")</f>
        <v/>
      </c>
      <c r="S245" s="17" t="str">
        <f aca="false">IF(L245&lt;&gt;"",L245,IF(K245="","Not assessed",IF(N(O245)&gt;=3,"Demonstrated","Gap - remediate")))</f>
        <v>Not assessed</v>
      </c>
      <c r="T245" s="17" t="str">
        <f aca="false">IF(J245="","No evidence pull assigned",IF(COUNTIF('Evidence Pulls'!$A$6:$A$125,J245)=0,"Pull ID not on Evidence Pulls sheet",IF(K245="","Not graded",IF(AND(G245="MANDATORY",L245="Gap - recommend tailoring"),"INVALID: safety-mandatory, not tailorable",IF(OR(P245="",P245=0),"NO NAMED EXECUTOR",IF(AND(H245="Full",IFERROR(INDEX('Evidence Pulls'!$C$6:$C$125,MATCH($J245,'Evidence Pulls'!$A$6:$A$125,0)),"")&lt;&gt;"Artifact",N(O245)&gt;=3,N(IFERROR(INDEX('Evidence Pulls'!$K$6:$K$125,MATCH($J245,'Evidence Pulls'!$A$6:$A$125,0)),""))=0),"Operating claimed with no sample",IF(AND(N(O245)&gt;=3,P245=1),"Operating rests on one individual",IF(AND(L245&lt;&gt;"",N245=""),"Override with no rationale in column N",IF(AND(G245="MANDATORY",N(O245)&lt;3),"SAFETY GATE: below Operating","OK")))))))))</f>
        <v>No evidence pull assigned</v>
      </c>
    </row>
    <row r="246" customFormat="false" ht="22.35" hidden="false" customHeight="false" outlineLevel="0" collapsed="false">
      <c r="A246" s="14" t="s">
        <v>541</v>
      </c>
      <c r="B246" s="14" t="s">
        <v>516</v>
      </c>
      <c r="C246" s="14" t="s">
        <v>537</v>
      </c>
      <c r="D246" s="14" t="s">
        <v>538</v>
      </c>
      <c r="E246" s="14" t="s">
        <v>136</v>
      </c>
      <c r="F246" s="15"/>
      <c r="G246" s="14"/>
      <c r="H246" s="14" t="s">
        <v>127</v>
      </c>
      <c r="I246" s="14" t="s">
        <v>484</v>
      </c>
      <c r="J246" s="16"/>
      <c r="K246" s="16"/>
      <c r="L246" s="16"/>
      <c r="M246" s="16"/>
      <c r="N246" s="16"/>
      <c r="O246" s="17" t="str">
        <f aca="false">IFERROR(INDEX(Lists!$B$3:$B$7,MATCH(K246,Lists!$A$3:$A$7,0)),"")</f>
        <v/>
      </c>
      <c r="P246" s="17" t="str">
        <f aca="false">IFERROR(INDEX('Evidence Pulls'!$P$6:$P$125,MATCH($J246,'Evidence Pulls'!$A$6:$A$125,0)),"")</f>
        <v/>
      </c>
      <c r="Q246" s="17" t="str">
        <f aca="false">IFERROR(INDEX('Evidence Pulls'!$H$6:$H$125,MATCH($J246,'Evidence Pulls'!$A$6:$A$125,0)),"")</f>
        <v/>
      </c>
      <c r="R246" s="17" t="str">
        <f aca="false">IFERROR(INDEX('Evidence Pulls'!$Q$6:$Q$125,MATCH($J246,'Evidence Pulls'!$A$6:$A$125,0)),"")</f>
        <v/>
      </c>
      <c r="S246" s="17" t="str">
        <f aca="false">IF(L246&lt;&gt;"",L246,IF(K246="","Not assessed",IF(N(O246)&gt;=3,"Demonstrated","Gap - remediate")))</f>
        <v>Not assessed</v>
      </c>
      <c r="T246" s="17" t="str">
        <f aca="false">IF(J246="","No evidence pull assigned",IF(COUNTIF('Evidence Pulls'!$A$6:$A$125,J246)=0,"Pull ID not on Evidence Pulls sheet",IF(K246="","Not graded",IF(AND(G246="MANDATORY",L246="Gap - recommend tailoring"),"INVALID: safety-mandatory, not tailorable",IF(OR(P246="",P246=0),"NO NAMED EXECUTOR",IF(AND(H246="Full",IFERROR(INDEX('Evidence Pulls'!$C$6:$C$125,MATCH($J246,'Evidence Pulls'!$A$6:$A$125,0)),"")&lt;&gt;"Artifact",N(O246)&gt;=3,N(IFERROR(INDEX('Evidence Pulls'!$K$6:$K$125,MATCH($J246,'Evidence Pulls'!$A$6:$A$125,0)),""))=0),"Operating claimed with no sample",IF(AND(N(O246)&gt;=3,P246=1),"Operating rests on one individual",IF(AND(L246&lt;&gt;"",N246=""),"Override with no rationale in column N",IF(AND(G246="MANDATORY",N(O246)&lt;3),"SAFETY GATE: below Operating","OK")))))))))</f>
        <v>No evidence pull assigned</v>
      </c>
    </row>
    <row r="247" customFormat="false" ht="22.35" hidden="false" customHeight="false" outlineLevel="0" collapsed="false">
      <c r="A247" s="14" t="s">
        <v>542</v>
      </c>
      <c r="B247" s="14" t="s">
        <v>516</v>
      </c>
      <c r="C247" s="14" t="s">
        <v>537</v>
      </c>
      <c r="D247" s="14" t="s">
        <v>538</v>
      </c>
      <c r="E247" s="14" t="s">
        <v>228</v>
      </c>
      <c r="F247" s="15"/>
      <c r="G247" s="14"/>
      <c r="H247" s="14" t="s">
        <v>127</v>
      </c>
      <c r="I247" s="14" t="s">
        <v>484</v>
      </c>
      <c r="J247" s="16"/>
      <c r="K247" s="16"/>
      <c r="L247" s="16"/>
      <c r="M247" s="16"/>
      <c r="N247" s="16"/>
      <c r="O247" s="17" t="str">
        <f aca="false">IFERROR(INDEX(Lists!$B$3:$B$7,MATCH(K247,Lists!$A$3:$A$7,0)),"")</f>
        <v/>
      </c>
      <c r="P247" s="17" t="str">
        <f aca="false">IFERROR(INDEX('Evidence Pulls'!$P$6:$P$125,MATCH($J247,'Evidence Pulls'!$A$6:$A$125,0)),"")</f>
        <v/>
      </c>
      <c r="Q247" s="17" t="str">
        <f aca="false">IFERROR(INDEX('Evidence Pulls'!$H$6:$H$125,MATCH($J247,'Evidence Pulls'!$A$6:$A$125,0)),"")</f>
        <v/>
      </c>
      <c r="R247" s="17" t="str">
        <f aca="false">IFERROR(INDEX('Evidence Pulls'!$Q$6:$Q$125,MATCH($J247,'Evidence Pulls'!$A$6:$A$125,0)),"")</f>
        <v/>
      </c>
      <c r="S247" s="17" t="str">
        <f aca="false">IF(L247&lt;&gt;"",L247,IF(K247="","Not assessed",IF(N(O247)&gt;=3,"Demonstrated","Gap - remediate")))</f>
        <v>Not assessed</v>
      </c>
      <c r="T247" s="17" t="str">
        <f aca="false">IF(J247="","No evidence pull assigned",IF(COUNTIF('Evidence Pulls'!$A$6:$A$125,J247)=0,"Pull ID not on Evidence Pulls sheet",IF(K247="","Not graded",IF(AND(G247="MANDATORY",L247="Gap - recommend tailoring"),"INVALID: safety-mandatory, not tailorable",IF(OR(P247="",P247=0),"NO NAMED EXECUTOR",IF(AND(H247="Full",IFERROR(INDEX('Evidence Pulls'!$C$6:$C$125,MATCH($J247,'Evidence Pulls'!$A$6:$A$125,0)),"")&lt;&gt;"Artifact",N(O247)&gt;=3,N(IFERROR(INDEX('Evidence Pulls'!$K$6:$K$125,MATCH($J247,'Evidence Pulls'!$A$6:$A$125,0)),""))=0),"Operating claimed with no sample",IF(AND(N(O247)&gt;=3,P247=1),"Operating rests on one individual",IF(AND(L247&lt;&gt;"",N247=""),"Override with no rationale in column N",IF(AND(G247="MANDATORY",N(O247)&lt;3),"SAFETY GATE: below Operating","OK")))))))))</f>
        <v>No evidence pull assigned</v>
      </c>
    </row>
    <row r="248" customFormat="false" ht="22.35" hidden="false" customHeight="false" outlineLevel="0" collapsed="false">
      <c r="A248" s="14" t="s">
        <v>543</v>
      </c>
      <c r="B248" s="14" t="s">
        <v>516</v>
      </c>
      <c r="C248" s="14" t="s">
        <v>544</v>
      </c>
      <c r="D248" s="14" t="s">
        <v>545</v>
      </c>
      <c r="E248" s="14" t="s">
        <v>141</v>
      </c>
      <c r="F248" s="15"/>
      <c r="G248" s="14"/>
      <c r="H248" s="14" t="s">
        <v>127</v>
      </c>
      <c r="I248" s="14" t="s">
        <v>484</v>
      </c>
      <c r="J248" s="16"/>
      <c r="K248" s="16"/>
      <c r="L248" s="16"/>
      <c r="M248" s="16"/>
      <c r="N248" s="16"/>
      <c r="O248" s="17" t="str">
        <f aca="false">IFERROR(INDEX(Lists!$B$3:$B$7,MATCH(K248,Lists!$A$3:$A$7,0)),"")</f>
        <v/>
      </c>
      <c r="P248" s="17" t="str">
        <f aca="false">IFERROR(INDEX('Evidence Pulls'!$P$6:$P$125,MATCH($J248,'Evidence Pulls'!$A$6:$A$125,0)),"")</f>
        <v/>
      </c>
      <c r="Q248" s="17" t="str">
        <f aca="false">IFERROR(INDEX('Evidence Pulls'!$H$6:$H$125,MATCH($J248,'Evidence Pulls'!$A$6:$A$125,0)),"")</f>
        <v/>
      </c>
      <c r="R248" s="17" t="str">
        <f aca="false">IFERROR(INDEX('Evidence Pulls'!$Q$6:$Q$125,MATCH($J248,'Evidence Pulls'!$A$6:$A$125,0)),"")</f>
        <v/>
      </c>
      <c r="S248" s="17" t="str">
        <f aca="false">IF(L248&lt;&gt;"",L248,IF(K248="","Not assessed",IF(N(O248)&gt;=3,"Demonstrated","Gap - remediate")))</f>
        <v>Not assessed</v>
      </c>
      <c r="T248" s="17" t="str">
        <f aca="false">IF(J248="","No evidence pull assigned",IF(COUNTIF('Evidence Pulls'!$A$6:$A$125,J248)=0,"Pull ID not on Evidence Pulls sheet",IF(K248="","Not graded",IF(AND(G248="MANDATORY",L248="Gap - recommend tailoring"),"INVALID: safety-mandatory, not tailorable",IF(OR(P248="",P248=0),"NO NAMED EXECUTOR",IF(AND(H248="Full",IFERROR(INDEX('Evidence Pulls'!$C$6:$C$125,MATCH($J248,'Evidence Pulls'!$A$6:$A$125,0)),"")&lt;&gt;"Artifact",N(O248)&gt;=3,N(IFERROR(INDEX('Evidence Pulls'!$K$6:$K$125,MATCH($J248,'Evidence Pulls'!$A$6:$A$125,0)),""))=0),"Operating claimed with no sample",IF(AND(N(O248)&gt;=3,P248=1),"Operating rests on one individual",IF(AND(L248&lt;&gt;"",N248=""),"Override with no rationale in column N",IF(AND(G248="MANDATORY",N(O248)&lt;3),"SAFETY GATE: below Operating","OK")))))))))</f>
        <v>No evidence pull assigned</v>
      </c>
    </row>
    <row r="249" customFormat="false" ht="22.35" hidden="false" customHeight="false" outlineLevel="0" collapsed="false">
      <c r="A249" s="14" t="s">
        <v>546</v>
      </c>
      <c r="B249" s="14" t="s">
        <v>516</v>
      </c>
      <c r="C249" s="14" t="s">
        <v>544</v>
      </c>
      <c r="D249" s="14" t="s">
        <v>545</v>
      </c>
      <c r="E249" s="14" t="s">
        <v>143</v>
      </c>
      <c r="F249" s="15"/>
      <c r="G249" s="14"/>
      <c r="H249" s="14" t="s">
        <v>127</v>
      </c>
      <c r="I249" s="14" t="s">
        <v>484</v>
      </c>
      <c r="J249" s="16"/>
      <c r="K249" s="16"/>
      <c r="L249" s="16"/>
      <c r="M249" s="16"/>
      <c r="N249" s="16"/>
      <c r="O249" s="17" t="str">
        <f aca="false">IFERROR(INDEX(Lists!$B$3:$B$7,MATCH(K249,Lists!$A$3:$A$7,0)),"")</f>
        <v/>
      </c>
      <c r="P249" s="17" t="str">
        <f aca="false">IFERROR(INDEX('Evidence Pulls'!$P$6:$P$125,MATCH($J249,'Evidence Pulls'!$A$6:$A$125,0)),"")</f>
        <v/>
      </c>
      <c r="Q249" s="17" t="str">
        <f aca="false">IFERROR(INDEX('Evidence Pulls'!$H$6:$H$125,MATCH($J249,'Evidence Pulls'!$A$6:$A$125,0)),"")</f>
        <v/>
      </c>
      <c r="R249" s="17" t="str">
        <f aca="false">IFERROR(INDEX('Evidence Pulls'!$Q$6:$Q$125,MATCH($J249,'Evidence Pulls'!$A$6:$A$125,0)),"")</f>
        <v/>
      </c>
      <c r="S249" s="17" t="str">
        <f aca="false">IF(L249&lt;&gt;"",L249,IF(K249="","Not assessed",IF(N(O249)&gt;=3,"Demonstrated","Gap - remediate")))</f>
        <v>Not assessed</v>
      </c>
      <c r="T249" s="17" t="str">
        <f aca="false">IF(J249="","No evidence pull assigned",IF(COUNTIF('Evidence Pulls'!$A$6:$A$125,J249)=0,"Pull ID not on Evidence Pulls sheet",IF(K249="","Not graded",IF(AND(G249="MANDATORY",L249="Gap - recommend tailoring"),"INVALID: safety-mandatory, not tailorable",IF(OR(P249="",P249=0),"NO NAMED EXECUTOR",IF(AND(H249="Full",IFERROR(INDEX('Evidence Pulls'!$C$6:$C$125,MATCH($J249,'Evidence Pulls'!$A$6:$A$125,0)),"")&lt;&gt;"Artifact",N(O249)&gt;=3,N(IFERROR(INDEX('Evidence Pulls'!$K$6:$K$125,MATCH($J249,'Evidence Pulls'!$A$6:$A$125,0)),""))=0),"Operating claimed with no sample",IF(AND(N(O249)&gt;=3,P249=1),"Operating rests on one individual",IF(AND(L249&lt;&gt;"",N249=""),"Override with no rationale in column N",IF(AND(G249="MANDATORY",N(O249)&lt;3),"SAFETY GATE: below Operating","OK")))))))))</f>
        <v>No evidence pull assigned</v>
      </c>
    </row>
    <row r="250" customFormat="false" ht="22.35" hidden="false" customHeight="false" outlineLevel="0" collapsed="false">
      <c r="A250" s="18" t="s">
        <v>547</v>
      </c>
      <c r="B250" s="18" t="s">
        <v>516</v>
      </c>
      <c r="C250" s="18" t="s">
        <v>544</v>
      </c>
      <c r="D250" s="18" t="s">
        <v>545</v>
      </c>
      <c r="E250" s="18" t="s">
        <v>145</v>
      </c>
      <c r="F250" s="18"/>
      <c r="G250" s="19" t="s">
        <v>131</v>
      </c>
      <c r="H250" s="19" t="s">
        <v>132</v>
      </c>
      <c r="I250" s="18" t="s">
        <v>484</v>
      </c>
      <c r="J250" s="16"/>
      <c r="K250" s="16"/>
      <c r="L250" s="16"/>
      <c r="M250" s="16"/>
      <c r="N250" s="16"/>
      <c r="O250" s="17" t="str">
        <f aca="false">IFERROR(INDEX(Lists!$B$3:$B$7,MATCH(K250,Lists!$A$3:$A$7,0)),"")</f>
        <v/>
      </c>
      <c r="P250" s="17" t="str">
        <f aca="false">IFERROR(INDEX('Evidence Pulls'!$P$6:$P$125,MATCH($J250,'Evidence Pulls'!$A$6:$A$125,0)),"")</f>
        <v/>
      </c>
      <c r="Q250" s="17" t="str">
        <f aca="false">IFERROR(INDEX('Evidence Pulls'!$H$6:$H$125,MATCH($J250,'Evidence Pulls'!$A$6:$A$125,0)),"")</f>
        <v/>
      </c>
      <c r="R250" s="17" t="str">
        <f aca="false">IFERROR(INDEX('Evidence Pulls'!$Q$6:$Q$125,MATCH($J250,'Evidence Pulls'!$A$6:$A$125,0)),"")</f>
        <v/>
      </c>
      <c r="S250" s="17" t="str">
        <f aca="false">IF(L250&lt;&gt;"",L250,IF(K250="","Not assessed",IF(N(O250)&gt;=3,"Demonstrated","Gap - remediate")))</f>
        <v>Not assessed</v>
      </c>
      <c r="T250" s="17" t="str">
        <f aca="false">IF(J250="","No evidence pull assigned",IF(COUNTIF('Evidence Pulls'!$A$6:$A$125,J250)=0,"Pull ID not on Evidence Pulls sheet",IF(K250="","Not graded",IF(AND(G250="MANDATORY",L250="Gap - recommend tailoring"),"INVALID: safety-mandatory, not tailorable",IF(OR(P250="",P250=0),"NO NAMED EXECUTOR",IF(AND(H250="Full",IFERROR(INDEX('Evidence Pulls'!$C$6:$C$125,MATCH($J250,'Evidence Pulls'!$A$6:$A$125,0)),"")&lt;&gt;"Artifact",N(O250)&gt;=3,N(IFERROR(INDEX('Evidence Pulls'!$K$6:$K$125,MATCH($J250,'Evidence Pulls'!$A$6:$A$125,0)),""))=0),"Operating claimed with no sample",IF(AND(N(O250)&gt;=3,P250=1),"Operating rests on one individual",IF(AND(L250&lt;&gt;"",N250=""),"Override with no rationale in column N",IF(AND(G250="MANDATORY",N(O250)&lt;3),"SAFETY GATE: below Operating","OK")))))))))</f>
        <v>No evidence pull assigned</v>
      </c>
    </row>
    <row r="251" customFormat="false" ht="22.35" hidden="false" customHeight="false" outlineLevel="0" collapsed="false">
      <c r="A251" s="14" t="s">
        <v>548</v>
      </c>
      <c r="B251" s="14" t="s">
        <v>516</v>
      </c>
      <c r="C251" s="14" t="s">
        <v>544</v>
      </c>
      <c r="D251" s="14" t="s">
        <v>545</v>
      </c>
      <c r="E251" s="14" t="s">
        <v>182</v>
      </c>
      <c r="F251" s="15"/>
      <c r="G251" s="14"/>
      <c r="H251" s="14" t="s">
        <v>127</v>
      </c>
      <c r="I251" s="14" t="s">
        <v>484</v>
      </c>
      <c r="J251" s="16"/>
      <c r="K251" s="16"/>
      <c r="L251" s="16"/>
      <c r="M251" s="16"/>
      <c r="N251" s="16"/>
      <c r="O251" s="17" t="str">
        <f aca="false">IFERROR(INDEX(Lists!$B$3:$B$7,MATCH(K251,Lists!$A$3:$A$7,0)),"")</f>
        <v/>
      </c>
      <c r="P251" s="17" t="str">
        <f aca="false">IFERROR(INDEX('Evidence Pulls'!$P$6:$P$125,MATCH($J251,'Evidence Pulls'!$A$6:$A$125,0)),"")</f>
        <v/>
      </c>
      <c r="Q251" s="17" t="str">
        <f aca="false">IFERROR(INDEX('Evidence Pulls'!$H$6:$H$125,MATCH($J251,'Evidence Pulls'!$A$6:$A$125,0)),"")</f>
        <v/>
      </c>
      <c r="R251" s="17" t="str">
        <f aca="false">IFERROR(INDEX('Evidence Pulls'!$Q$6:$Q$125,MATCH($J251,'Evidence Pulls'!$A$6:$A$125,0)),"")</f>
        <v/>
      </c>
      <c r="S251" s="17" t="str">
        <f aca="false">IF(L251&lt;&gt;"",L251,IF(K251="","Not assessed",IF(N(O251)&gt;=3,"Demonstrated","Gap - remediate")))</f>
        <v>Not assessed</v>
      </c>
      <c r="T251" s="17" t="str">
        <f aca="false">IF(J251="","No evidence pull assigned",IF(COUNTIF('Evidence Pulls'!$A$6:$A$125,J251)=0,"Pull ID not on Evidence Pulls sheet",IF(K251="","Not graded",IF(AND(G251="MANDATORY",L251="Gap - recommend tailoring"),"INVALID: safety-mandatory, not tailorable",IF(OR(P251="",P251=0),"NO NAMED EXECUTOR",IF(AND(H251="Full",IFERROR(INDEX('Evidence Pulls'!$C$6:$C$125,MATCH($J251,'Evidence Pulls'!$A$6:$A$125,0)),"")&lt;&gt;"Artifact",N(O251)&gt;=3,N(IFERROR(INDEX('Evidence Pulls'!$K$6:$K$125,MATCH($J251,'Evidence Pulls'!$A$6:$A$125,0)),""))=0),"Operating claimed with no sample",IF(AND(N(O251)&gt;=3,P251=1),"Operating rests on one individual",IF(AND(L251&lt;&gt;"",N251=""),"Override with no rationale in column N",IF(AND(G251="MANDATORY",N(O251)&lt;3),"SAFETY GATE: below Operating","OK")))))))))</f>
        <v>No evidence pull assigned</v>
      </c>
    </row>
    <row r="252" customFormat="false" ht="22.35" hidden="false" customHeight="false" outlineLevel="0" collapsed="false">
      <c r="A252" s="14" t="s">
        <v>549</v>
      </c>
      <c r="B252" s="14" t="s">
        <v>516</v>
      </c>
      <c r="C252" s="14" t="s">
        <v>544</v>
      </c>
      <c r="D252" s="14" t="s">
        <v>545</v>
      </c>
      <c r="E252" s="14" t="s">
        <v>184</v>
      </c>
      <c r="F252" s="15"/>
      <c r="G252" s="14"/>
      <c r="H252" s="14" t="s">
        <v>127</v>
      </c>
      <c r="I252" s="14" t="s">
        <v>484</v>
      </c>
      <c r="J252" s="16"/>
      <c r="K252" s="16"/>
      <c r="L252" s="16"/>
      <c r="M252" s="16"/>
      <c r="N252" s="16"/>
      <c r="O252" s="17" t="str">
        <f aca="false">IFERROR(INDEX(Lists!$B$3:$B$7,MATCH(K252,Lists!$A$3:$A$7,0)),"")</f>
        <v/>
      </c>
      <c r="P252" s="17" t="str">
        <f aca="false">IFERROR(INDEX('Evidence Pulls'!$P$6:$P$125,MATCH($J252,'Evidence Pulls'!$A$6:$A$125,0)),"")</f>
        <v/>
      </c>
      <c r="Q252" s="17" t="str">
        <f aca="false">IFERROR(INDEX('Evidence Pulls'!$H$6:$H$125,MATCH($J252,'Evidence Pulls'!$A$6:$A$125,0)),"")</f>
        <v/>
      </c>
      <c r="R252" s="17" t="str">
        <f aca="false">IFERROR(INDEX('Evidence Pulls'!$Q$6:$Q$125,MATCH($J252,'Evidence Pulls'!$A$6:$A$125,0)),"")</f>
        <v/>
      </c>
      <c r="S252" s="17" t="str">
        <f aca="false">IF(L252&lt;&gt;"",L252,IF(K252="","Not assessed",IF(N(O252)&gt;=3,"Demonstrated","Gap - remediate")))</f>
        <v>Not assessed</v>
      </c>
      <c r="T252" s="17" t="str">
        <f aca="false">IF(J252="","No evidence pull assigned",IF(COUNTIF('Evidence Pulls'!$A$6:$A$125,J252)=0,"Pull ID not on Evidence Pulls sheet",IF(K252="","Not graded",IF(AND(G252="MANDATORY",L252="Gap - recommend tailoring"),"INVALID: safety-mandatory, not tailorable",IF(OR(P252="",P252=0),"NO NAMED EXECUTOR",IF(AND(H252="Full",IFERROR(INDEX('Evidence Pulls'!$C$6:$C$125,MATCH($J252,'Evidence Pulls'!$A$6:$A$125,0)),"")&lt;&gt;"Artifact",N(O252)&gt;=3,N(IFERROR(INDEX('Evidence Pulls'!$K$6:$K$125,MATCH($J252,'Evidence Pulls'!$A$6:$A$125,0)),""))=0),"Operating claimed with no sample",IF(AND(N(O252)&gt;=3,P252=1),"Operating rests on one individual",IF(AND(L252&lt;&gt;"",N252=""),"Override with no rationale in column N",IF(AND(G252="MANDATORY",N(O252)&lt;3),"SAFETY GATE: below Operating","OK")))))))))</f>
        <v>No evidence pull assigned</v>
      </c>
    </row>
    <row r="253" customFormat="false" ht="22.35" hidden="false" customHeight="false" outlineLevel="0" collapsed="false">
      <c r="A253" s="14" t="s">
        <v>550</v>
      </c>
      <c r="B253" s="14" t="s">
        <v>516</v>
      </c>
      <c r="C253" s="14" t="s">
        <v>544</v>
      </c>
      <c r="D253" s="14" t="s">
        <v>545</v>
      </c>
      <c r="E253" s="14" t="s">
        <v>186</v>
      </c>
      <c r="F253" s="15"/>
      <c r="G253" s="14"/>
      <c r="H253" s="14" t="s">
        <v>127</v>
      </c>
      <c r="I253" s="14" t="s">
        <v>484</v>
      </c>
      <c r="J253" s="16"/>
      <c r="K253" s="16"/>
      <c r="L253" s="16"/>
      <c r="M253" s="16"/>
      <c r="N253" s="16"/>
      <c r="O253" s="17" t="str">
        <f aca="false">IFERROR(INDEX(Lists!$B$3:$B$7,MATCH(K253,Lists!$A$3:$A$7,0)),"")</f>
        <v/>
      </c>
      <c r="P253" s="17" t="str">
        <f aca="false">IFERROR(INDEX('Evidence Pulls'!$P$6:$P$125,MATCH($J253,'Evidence Pulls'!$A$6:$A$125,0)),"")</f>
        <v/>
      </c>
      <c r="Q253" s="17" t="str">
        <f aca="false">IFERROR(INDEX('Evidence Pulls'!$H$6:$H$125,MATCH($J253,'Evidence Pulls'!$A$6:$A$125,0)),"")</f>
        <v/>
      </c>
      <c r="R253" s="17" t="str">
        <f aca="false">IFERROR(INDEX('Evidence Pulls'!$Q$6:$Q$125,MATCH($J253,'Evidence Pulls'!$A$6:$A$125,0)),"")</f>
        <v/>
      </c>
      <c r="S253" s="17" t="str">
        <f aca="false">IF(L253&lt;&gt;"",L253,IF(K253="","Not assessed",IF(N(O253)&gt;=3,"Demonstrated","Gap - remediate")))</f>
        <v>Not assessed</v>
      </c>
      <c r="T253" s="17" t="str">
        <f aca="false">IF(J253="","No evidence pull assigned",IF(COUNTIF('Evidence Pulls'!$A$6:$A$125,J253)=0,"Pull ID not on Evidence Pulls sheet",IF(K253="","Not graded",IF(AND(G253="MANDATORY",L253="Gap - recommend tailoring"),"INVALID: safety-mandatory, not tailorable",IF(OR(P253="",P253=0),"NO NAMED EXECUTOR",IF(AND(H253="Full",IFERROR(INDEX('Evidence Pulls'!$C$6:$C$125,MATCH($J253,'Evidence Pulls'!$A$6:$A$125,0)),"")&lt;&gt;"Artifact",N(O253)&gt;=3,N(IFERROR(INDEX('Evidence Pulls'!$K$6:$K$125,MATCH($J253,'Evidence Pulls'!$A$6:$A$125,0)),""))=0),"Operating claimed with no sample",IF(AND(N(O253)&gt;=3,P253=1),"Operating rests on one individual",IF(AND(L253&lt;&gt;"",N253=""),"Override with no rationale in column N",IF(AND(G253="MANDATORY",N(O253)&lt;3),"SAFETY GATE: below Operating","OK")))))))))</f>
        <v>No evidence pull assigned</v>
      </c>
    </row>
    <row r="254" customFormat="false" ht="22.35" hidden="false" customHeight="false" outlineLevel="0" collapsed="false">
      <c r="A254" s="14" t="s">
        <v>551</v>
      </c>
      <c r="B254" s="14" t="s">
        <v>516</v>
      </c>
      <c r="C254" s="14" t="s">
        <v>544</v>
      </c>
      <c r="D254" s="14" t="s">
        <v>545</v>
      </c>
      <c r="E254" s="14" t="s">
        <v>188</v>
      </c>
      <c r="F254" s="15"/>
      <c r="G254" s="14"/>
      <c r="H254" s="14" t="s">
        <v>127</v>
      </c>
      <c r="I254" s="14" t="s">
        <v>484</v>
      </c>
      <c r="J254" s="16"/>
      <c r="K254" s="16"/>
      <c r="L254" s="16"/>
      <c r="M254" s="16"/>
      <c r="N254" s="16"/>
      <c r="O254" s="17" t="str">
        <f aca="false">IFERROR(INDEX(Lists!$B$3:$B$7,MATCH(K254,Lists!$A$3:$A$7,0)),"")</f>
        <v/>
      </c>
      <c r="P254" s="17" t="str">
        <f aca="false">IFERROR(INDEX('Evidence Pulls'!$P$6:$P$125,MATCH($J254,'Evidence Pulls'!$A$6:$A$125,0)),"")</f>
        <v/>
      </c>
      <c r="Q254" s="17" t="str">
        <f aca="false">IFERROR(INDEX('Evidence Pulls'!$H$6:$H$125,MATCH($J254,'Evidence Pulls'!$A$6:$A$125,0)),"")</f>
        <v/>
      </c>
      <c r="R254" s="17" t="str">
        <f aca="false">IFERROR(INDEX('Evidence Pulls'!$Q$6:$Q$125,MATCH($J254,'Evidence Pulls'!$A$6:$A$125,0)),"")</f>
        <v/>
      </c>
      <c r="S254" s="17" t="str">
        <f aca="false">IF(L254&lt;&gt;"",L254,IF(K254="","Not assessed",IF(N(O254)&gt;=3,"Demonstrated","Gap - remediate")))</f>
        <v>Not assessed</v>
      </c>
      <c r="T254" s="17" t="str">
        <f aca="false">IF(J254="","No evidence pull assigned",IF(COUNTIF('Evidence Pulls'!$A$6:$A$125,J254)=0,"Pull ID not on Evidence Pulls sheet",IF(K254="","Not graded",IF(AND(G254="MANDATORY",L254="Gap - recommend tailoring"),"INVALID: safety-mandatory, not tailorable",IF(OR(P254="",P254=0),"NO NAMED EXECUTOR",IF(AND(H254="Full",IFERROR(INDEX('Evidence Pulls'!$C$6:$C$125,MATCH($J254,'Evidence Pulls'!$A$6:$A$125,0)),"")&lt;&gt;"Artifact",N(O254)&gt;=3,N(IFERROR(INDEX('Evidence Pulls'!$K$6:$K$125,MATCH($J254,'Evidence Pulls'!$A$6:$A$125,0)),""))=0),"Operating claimed with no sample",IF(AND(N(O254)&gt;=3,P254=1),"Operating rests on one individual",IF(AND(L254&lt;&gt;"",N254=""),"Override with no rationale in column N",IF(AND(G254="MANDATORY",N(O254)&lt;3),"SAFETY GATE: below Operating","OK")))))))))</f>
        <v>No evidence pull assigned</v>
      </c>
    </row>
    <row r="255" customFormat="false" ht="22.35" hidden="false" customHeight="false" outlineLevel="0" collapsed="false">
      <c r="A255" s="14" t="s">
        <v>552</v>
      </c>
      <c r="B255" s="14" t="s">
        <v>516</v>
      </c>
      <c r="C255" s="14" t="s">
        <v>544</v>
      </c>
      <c r="D255" s="14" t="s">
        <v>545</v>
      </c>
      <c r="E255" s="14" t="s">
        <v>190</v>
      </c>
      <c r="F255" s="15"/>
      <c r="G255" s="14"/>
      <c r="H255" s="14" t="s">
        <v>127</v>
      </c>
      <c r="I255" s="14" t="s">
        <v>484</v>
      </c>
      <c r="J255" s="16"/>
      <c r="K255" s="16"/>
      <c r="L255" s="16"/>
      <c r="M255" s="16"/>
      <c r="N255" s="16"/>
      <c r="O255" s="17" t="str">
        <f aca="false">IFERROR(INDEX(Lists!$B$3:$B$7,MATCH(K255,Lists!$A$3:$A$7,0)),"")</f>
        <v/>
      </c>
      <c r="P255" s="17" t="str">
        <f aca="false">IFERROR(INDEX('Evidence Pulls'!$P$6:$P$125,MATCH($J255,'Evidence Pulls'!$A$6:$A$125,0)),"")</f>
        <v/>
      </c>
      <c r="Q255" s="17" t="str">
        <f aca="false">IFERROR(INDEX('Evidence Pulls'!$H$6:$H$125,MATCH($J255,'Evidence Pulls'!$A$6:$A$125,0)),"")</f>
        <v/>
      </c>
      <c r="R255" s="17" t="str">
        <f aca="false">IFERROR(INDEX('Evidence Pulls'!$Q$6:$Q$125,MATCH($J255,'Evidence Pulls'!$A$6:$A$125,0)),"")</f>
        <v/>
      </c>
      <c r="S255" s="17" t="str">
        <f aca="false">IF(L255&lt;&gt;"",L255,IF(K255="","Not assessed",IF(N(O255)&gt;=3,"Demonstrated","Gap - remediate")))</f>
        <v>Not assessed</v>
      </c>
      <c r="T255" s="17" t="str">
        <f aca="false">IF(J255="","No evidence pull assigned",IF(COUNTIF('Evidence Pulls'!$A$6:$A$125,J255)=0,"Pull ID not on Evidence Pulls sheet",IF(K255="","Not graded",IF(AND(G255="MANDATORY",L255="Gap - recommend tailoring"),"INVALID: safety-mandatory, not tailorable",IF(OR(P255="",P255=0),"NO NAMED EXECUTOR",IF(AND(H255="Full",IFERROR(INDEX('Evidence Pulls'!$C$6:$C$125,MATCH($J255,'Evidence Pulls'!$A$6:$A$125,0)),"")&lt;&gt;"Artifact",N(O255)&gt;=3,N(IFERROR(INDEX('Evidence Pulls'!$K$6:$K$125,MATCH($J255,'Evidence Pulls'!$A$6:$A$125,0)),""))=0),"Operating claimed with no sample",IF(AND(N(O255)&gt;=3,P255=1),"Operating rests on one individual",IF(AND(L255&lt;&gt;"",N255=""),"Override with no rationale in column N",IF(AND(G255="MANDATORY",N(O255)&lt;3),"SAFETY GATE: below Operating","OK")))))))))</f>
        <v>No evidence pull assigned</v>
      </c>
    </row>
    <row r="256" customFormat="false" ht="22.35" hidden="false" customHeight="false" outlineLevel="0" collapsed="false">
      <c r="A256" s="14" t="s">
        <v>553</v>
      </c>
      <c r="B256" s="14" t="s">
        <v>516</v>
      </c>
      <c r="C256" s="14" t="s">
        <v>544</v>
      </c>
      <c r="D256" s="14" t="s">
        <v>545</v>
      </c>
      <c r="E256" s="14" t="s">
        <v>192</v>
      </c>
      <c r="F256" s="15"/>
      <c r="G256" s="14"/>
      <c r="H256" s="14" t="s">
        <v>127</v>
      </c>
      <c r="I256" s="14" t="s">
        <v>484</v>
      </c>
      <c r="J256" s="16"/>
      <c r="K256" s="16"/>
      <c r="L256" s="16"/>
      <c r="M256" s="16"/>
      <c r="N256" s="16"/>
      <c r="O256" s="17" t="str">
        <f aca="false">IFERROR(INDEX(Lists!$B$3:$B$7,MATCH(K256,Lists!$A$3:$A$7,0)),"")</f>
        <v/>
      </c>
      <c r="P256" s="17" t="str">
        <f aca="false">IFERROR(INDEX('Evidence Pulls'!$P$6:$P$125,MATCH($J256,'Evidence Pulls'!$A$6:$A$125,0)),"")</f>
        <v/>
      </c>
      <c r="Q256" s="17" t="str">
        <f aca="false">IFERROR(INDEX('Evidence Pulls'!$H$6:$H$125,MATCH($J256,'Evidence Pulls'!$A$6:$A$125,0)),"")</f>
        <v/>
      </c>
      <c r="R256" s="17" t="str">
        <f aca="false">IFERROR(INDEX('Evidence Pulls'!$Q$6:$Q$125,MATCH($J256,'Evidence Pulls'!$A$6:$A$125,0)),"")</f>
        <v/>
      </c>
      <c r="S256" s="17" t="str">
        <f aca="false">IF(L256&lt;&gt;"",L256,IF(K256="","Not assessed",IF(N(O256)&gt;=3,"Demonstrated","Gap - remediate")))</f>
        <v>Not assessed</v>
      </c>
      <c r="T256" s="17" t="str">
        <f aca="false">IF(J256="","No evidence pull assigned",IF(COUNTIF('Evidence Pulls'!$A$6:$A$125,J256)=0,"Pull ID not on Evidence Pulls sheet",IF(K256="","Not graded",IF(AND(G256="MANDATORY",L256="Gap - recommend tailoring"),"INVALID: safety-mandatory, not tailorable",IF(OR(P256="",P256=0),"NO NAMED EXECUTOR",IF(AND(H256="Full",IFERROR(INDEX('Evidence Pulls'!$C$6:$C$125,MATCH($J256,'Evidence Pulls'!$A$6:$A$125,0)),"")&lt;&gt;"Artifact",N(O256)&gt;=3,N(IFERROR(INDEX('Evidence Pulls'!$K$6:$K$125,MATCH($J256,'Evidence Pulls'!$A$6:$A$125,0)),""))=0),"Operating claimed with no sample",IF(AND(N(O256)&gt;=3,P256=1),"Operating rests on one individual",IF(AND(L256&lt;&gt;"",N256=""),"Override with no rationale in column N",IF(AND(G256="MANDATORY",N(O256)&lt;3),"SAFETY GATE: below Operating","OK")))))))))</f>
        <v>No evidence pull assigned</v>
      </c>
    </row>
    <row r="257" customFormat="false" ht="22.35" hidden="false" customHeight="false" outlineLevel="0" collapsed="false">
      <c r="A257" s="14" t="s">
        <v>554</v>
      </c>
      <c r="B257" s="14" t="s">
        <v>516</v>
      </c>
      <c r="C257" s="14" t="s">
        <v>544</v>
      </c>
      <c r="D257" s="14" t="s">
        <v>545</v>
      </c>
      <c r="E257" s="14" t="s">
        <v>194</v>
      </c>
      <c r="F257" s="15"/>
      <c r="G257" s="14"/>
      <c r="H257" s="14" t="s">
        <v>127</v>
      </c>
      <c r="I257" s="14" t="s">
        <v>484</v>
      </c>
      <c r="J257" s="16"/>
      <c r="K257" s="16"/>
      <c r="L257" s="16"/>
      <c r="M257" s="16"/>
      <c r="N257" s="16"/>
      <c r="O257" s="17" t="str">
        <f aca="false">IFERROR(INDEX(Lists!$B$3:$B$7,MATCH(K257,Lists!$A$3:$A$7,0)),"")</f>
        <v/>
      </c>
      <c r="P257" s="17" t="str">
        <f aca="false">IFERROR(INDEX('Evidence Pulls'!$P$6:$P$125,MATCH($J257,'Evidence Pulls'!$A$6:$A$125,0)),"")</f>
        <v/>
      </c>
      <c r="Q257" s="17" t="str">
        <f aca="false">IFERROR(INDEX('Evidence Pulls'!$H$6:$H$125,MATCH($J257,'Evidence Pulls'!$A$6:$A$125,0)),"")</f>
        <v/>
      </c>
      <c r="R257" s="17" t="str">
        <f aca="false">IFERROR(INDEX('Evidence Pulls'!$Q$6:$Q$125,MATCH($J257,'Evidence Pulls'!$A$6:$A$125,0)),"")</f>
        <v/>
      </c>
      <c r="S257" s="17" t="str">
        <f aca="false">IF(L257&lt;&gt;"",L257,IF(K257="","Not assessed",IF(N(O257)&gt;=3,"Demonstrated","Gap - remediate")))</f>
        <v>Not assessed</v>
      </c>
      <c r="T257" s="17" t="str">
        <f aca="false">IF(J257="","No evidence pull assigned",IF(COUNTIF('Evidence Pulls'!$A$6:$A$125,J257)=0,"Pull ID not on Evidence Pulls sheet",IF(K257="","Not graded",IF(AND(G257="MANDATORY",L257="Gap - recommend tailoring"),"INVALID: safety-mandatory, not tailorable",IF(OR(P257="",P257=0),"NO NAMED EXECUTOR",IF(AND(H257="Full",IFERROR(INDEX('Evidence Pulls'!$C$6:$C$125,MATCH($J257,'Evidence Pulls'!$A$6:$A$125,0)),"")&lt;&gt;"Artifact",N(O257)&gt;=3,N(IFERROR(INDEX('Evidence Pulls'!$K$6:$K$125,MATCH($J257,'Evidence Pulls'!$A$6:$A$125,0)),""))=0),"Operating claimed with no sample",IF(AND(N(O257)&gt;=3,P257=1),"Operating rests on one individual",IF(AND(L257&lt;&gt;"",N257=""),"Override with no rationale in column N",IF(AND(G257="MANDATORY",N(O257)&lt;3),"SAFETY GATE: below Operating","OK")))))))))</f>
        <v>No evidence pull assigned</v>
      </c>
    </row>
    <row r="258" customFormat="false" ht="22.35" hidden="false" customHeight="false" outlineLevel="0" collapsed="false">
      <c r="A258" s="14" t="s">
        <v>555</v>
      </c>
      <c r="B258" s="14" t="s">
        <v>516</v>
      </c>
      <c r="C258" s="14" t="s">
        <v>544</v>
      </c>
      <c r="D258" s="14" t="s">
        <v>545</v>
      </c>
      <c r="E258" s="14" t="s">
        <v>196</v>
      </c>
      <c r="F258" s="15"/>
      <c r="G258" s="14"/>
      <c r="H258" s="14" t="s">
        <v>127</v>
      </c>
      <c r="I258" s="14" t="s">
        <v>484</v>
      </c>
      <c r="J258" s="16"/>
      <c r="K258" s="16"/>
      <c r="L258" s="16"/>
      <c r="M258" s="16"/>
      <c r="N258" s="16"/>
      <c r="O258" s="17" t="str">
        <f aca="false">IFERROR(INDEX(Lists!$B$3:$B$7,MATCH(K258,Lists!$A$3:$A$7,0)),"")</f>
        <v/>
      </c>
      <c r="P258" s="17" t="str">
        <f aca="false">IFERROR(INDEX('Evidence Pulls'!$P$6:$P$125,MATCH($J258,'Evidence Pulls'!$A$6:$A$125,0)),"")</f>
        <v/>
      </c>
      <c r="Q258" s="17" t="str">
        <f aca="false">IFERROR(INDEX('Evidence Pulls'!$H$6:$H$125,MATCH($J258,'Evidence Pulls'!$A$6:$A$125,0)),"")</f>
        <v/>
      </c>
      <c r="R258" s="17" t="str">
        <f aca="false">IFERROR(INDEX('Evidence Pulls'!$Q$6:$Q$125,MATCH($J258,'Evidence Pulls'!$A$6:$A$125,0)),"")</f>
        <v/>
      </c>
      <c r="S258" s="17" t="str">
        <f aca="false">IF(L258&lt;&gt;"",L258,IF(K258="","Not assessed",IF(N(O258)&gt;=3,"Demonstrated","Gap - remediate")))</f>
        <v>Not assessed</v>
      </c>
      <c r="T258" s="17" t="str">
        <f aca="false">IF(J258="","No evidence pull assigned",IF(COUNTIF('Evidence Pulls'!$A$6:$A$125,J258)=0,"Pull ID not on Evidence Pulls sheet",IF(K258="","Not graded",IF(AND(G258="MANDATORY",L258="Gap - recommend tailoring"),"INVALID: safety-mandatory, not tailorable",IF(OR(P258="",P258=0),"NO NAMED EXECUTOR",IF(AND(H258="Full",IFERROR(INDEX('Evidence Pulls'!$C$6:$C$125,MATCH($J258,'Evidence Pulls'!$A$6:$A$125,0)),"")&lt;&gt;"Artifact",N(O258)&gt;=3,N(IFERROR(INDEX('Evidence Pulls'!$K$6:$K$125,MATCH($J258,'Evidence Pulls'!$A$6:$A$125,0)),""))=0),"Operating claimed with no sample",IF(AND(N(O258)&gt;=3,P258=1),"Operating rests on one individual",IF(AND(L258&lt;&gt;"",N258=""),"Override with no rationale in column N",IF(AND(G258="MANDATORY",N(O258)&lt;3),"SAFETY GATE: below Operating","OK")))))))))</f>
        <v>No evidence pull assigned</v>
      </c>
    </row>
    <row r="259" customFormat="false" ht="22.35" hidden="false" customHeight="false" outlineLevel="0" collapsed="false">
      <c r="A259" s="14" t="s">
        <v>556</v>
      </c>
      <c r="B259" s="14" t="s">
        <v>516</v>
      </c>
      <c r="C259" s="14" t="s">
        <v>544</v>
      </c>
      <c r="D259" s="14" t="s">
        <v>545</v>
      </c>
      <c r="E259" s="14" t="s">
        <v>198</v>
      </c>
      <c r="F259" s="15"/>
      <c r="G259" s="14"/>
      <c r="H259" s="14" t="s">
        <v>127</v>
      </c>
      <c r="I259" s="14" t="s">
        <v>484</v>
      </c>
      <c r="J259" s="16"/>
      <c r="K259" s="16"/>
      <c r="L259" s="16"/>
      <c r="M259" s="16"/>
      <c r="N259" s="16"/>
      <c r="O259" s="17" t="str">
        <f aca="false">IFERROR(INDEX(Lists!$B$3:$B$7,MATCH(K259,Lists!$A$3:$A$7,0)),"")</f>
        <v/>
      </c>
      <c r="P259" s="17" t="str">
        <f aca="false">IFERROR(INDEX('Evidence Pulls'!$P$6:$P$125,MATCH($J259,'Evidence Pulls'!$A$6:$A$125,0)),"")</f>
        <v/>
      </c>
      <c r="Q259" s="17" t="str">
        <f aca="false">IFERROR(INDEX('Evidence Pulls'!$H$6:$H$125,MATCH($J259,'Evidence Pulls'!$A$6:$A$125,0)),"")</f>
        <v/>
      </c>
      <c r="R259" s="17" t="str">
        <f aca="false">IFERROR(INDEX('Evidence Pulls'!$Q$6:$Q$125,MATCH($J259,'Evidence Pulls'!$A$6:$A$125,0)),"")</f>
        <v/>
      </c>
      <c r="S259" s="17" t="str">
        <f aca="false">IF(L259&lt;&gt;"",L259,IF(K259="","Not assessed",IF(N(O259)&gt;=3,"Demonstrated","Gap - remediate")))</f>
        <v>Not assessed</v>
      </c>
      <c r="T259" s="17" t="str">
        <f aca="false">IF(J259="","No evidence pull assigned",IF(COUNTIF('Evidence Pulls'!$A$6:$A$125,J259)=0,"Pull ID not on Evidence Pulls sheet",IF(K259="","Not graded",IF(AND(G259="MANDATORY",L259="Gap - recommend tailoring"),"INVALID: safety-mandatory, not tailorable",IF(OR(P259="",P259=0),"NO NAMED EXECUTOR",IF(AND(H259="Full",IFERROR(INDEX('Evidence Pulls'!$C$6:$C$125,MATCH($J259,'Evidence Pulls'!$A$6:$A$125,0)),"")&lt;&gt;"Artifact",N(O259)&gt;=3,N(IFERROR(INDEX('Evidence Pulls'!$K$6:$K$125,MATCH($J259,'Evidence Pulls'!$A$6:$A$125,0)),""))=0),"Operating claimed with no sample",IF(AND(N(O259)&gt;=3,P259=1),"Operating rests on one individual",IF(AND(L259&lt;&gt;"",N259=""),"Override with no rationale in column N",IF(AND(G259="MANDATORY",N(O259)&lt;3),"SAFETY GATE: below Operating","OK")))))))))</f>
        <v>No evidence pull assigned</v>
      </c>
    </row>
    <row r="260" customFormat="false" ht="22.35" hidden="false" customHeight="false" outlineLevel="0" collapsed="false">
      <c r="A260" s="14" t="s">
        <v>557</v>
      </c>
      <c r="B260" s="14" t="s">
        <v>516</v>
      </c>
      <c r="C260" s="14" t="s">
        <v>544</v>
      </c>
      <c r="D260" s="14" t="s">
        <v>545</v>
      </c>
      <c r="E260" s="14" t="s">
        <v>200</v>
      </c>
      <c r="F260" s="15"/>
      <c r="G260" s="14"/>
      <c r="H260" s="14" t="s">
        <v>127</v>
      </c>
      <c r="I260" s="14" t="s">
        <v>484</v>
      </c>
      <c r="J260" s="16"/>
      <c r="K260" s="16"/>
      <c r="L260" s="16"/>
      <c r="M260" s="16"/>
      <c r="N260" s="16"/>
      <c r="O260" s="17" t="str">
        <f aca="false">IFERROR(INDEX(Lists!$B$3:$B$7,MATCH(K260,Lists!$A$3:$A$7,0)),"")</f>
        <v/>
      </c>
      <c r="P260" s="17" t="str">
        <f aca="false">IFERROR(INDEX('Evidence Pulls'!$P$6:$P$125,MATCH($J260,'Evidence Pulls'!$A$6:$A$125,0)),"")</f>
        <v/>
      </c>
      <c r="Q260" s="17" t="str">
        <f aca="false">IFERROR(INDEX('Evidence Pulls'!$H$6:$H$125,MATCH($J260,'Evidence Pulls'!$A$6:$A$125,0)),"")</f>
        <v/>
      </c>
      <c r="R260" s="17" t="str">
        <f aca="false">IFERROR(INDEX('Evidence Pulls'!$Q$6:$Q$125,MATCH($J260,'Evidence Pulls'!$A$6:$A$125,0)),"")</f>
        <v/>
      </c>
      <c r="S260" s="17" t="str">
        <f aca="false">IF(L260&lt;&gt;"",L260,IF(K260="","Not assessed",IF(N(O260)&gt;=3,"Demonstrated","Gap - remediate")))</f>
        <v>Not assessed</v>
      </c>
      <c r="T260" s="17" t="str">
        <f aca="false">IF(J260="","No evidence pull assigned",IF(COUNTIF('Evidence Pulls'!$A$6:$A$125,J260)=0,"Pull ID not on Evidence Pulls sheet",IF(K260="","Not graded",IF(AND(G260="MANDATORY",L260="Gap - recommend tailoring"),"INVALID: safety-mandatory, not tailorable",IF(OR(P260="",P260=0),"NO NAMED EXECUTOR",IF(AND(H260="Full",IFERROR(INDEX('Evidence Pulls'!$C$6:$C$125,MATCH($J260,'Evidence Pulls'!$A$6:$A$125,0)),"")&lt;&gt;"Artifact",N(O260)&gt;=3,N(IFERROR(INDEX('Evidence Pulls'!$K$6:$K$125,MATCH($J260,'Evidence Pulls'!$A$6:$A$125,0)),""))=0),"Operating claimed with no sample",IF(AND(N(O260)&gt;=3,P260=1),"Operating rests on one individual",IF(AND(L260&lt;&gt;"",N260=""),"Override with no rationale in column N",IF(AND(G260="MANDATORY",N(O260)&lt;3),"SAFETY GATE: below Operating","OK")))))))))</f>
        <v>No evidence pull assigned</v>
      </c>
    </row>
    <row r="261" customFormat="false" ht="22.35" hidden="false" customHeight="false" outlineLevel="0" collapsed="false">
      <c r="A261" s="14" t="s">
        <v>558</v>
      </c>
      <c r="B261" s="14" t="s">
        <v>516</v>
      </c>
      <c r="C261" s="14" t="s">
        <v>544</v>
      </c>
      <c r="D261" s="14" t="s">
        <v>545</v>
      </c>
      <c r="E261" s="14" t="s">
        <v>134</v>
      </c>
      <c r="F261" s="15"/>
      <c r="G261" s="14"/>
      <c r="H261" s="14" t="s">
        <v>127</v>
      </c>
      <c r="I261" s="14" t="s">
        <v>484</v>
      </c>
      <c r="J261" s="16"/>
      <c r="K261" s="16"/>
      <c r="L261" s="16"/>
      <c r="M261" s="16"/>
      <c r="N261" s="16"/>
      <c r="O261" s="17" t="str">
        <f aca="false">IFERROR(INDEX(Lists!$B$3:$B$7,MATCH(K261,Lists!$A$3:$A$7,0)),"")</f>
        <v/>
      </c>
      <c r="P261" s="17" t="str">
        <f aca="false">IFERROR(INDEX('Evidence Pulls'!$P$6:$P$125,MATCH($J261,'Evidence Pulls'!$A$6:$A$125,0)),"")</f>
        <v/>
      </c>
      <c r="Q261" s="17" t="str">
        <f aca="false">IFERROR(INDEX('Evidence Pulls'!$H$6:$H$125,MATCH($J261,'Evidence Pulls'!$A$6:$A$125,0)),"")</f>
        <v/>
      </c>
      <c r="R261" s="17" t="str">
        <f aca="false">IFERROR(INDEX('Evidence Pulls'!$Q$6:$Q$125,MATCH($J261,'Evidence Pulls'!$A$6:$A$125,0)),"")</f>
        <v/>
      </c>
      <c r="S261" s="17" t="str">
        <f aca="false">IF(L261&lt;&gt;"",L261,IF(K261="","Not assessed",IF(N(O261)&gt;=3,"Demonstrated","Gap - remediate")))</f>
        <v>Not assessed</v>
      </c>
      <c r="T261" s="17" t="str">
        <f aca="false">IF(J261="","No evidence pull assigned",IF(COUNTIF('Evidence Pulls'!$A$6:$A$125,J261)=0,"Pull ID not on Evidence Pulls sheet",IF(K261="","Not graded",IF(AND(G261="MANDATORY",L261="Gap - recommend tailoring"),"INVALID: safety-mandatory, not tailorable",IF(OR(P261="",P261=0),"NO NAMED EXECUTOR",IF(AND(H261="Full",IFERROR(INDEX('Evidence Pulls'!$C$6:$C$125,MATCH($J261,'Evidence Pulls'!$A$6:$A$125,0)),"")&lt;&gt;"Artifact",N(O261)&gt;=3,N(IFERROR(INDEX('Evidence Pulls'!$K$6:$K$125,MATCH($J261,'Evidence Pulls'!$A$6:$A$125,0)),""))=0),"Operating claimed with no sample",IF(AND(N(O261)&gt;=3,P261=1),"Operating rests on one individual",IF(AND(L261&lt;&gt;"",N261=""),"Override with no rationale in column N",IF(AND(G261="MANDATORY",N(O261)&lt;3),"SAFETY GATE: below Operating","OK")))))))))</f>
        <v>No evidence pull assigned</v>
      </c>
    </row>
    <row r="262" customFormat="false" ht="22.35" hidden="false" customHeight="false" outlineLevel="0" collapsed="false">
      <c r="A262" s="18" t="s">
        <v>559</v>
      </c>
      <c r="B262" s="18" t="s">
        <v>516</v>
      </c>
      <c r="C262" s="18" t="s">
        <v>560</v>
      </c>
      <c r="D262" s="18" t="s">
        <v>561</v>
      </c>
      <c r="E262" s="18" t="s">
        <v>126</v>
      </c>
      <c r="F262" s="18"/>
      <c r="G262" s="19" t="s">
        <v>131</v>
      </c>
      <c r="H262" s="19" t="s">
        <v>132</v>
      </c>
      <c r="I262" s="18" t="s">
        <v>484</v>
      </c>
      <c r="J262" s="16"/>
      <c r="K262" s="16"/>
      <c r="L262" s="16"/>
      <c r="M262" s="16"/>
      <c r="N262" s="16"/>
      <c r="O262" s="17" t="str">
        <f aca="false">IFERROR(INDEX(Lists!$B$3:$B$7,MATCH(K262,Lists!$A$3:$A$7,0)),"")</f>
        <v/>
      </c>
      <c r="P262" s="17" t="str">
        <f aca="false">IFERROR(INDEX('Evidence Pulls'!$P$6:$P$125,MATCH($J262,'Evidence Pulls'!$A$6:$A$125,0)),"")</f>
        <v/>
      </c>
      <c r="Q262" s="17" t="str">
        <f aca="false">IFERROR(INDEX('Evidence Pulls'!$H$6:$H$125,MATCH($J262,'Evidence Pulls'!$A$6:$A$125,0)),"")</f>
        <v/>
      </c>
      <c r="R262" s="17" t="str">
        <f aca="false">IFERROR(INDEX('Evidence Pulls'!$Q$6:$Q$125,MATCH($J262,'Evidence Pulls'!$A$6:$A$125,0)),"")</f>
        <v/>
      </c>
      <c r="S262" s="17" t="str">
        <f aca="false">IF(L262&lt;&gt;"",L262,IF(K262="","Not assessed",IF(N(O262)&gt;=3,"Demonstrated","Gap - remediate")))</f>
        <v>Not assessed</v>
      </c>
      <c r="T262" s="17" t="str">
        <f aca="false">IF(J262="","No evidence pull assigned",IF(COUNTIF('Evidence Pulls'!$A$6:$A$125,J262)=0,"Pull ID not on Evidence Pulls sheet",IF(K262="","Not graded",IF(AND(G262="MANDATORY",L262="Gap - recommend tailoring"),"INVALID: safety-mandatory, not tailorable",IF(OR(P262="",P262=0),"NO NAMED EXECUTOR",IF(AND(H262="Full",IFERROR(INDEX('Evidence Pulls'!$C$6:$C$125,MATCH($J262,'Evidence Pulls'!$A$6:$A$125,0)),"")&lt;&gt;"Artifact",N(O262)&gt;=3,N(IFERROR(INDEX('Evidence Pulls'!$K$6:$K$125,MATCH($J262,'Evidence Pulls'!$A$6:$A$125,0)),""))=0),"Operating claimed with no sample",IF(AND(N(O262)&gt;=3,P262=1),"Operating rests on one individual",IF(AND(L262&lt;&gt;"",N262=""),"Override with no rationale in column N",IF(AND(G262="MANDATORY",N(O262)&lt;3),"SAFETY GATE: below Operating","OK")))))))))</f>
        <v>No evidence pull assigned</v>
      </c>
    </row>
    <row r="263" customFormat="false" ht="22.35" hidden="false" customHeight="false" outlineLevel="0" collapsed="false">
      <c r="A263" s="18" t="s">
        <v>562</v>
      </c>
      <c r="B263" s="18" t="s">
        <v>516</v>
      </c>
      <c r="C263" s="18" t="s">
        <v>560</v>
      </c>
      <c r="D263" s="18" t="s">
        <v>561</v>
      </c>
      <c r="E263" s="18" t="s">
        <v>130</v>
      </c>
      <c r="F263" s="18"/>
      <c r="G263" s="19" t="s">
        <v>131</v>
      </c>
      <c r="H263" s="19" t="s">
        <v>132</v>
      </c>
      <c r="I263" s="18" t="s">
        <v>484</v>
      </c>
      <c r="J263" s="16"/>
      <c r="K263" s="16"/>
      <c r="L263" s="16"/>
      <c r="M263" s="16"/>
      <c r="N263" s="16"/>
      <c r="O263" s="17" t="str">
        <f aca="false">IFERROR(INDEX(Lists!$B$3:$B$7,MATCH(K263,Lists!$A$3:$A$7,0)),"")</f>
        <v/>
      </c>
      <c r="P263" s="17" t="str">
        <f aca="false">IFERROR(INDEX('Evidence Pulls'!$P$6:$P$125,MATCH($J263,'Evidence Pulls'!$A$6:$A$125,0)),"")</f>
        <v/>
      </c>
      <c r="Q263" s="17" t="str">
        <f aca="false">IFERROR(INDEX('Evidence Pulls'!$H$6:$H$125,MATCH($J263,'Evidence Pulls'!$A$6:$A$125,0)),"")</f>
        <v/>
      </c>
      <c r="R263" s="17" t="str">
        <f aca="false">IFERROR(INDEX('Evidence Pulls'!$Q$6:$Q$125,MATCH($J263,'Evidence Pulls'!$A$6:$A$125,0)),"")</f>
        <v/>
      </c>
      <c r="S263" s="17" t="str">
        <f aca="false">IF(L263&lt;&gt;"",L263,IF(K263="","Not assessed",IF(N(O263)&gt;=3,"Demonstrated","Gap - remediate")))</f>
        <v>Not assessed</v>
      </c>
      <c r="T263" s="17" t="str">
        <f aca="false">IF(J263="","No evidence pull assigned",IF(COUNTIF('Evidence Pulls'!$A$6:$A$125,J263)=0,"Pull ID not on Evidence Pulls sheet",IF(K263="","Not graded",IF(AND(G263="MANDATORY",L263="Gap - recommend tailoring"),"INVALID: safety-mandatory, not tailorable",IF(OR(P263="",P263=0),"NO NAMED EXECUTOR",IF(AND(H263="Full",IFERROR(INDEX('Evidence Pulls'!$C$6:$C$125,MATCH($J263,'Evidence Pulls'!$A$6:$A$125,0)),"")&lt;&gt;"Artifact",N(O263)&gt;=3,N(IFERROR(INDEX('Evidence Pulls'!$K$6:$K$125,MATCH($J263,'Evidence Pulls'!$A$6:$A$125,0)),""))=0),"Operating claimed with no sample",IF(AND(N(O263)&gt;=3,P263=1),"Operating rests on one individual",IF(AND(L263&lt;&gt;"",N263=""),"Override with no rationale in column N",IF(AND(G263="MANDATORY",N(O263)&lt;3),"SAFETY GATE: below Operating","OK")))))))))</f>
        <v>No evidence pull assigned</v>
      </c>
    </row>
    <row r="264" customFormat="false" ht="22.35" hidden="false" customHeight="false" outlineLevel="0" collapsed="false">
      <c r="A264" s="14" t="s">
        <v>563</v>
      </c>
      <c r="B264" s="14" t="s">
        <v>516</v>
      </c>
      <c r="C264" s="14" t="s">
        <v>560</v>
      </c>
      <c r="D264" s="14" t="s">
        <v>561</v>
      </c>
      <c r="E264" s="14" t="s">
        <v>134</v>
      </c>
      <c r="F264" s="15"/>
      <c r="G264" s="14"/>
      <c r="H264" s="14" t="s">
        <v>127</v>
      </c>
      <c r="I264" s="14" t="s">
        <v>484</v>
      </c>
      <c r="J264" s="16"/>
      <c r="K264" s="16"/>
      <c r="L264" s="16"/>
      <c r="M264" s="16"/>
      <c r="N264" s="16"/>
      <c r="O264" s="17" t="str">
        <f aca="false">IFERROR(INDEX(Lists!$B$3:$B$7,MATCH(K264,Lists!$A$3:$A$7,0)),"")</f>
        <v/>
      </c>
      <c r="P264" s="17" t="str">
        <f aca="false">IFERROR(INDEX('Evidence Pulls'!$P$6:$P$125,MATCH($J264,'Evidence Pulls'!$A$6:$A$125,0)),"")</f>
        <v/>
      </c>
      <c r="Q264" s="17" t="str">
        <f aca="false">IFERROR(INDEX('Evidence Pulls'!$H$6:$H$125,MATCH($J264,'Evidence Pulls'!$A$6:$A$125,0)),"")</f>
        <v/>
      </c>
      <c r="R264" s="17" t="str">
        <f aca="false">IFERROR(INDEX('Evidence Pulls'!$Q$6:$Q$125,MATCH($J264,'Evidence Pulls'!$A$6:$A$125,0)),"")</f>
        <v/>
      </c>
      <c r="S264" s="17" t="str">
        <f aca="false">IF(L264&lt;&gt;"",L264,IF(K264="","Not assessed",IF(N(O264)&gt;=3,"Demonstrated","Gap - remediate")))</f>
        <v>Not assessed</v>
      </c>
      <c r="T264" s="17" t="str">
        <f aca="false">IF(J264="","No evidence pull assigned",IF(COUNTIF('Evidence Pulls'!$A$6:$A$125,J264)=0,"Pull ID not on Evidence Pulls sheet",IF(K264="","Not graded",IF(AND(G264="MANDATORY",L264="Gap - recommend tailoring"),"INVALID: safety-mandatory, not tailorable",IF(OR(P264="",P264=0),"NO NAMED EXECUTOR",IF(AND(H264="Full",IFERROR(INDEX('Evidence Pulls'!$C$6:$C$125,MATCH($J264,'Evidence Pulls'!$A$6:$A$125,0)),"")&lt;&gt;"Artifact",N(O264)&gt;=3,N(IFERROR(INDEX('Evidence Pulls'!$K$6:$K$125,MATCH($J264,'Evidence Pulls'!$A$6:$A$125,0)),""))=0),"Operating claimed with no sample",IF(AND(N(O264)&gt;=3,P264=1),"Operating rests on one individual",IF(AND(L264&lt;&gt;"",N264=""),"Override with no rationale in column N",IF(AND(G264="MANDATORY",N(O264)&lt;3),"SAFETY GATE: below Operating","OK")))))))))</f>
        <v>No evidence pull assigned</v>
      </c>
    </row>
    <row r="265" customFormat="false" ht="22.35" hidden="false" customHeight="false" outlineLevel="0" collapsed="false">
      <c r="A265" s="18" t="s">
        <v>564</v>
      </c>
      <c r="B265" s="18" t="s">
        <v>516</v>
      </c>
      <c r="C265" s="18" t="s">
        <v>560</v>
      </c>
      <c r="D265" s="18" t="s">
        <v>561</v>
      </c>
      <c r="E265" s="18" t="s">
        <v>136</v>
      </c>
      <c r="F265" s="18"/>
      <c r="G265" s="19" t="s">
        <v>131</v>
      </c>
      <c r="H265" s="19" t="s">
        <v>132</v>
      </c>
      <c r="I265" s="18" t="s">
        <v>484</v>
      </c>
      <c r="J265" s="16"/>
      <c r="K265" s="16"/>
      <c r="L265" s="16"/>
      <c r="M265" s="16"/>
      <c r="N265" s="16"/>
      <c r="O265" s="17" t="str">
        <f aca="false">IFERROR(INDEX(Lists!$B$3:$B$7,MATCH(K265,Lists!$A$3:$A$7,0)),"")</f>
        <v/>
      </c>
      <c r="P265" s="17" t="str">
        <f aca="false">IFERROR(INDEX('Evidence Pulls'!$P$6:$P$125,MATCH($J265,'Evidence Pulls'!$A$6:$A$125,0)),"")</f>
        <v/>
      </c>
      <c r="Q265" s="17" t="str">
        <f aca="false">IFERROR(INDEX('Evidence Pulls'!$H$6:$H$125,MATCH($J265,'Evidence Pulls'!$A$6:$A$125,0)),"")</f>
        <v/>
      </c>
      <c r="R265" s="17" t="str">
        <f aca="false">IFERROR(INDEX('Evidence Pulls'!$Q$6:$Q$125,MATCH($J265,'Evidence Pulls'!$A$6:$A$125,0)),"")</f>
        <v/>
      </c>
      <c r="S265" s="17" t="str">
        <f aca="false">IF(L265&lt;&gt;"",L265,IF(K265="","Not assessed",IF(N(O265)&gt;=3,"Demonstrated","Gap - remediate")))</f>
        <v>Not assessed</v>
      </c>
      <c r="T265" s="17" t="str">
        <f aca="false">IF(J265="","No evidence pull assigned",IF(COUNTIF('Evidence Pulls'!$A$6:$A$125,J265)=0,"Pull ID not on Evidence Pulls sheet",IF(K265="","Not graded",IF(AND(G265="MANDATORY",L265="Gap - recommend tailoring"),"INVALID: safety-mandatory, not tailorable",IF(OR(P265="",P265=0),"NO NAMED EXECUTOR",IF(AND(H265="Full",IFERROR(INDEX('Evidence Pulls'!$C$6:$C$125,MATCH($J265,'Evidence Pulls'!$A$6:$A$125,0)),"")&lt;&gt;"Artifact",N(O265)&gt;=3,N(IFERROR(INDEX('Evidence Pulls'!$K$6:$K$125,MATCH($J265,'Evidence Pulls'!$A$6:$A$125,0)),""))=0),"Operating claimed with no sample",IF(AND(N(O265)&gt;=3,P265=1),"Operating rests on one individual",IF(AND(L265&lt;&gt;"",N265=""),"Override with no rationale in column N",IF(AND(G265="MANDATORY",N(O265)&lt;3),"SAFETY GATE: below Operating","OK")))))))))</f>
        <v>No evidence pull assigned</v>
      </c>
    </row>
    <row r="266" customFormat="false" ht="22.35" hidden="false" customHeight="false" outlineLevel="0" collapsed="false">
      <c r="A266" s="14" t="s">
        <v>565</v>
      </c>
      <c r="B266" s="14" t="s">
        <v>516</v>
      </c>
      <c r="C266" s="14" t="s">
        <v>560</v>
      </c>
      <c r="D266" s="14" t="s">
        <v>561</v>
      </c>
      <c r="E266" s="14" t="s">
        <v>228</v>
      </c>
      <c r="F266" s="15"/>
      <c r="G266" s="14"/>
      <c r="H266" s="14" t="s">
        <v>127</v>
      </c>
      <c r="I266" s="14" t="s">
        <v>484</v>
      </c>
      <c r="J266" s="16"/>
      <c r="K266" s="16"/>
      <c r="L266" s="16"/>
      <c r="M266" s="16"/>
      <c r="N266" s="16"/>
      <c r="O266" s="17" t="str">
        <f aca="false">IFERROR(INDEX(Lists!$B$3:$B$7,MATCH(K266,Lists!$A$3:$A$7,0)),"")</f>
        <v/>
      </c>
      <c r="P266" s="17" t="str">
        <f aca="false">IFERROR(INDEX('Evidence Pulls'!$P$6:$P$125,MATCH($J266,'Evidence Pulls'!$A$6:$A$125,0)),"")</f>
        <v/>
      </c>
      <c r="Q266" s="17" t="str">
        <f aca="false">IFERROR(INDEX('Evidence Pulls'!$H$6:$H$125,MATCH($J266,'Evidence Pulls'!$A$6:$A$125,0)),"")</f>
        <v/>
      </c>
      <c r="R266" s="17" t="str">
        <f aca="false">IFERROR(INDEX('Evidence Pulls'!$Q$6:$Q$125,MATCH($J266,'Evidence Pulls'!$A$6:$A$125,0)),"")</f>
        <v/>
      </c>
      <c r="S266" s="17" t="str">
        <f aca="false">IF(L266&lt;&gt;"",L266,IF(K266="","Not assessed",IF(N(O266)&gt;=3,"Demonstrated","Gap - remediate")))</f>
        <v>Not assessed</v>
      </c>
      <c r="T266" s="17" t="str">
        <f aca="false">IF(J266="","No evidence pull assigned",IF(COUNTIF('Evidence Pulls'!$A$6:$A$125,J266)=0,"Pull ID not on Evidence Pulls sheet",IF(K266="","Not graded",IF(AND(G266="MANDATORY",L266="Gap - recommend tailoring"),"INVALID: safety-mandatory, not tailorable",IF(OR(P266="",P266=0),"NO NAMED EXECUTOR",IF(AND(H266="Full",IFERROR(INDEX('Evidence Pulls'!$C$6:$C$125,MATCH($J266,'Evidence Pulls'!$A$6:$A$125,0)),"")&lt;&gt;"Artifact",N(O266)&gt;=3,N(IFERROR(INDEX('Evidence Pulls'!$K$6:$K$125,MATCH($J266,'Evidence Pulls'!$A$6:$A$125,0)),""))=0),"Operating claimed with no sample",IF(AND(N(O266)&gt;=3,P266=1),"Operating rests on one individual",IF(AND(L266&lt;&gt;"",N266=""),"Override with no rationale in column N",IF(AND(G266="MANDATORY",N(O266)&lt;3),"SAFETY GATE: below Operating","OK")))))))))</f>
        <v>No evidence pull assigned</v>
      </c>
    </row>
    <row r="267" customFormat="false" ht="22.35" hidden="false" customHeight="false" outlineLevel="0" collapsed="false">
      <c r="A267" s="14" t="s">
        <v>566</v>
      </c>
      <c r="B267" s="14" t="s">
        <v>516</v>
      </c>
      <c r="C267" s="14" t="s">
        <v>560</v>
      </c>
      <c r="D267" s="14" t="s">
        <v>561</v>
      </c>
      <c r="E267" s="14" t="s">
        <v>511</v>
      </c>
      <c r="F267" s="15"/>
      <c r="G267" s="14"/>
      <c r="H267" s="14" t="s">
        <v>127</v>
      </c>
      <c r="I267" s="14" t="s">
        <v>484</v>
      </c>
      <c r="J267" s="16"/>
      <c r="K267" s="16"/>
      <c r="L267" s="16"/>
      <c r="M267" s="16"/>
      <c r="N267" s="16"/>
      <c r="O267" s="17" t="str">
        <f aca="false">IFERROR(INDEX(Lists!$B$3:$B$7,MATCH(K267,Lists!$A$3:$A$7,0)),"")</f>
        <v/>
      </c>
      <c r="P267" s="17" t="str">
        <f aca="false">IFERROR(INDEX('Evidence Pulls'!$P$6:$P$125,MATCH($J267,'Evidence Pulls'!$A$6:$A$125,0)),"")</f>
        <v/>
      </c>
      <c r="Q267" s="17" t="str">
        <f aca="false">IFERROR(INDEX('Evidence Pulls'!$H$6:$H$125,MATCH($J267,'Evidence Pulls'!$A$6:$A$125,0)),"")</f>
        <v/>
      </c>
      <c r="R267" s="17" t="str">
        <f aca="false">IFERROR(INDEX('Evidence Pulls'!$Q$6:$Q$125,MATCH($J267,'Evidence Pulls'!$A$6:$A$125,0)),"")</f>
        <v/>
      </c>
      <c r="S267" s="17" t="str">
        <f aca="false">IF(L267&lt;&gt;"",L267,IF(K267="","Not assessed",IF(N(O267)&gt;=3,"Demonstrated","Gap - remediate")))</f>
        <v>Not assessed</v>
      </c>
      <c r="T267" s="17" t="str">
        <f aca="false">IF(J267="","No evidence pull assigned",IF(COUNTIF('Evidence Pulls'!$A$6:$A$125,J267)=0,"Pull ID not on Evidence Pulls sheet",IF(K267="","Not graded",IF(AND(G267="MANDATORY",L267="Gap - recommend tailoring"),"INVALID: safety-mandatory, not tailorable",IF(OR(P267="",P267=0),"NO NAMED EXECUTOR",IF(AND(H267="Full",IFERROR(INDEX('Evidence Pulls'!$C$6:$C$125,MATCH($J267,'Evidence Pulls'!$A$6:$A$125,0)),"")&lt;&gt;"Artifact",N(O267)&gt;=3,N(IFERROR(INDEX('Evidence Pulls'!$K$6:$K$125,MATCH($J267,'Evidence Pulls'!$A$6:$A$125,0)),""))=0),"Operating claimed with no sample",IF(AND(N(O267)&gt;=3,P267=1),"Operating rests on one individual",IF(AND(L267&lt;&gt;"",N267=""),"Override with no rationale in column N",IF(AND(G267="MANDATORY",N(O267)&lt;3),"SAFETY GATE: below Operating","OK")))))))))</f>
        <v>No evidence pull assigned</v>
      </c>
    </row>
    <row r="268" customFormat="false" ht="22.35" hidden="false" customHeight="false" outlineLevel="0" collapsed="false">
      <c r="A268" s="14" t="s">
        <v>567</v>
      </c>
      <c r="B268" s="14" t="s">
        <v>516</v>
      </c>
      <c r="C268" s="14" t="s">
        <v>568</v>
      </c>
      <c r="D268" s="14" t="s">
        <v>569</v>
      </c>
      <c r="E268" s="14" t="s">
        <v>141</v>
      </c>
      <c r="F268" s="15"/>
      <c r="G268" s="14"/>
      <c r="H268" s="14" t="s">
        <v>127</v>
      </c>
      <c r="I268" s="14" t="s">
        <v>484</v>
      </c>
      <c r="J268" s="16"/>
      <c r="K268" s="16"/>
      <c r="L268" s="16"/>
      <c r="M268" s="16"/>
      <c r="N268" s="16"/>
      <c r="O268" s="17" t="str">
        <f aca="false">IFERROR(INDEX(Lists!$B$3:$B$7,MATCH(K268,Lists!$A$3:$A$7,0)),"")</f>
        <v/>
      </c>
      <c r="P268" s="17" t="str">
        <f aca="false">IFERROR(INDEX('Evidence Pulls'!$P$6:$P$125,MATCH($J268,'Evidence Pulls'!$A$6:$A$125,0)),"")</f>
        <v/>
      </c>
      <c r="Q268" s="17" t="str">
        <f aca="false">IFERROR(INDEX('Evidence Pulls'!$H$6:$H$125,MATCH($J268,'Evidence Pulls'!$A$6:$A$125,0)),"")</f>
        <v/>
      </c>
      <c r="R268" s="17" t="str">
        <f aca="false">IFERROR(INDEX('Evidence Pulls'!$Q$6:$Q$125,MATCH($J268,'Evidence Pulls'!$A$6:$A$125,0)),"")</f>
        <v/>
      </c>
      <c r="S268" s="17" t="str">
        <f aca="false">IF(L268&lt;&gt;"",L268,IF(K268="","Not assessed",IF(N(O268)&gt;=3,"Demonstrated","Gap - remediate")))</f>
        <v>Not assessed</v>
      </c>
      <c r="T268" s="17" t="str">
        <f aca="false">IF(J268="","No evidence pull assigned",IF(COUNTIF('Evidence Pulls'!$A$6:$A$125,J268)=0,"Pull ID not on Evidence Pulls sheet",IF(K268="","Not graded",IF(AND(G268="MANDATORY",L268="Gap - recommend tailoring"),"INVALID: safety-mandatory, not tailorable",IF(OR(P268="",P268=0),"NO NAMED EXECUTOR",IF(AND(H268="Full",IFERROR(INDEX('Evidence Pulls'!$C$6:$C$125,MATCH($J268,'Evidence Pulls'!$A$6:$A$125,0)),"")&lt;&gt;"Artifact",N(O268)&gt;=3,N(IFERROR(INDEX('Evidence Pulls'!$K$6:$K$125,MATCH($J268,'Evidence Pulls'!$A$6:$A$125,0)),""))=0),"Operating claimed with no sample",IF(AND(N(O268)&gt;=3,P268=1),"Operating rests on one individual",IF(AND(L268&lt;&gt;"",N268=""),"Override with no rationale in column N",IF(AND(G268="MANDATORY",N(O268)&lt;3),"SAFETY GATE: below Operating","OK")))))))))</f>
        <v>No evidence pull assigned</v>
      </c>
    </row>
    <row r="269" customFormat="false" ht="22.35" hidden="false" customHeight="false" outlineLevel="0" collapsed="false">
      <c r="A269" s="18" t="s">
        <v>570</v>
      </c>
      <c r="B269" s="18" t="s">
        <v>516</v>
      </c>
      <c r="C269" s="18" t="s">
        <v>568</v>
      </c>
      <c r="D269" s="18" t="s">
        <v>569</v>
      </c>
      <c r="E269" s="18" t="s">
        <v>143</v>
      </c>
      <c r="F269" s="18"/>
      <c r="G269" s="19" t="s">
        <v>131</v>
      </c>
      <c r="H269" s="19" t="s">
        <v>132</v>
      </c>
      <c r="I269" s="18" t="s">
        <v>484</v>
      </c>
      <c r="J269" s="16"/>
      <c r="K269" s="16"/>
      <c r="L269" s="16"/>
      <c r="M269" s="16"/>
      <c r="N269" s="16"/>
      <c r="O269" s="17" t="str">
        <f aca="false">IFERROR(INDEX(Lists!$B$3:$B$7,MATCH(K269,Lists!$A$3:$A$7,0)),"")</f>
        <v/>
      </c>
      <c r="P269" s="17" t="str">
        <f aca="false">IFERROR(INDEX('Evidence Pulls'!$P$6:$P$125,MATCH($J269,'Evidence Pulls'!$A$6:$A$125,0)),"")</f>
        <v/>
      </c>
      <c r="Q269" s="17" t="str">
        <f aca="false">IFERROR(INDEX('Evidence Pulls'!$H$6:$H$125,MATCH($J269,'Evidence Pulls'!$A$6:$A$125,0)),"")</f>
        <v/>
      </c>
      <c r="R269" s="17" t="str">
        <f aca="false">IFERROR(INDEX('Evidence Pulls'!$Q$6:$Q$125,MATCH($J269,'Evidence Pulls'!$A$6:$A$125,0)),"")</f>
        <v/>
      </c>
      <c r="S269" s="17" t="str">
        <f aca="false">IF(L269&lt;&gt;"",L269,IF(K269="","Not assessed",IF(N(O269)&gt;=3,"Demonstrated","Gap - remediate")))</f>
        <v>Not assessed</v>
      </c>
      <c r="T269" s="17" t="str">
        <f aca="false">IF(J269="","No evidence pull assigned",IF(COUNTIF('Evidence Pulls'!$A$6:$A$125,J269)=0,"Pull ID not on Evidence Pulls sheet",IF(K269="","Not graded",IF(AND(G269="MANDATORY",L269="Gap - recommend tailoring"),"INVALID: safety-mandatory, not tailorable",IF(OR(P269="",P269=0),"NO NAMED EXECUTOR",IF(AND(H269="Full",IFERROR(INDEX('Evidence Pulls'!$C$6:$C$125,MATCH($J269,'Evidence Pulls'!$A$6:$A$125,0)),"")&lt;&gt;"Artifact",N(O269)&gt;=3,N(IFERROR(INDEX('Evidence Pulls'!$K$6:$K$125,MATCH($J269,'Evidence Pulls'!$A$6:$A$125,0)),""))=0),"Operating claimed with no sample",IF(AND(N(O269)&gt;=3,P269=1),"Operating rests on one individual",IF(AND(L269&lt;&gt;"",N269=""),"Override with no rationale in column N",IF(AND(G269="MANDATORY",N(O269)&lt;3),"SAFETY GATE: below Operating","OK")))))))))</f>
        <v>No evidence pull assigned</v>
      </c>
    </row>
    <row r="270" customFormat="false" ht="22.35" hidden="false" customHeight="false" outlineLevel="0" collapsed="false">
      <c r="A270" s="14" t="s">
        <v>571</v>
      </c>
      <c r="B270" s="14" t="s">
        <v>516</v>
      </c>
      <c r="C270" s="14" t="s">
        <v>568</v>
      </c>
      <c r="D270" s="14" t="s">
        <v>569</v>
      </c>
      <c r="E270" s="14" t="s">
        <v>145</v>
      </c>
      <c r="F270" s="15"/>
      <c r="G270" s="14"/>
      <c r="H270" s="14" t="s">
        <v>127</v>
      </c>
      <c r="I270" s="14" t="s">
        <v>484</v>
      </c>
      <c r="J270" s="16"/>
      <c r="K270" s="16"/>
      <c r="L270" s="16"/>
      <c r="M270" s="16"/>
      <c r="N270" s="16"/>
      <c r="O270" s="17" t="str">
        <f aca="false">IFERROR(INDEX(Lists!$B$3:$B$7,MATCH(K270,Lists!$A$3:$A$7,0)),"")</f>
        <v/>
      </c>
      <c r="P270" s="17" t="str">
        <f aca="false">IFERROR(INDEX('Evidence Pulls'!$P$6:$P$125,MATCH($J270,'Evidence Pulls'!$A$6:$A$125,0)),"")</f>
        <v/>
      </c>
      <c r="Q270" s="17" t="str">
        <f aca="false">IFERROR(INDEX('Evidence Pulls'!$H$6:$H$125,MATCH($J270,'Evidence Pulls'!$A$6:$A$125,0)),"")</f>
        <v/>
      </c>
      <c r="R270" s="17" t="str">
        <f aca="false">IFERROR(INDEX('Evidence Pulls'!$Q$6:$Q$125,MATCH($J270,'Evidence Pulls'!$A$6:$A$125,0)),"")</f>
        <v/>
      </c>
      <c r="S270" s="17" t="str">
        <f aca="false">IF(L270&lt;&gt;"",L270,IF(K270="","Not assessed",IF(N(O270)&gt;=3,"Demonstrated","Gap - remediate")))</f>
        <v>Not assessed</v>
      </c>
      <c r="T270" s="17" t="str">
        <f aca="false">IF(J270="","No evidence pull assigned",IF(COUNTIF('Evidence Pulls'!$A$6:$A$125,J270)=0,"Pull ID not on Evidence Pulls sheet",IF(K270="","Not graded",IF(AND(G270="MANDATORY",L270="Gap - recommend tailoring"),"INVALID: safety-mandatory, not tailorable",IF(OR(P270="",P270=0),"NO NAMED EXECUTOR",IF(AND(H270="Full",IFERROR(INDEX('Evidence Pulls'!$C$6:$C$125,MATCH($J270,'Evidence Pulls'!$A$6:$A$125,0)),"")&lt;&gt;"Artifact",N(O270)&gt;=3,N(IFERROR(INDEX('Evidence Pulls'!$K$6:$K$125,MATCH($J270,'Evidence Pulls'!$A$6:$A$125,0)),""))=0),"Operating claimed with no sample",IF(AND(N(O270)&gt;=3,P270=1),"Operating rests on one individual",IF(AND(L270&lt;&gt;"",N270=""),"Override with no rationale in column N",IF(AND(G270="MANDATORY",N(O270)&lt;3),"SAFETY GATE: below Operating","OK")))))))))</f>
        <v>No evidence pull assigned</v>
      </c>
    </row>
    <row r="271" customFormat="false" ht="22.35" hidden="false" customHeight="false" outlineLevel="0" collapsed="false">
      <c r="A271" s="14" t="s">
        <v>572</v>
      </c>
      <c r="B271" s="14" t="s">
        <v>516</v>
      </c>
      <c r="C271" s="14" t="s">
        <v>568</v>
      </c>
      <c r="D271" s="14" t="s">
        <v>569</v>
      </c>
      <c r="E271" s="14" t="s">
        <v>182</v>
      </c>
      <c r="F271" s="15"/>
      <c r="G271" s="14"/>
      <c r="H271" s="14" t="s">
        <v>127</v>
      </c>
      <c r="I271" s="14" t="s">
        <v>484</v>
      </c>
      <c r="J271" s="16"/>
      <c r="K271" s="16"/>
      <c r="L271" s="16"/>
      <c r="M271" s="16"/>
      <c r="N271" s="16"/>
      <c r="O271" s="17" t="str">
        <f aca="false">IFERROR(INDEX(Lists!$B$3:$B$7,MATCH(K271,Lists!$A$3:$A$7,0)),"")</f>
        <v/>
      </c>
      <c r="P271" s="17" t="str">
        <f aca="false">IFERROR(INDEX('Evidence Pulls'!$P$6:$P$125,MATCH($J271,'Evidence Pulls'!$A$6:$A$125,0)),"")</f>
        <v/>
      </c>
      <c r="Q271" s="17" t="str">
        <f aca="false">IFERROR(INDEX('Evidence Pulls'!$H$6:$H$125,MATCH($J271,'Evidence Pulls'!$A$6:$A$125,0)),"")</f>
        <v/>
      </c>
      <c r="R271" s="17" t="str">
        <f aca="false">IFERROR(INDEX('Evidence Pulls'!$Q$6:$Q$125,MATCH($J271,'Evidence Pulls'!$A$6:$A$125,0)),"")</f>
        <v/>
      </c>
      <c r="S271" s="17" t="str">
        <f aca="false">IF(L271&lt;&gt;"",L271,IF(K271="","Not assessed",IF(N(O271)&gt;=3,"Demonstrated","Gap - remediate")))</f>
        <v>Not assessed</v>
      </c>
      <c r="T271" s="17" t="str">
        <f aca="false">IF(J271="","No evidence pull assigned",IF(COUNTIF('Evidence Pulls'!$A$6:$A$125,J271)=0,"Pull ID not on Evidence Pulls sheet",IF(K271="","Not graded",IF(AND(G271="MANDATORY",L271="Gap - recommend tailoring"),"INVALID: safety-mandatory, not tailorable",IF(OR(P271="",P271=0),"NO NAMED EXECUTOR",IF(AND(H271="Full",IFERROR(INDEX('Evidence Pulls'!$C$6:$C$125,MATCH($J271,'Evidence Pulls'!$A$6:$A$125,0)),"")&lt;&gt;"Artifact",N(O271)&gt;=3,N(IFERROR(INDEX('Evidence Pulls'!$K$6:$K$125,MATCH($J271,'Evidence Pulls'!$A$6:$A$125,0)),""))=0),"Operating claimed with no sample",IF(AND(N(O271)&gt;=3,P271=1),"Operating rests on one individual",IF(AND(L271&lt;&gt;"",N271=""),"Override with no rationale in column N",IF(AND(G271="MANDATORY",N(O271)&lt;3),"SAFETY GATE: below Operating","OK")))))))))</f>
        <v>No evidence pull assigned</v>
      </c>
    </row>
    <row r="272" customFormat="false" ht="22.35" hidden="false" customHeight="false" outlineLevel="0" collapsed="false">
      <c r="A272" s="14" t="s">
        <v>573</v>
      </c>
      <c r="B272" s="14" t="s">
        <v>516</v>
      </c>
      <c r="C272" s="14" t="s">
        <v>568</v>
      </c>
      <c r="D272" s="14" t="s">
        <v>569</v>
      </c>
      <c r="E272" s="14" t="s">
        <v>184</v>
      </c>
      <c r="F272" s="15"/>
      <c r="G272" s="14"/>
      <c r="H272" s="14" t="s">
        <v>127</v>
      </c>
      <c r="I272" s="14" t="s">
        <v>484</v>
      </c>
      <c r="J272" s="16"/>
      <c r="K272" s="16"/>
      <c r="L272" s="16"/>
      <c r="M272" s="16"/>
      <c r="N272" s="16"/>
      <c r="O272" s="17" t="str">
        <f aca="false">IFERROR(INDEX(Lists!$B$3:$B$7,MATCH(K272,Lists!$A$3:$A$7,0)),"")</f>
        <v/>
      </c>
      <c r="P272" s="17" t="str">
        <f aca="false">IFERROR(INDEX('Evidence Pulls'!$P$6:$P$125,MATCH($J272,'Evidence Pulls'!$A$6:$A$125,0)),"")</f>
        <v/>
      </c>
      <c r="Q272" s="17" t="str">
        <f aca="false">IFERROR(INDEX('Evidence Pulls'!$H$6:$H$125,MATCH($J272,'Evidence Pulls'!$A$6:$A$125,0)),"")</f>
        <v/>
      </c>
      <c r="R272" s="17" t="str">
        <f aca="false">IFERROR(INDEX('Evidence Pulls'!$Q$6:$Q$125,MATCH($J272,'Evidence Pulls'!$A$6:$A$125,0)),"")</f>
        <v/>
      </c>
      <c r="S272" s="17" t="str">
        <f aca="false">IF(L272&lt;&gt;"",L272,IF(K272="","Not assessed",IF(N(O272)&gt;=3,"Demonstrated","Gap - remediate")))</f>
        <v>Not assessed</v>
      </c>
      <c r="T272" s="17" t="str">
        <f aca="false">IF(J272="","No evidence pull assigned",IF(COUNTIF('Evidence Pulls'!$A$6:$A$125,J272)=0,"Pull ID not on Evidence Pulls sheet",IF(K272="","Not graded",IF(AND(G272="MANDATORY",L272="Gap - recommend tailoring"),"INVALID: safety-mandatory, not tailorable",IF(OR(P272="",P272=0),"NO NAMED EXECUTOR",IF(AND(H272="Full",IFERROR(INDEX('Evidence Pulls'!$C$6:$C$125,MATCH($J272,'Evidence Pulls'!$A$6:$A$125,0)),"")&lt;&gt;"Artifact",N(O272)&gt;=3,N(IFERROR(INDEX('Evidence Pulls'!$K$6:$K$125,MATCH($J272,'Evidence Pulls'!$A$6:$A$125,0)),""))=0),"Operating claimed with no sample",IF(AND(N(O272)&gt;=3,P272=1),"Operating rests on one individual",IF(AND(L272&lt;&gt;"",N272=""),"Override with no rationale in column N",IF(AND(G272="MANDATORY",N(O272)&lt;3),"SAFETY GATE: below Operating","OK")))))))))</f>
        <v>No evidence pull assigned</v>
      </c>
    </row>
    <row r="273" customFormat="false" ht="22.35" hidden="false" customHeight="false" outlineLevel="0" collapsed="false">
      <c r="A273" s="14" t="s">
        <v>574</v>
      </c>
      <c r="B273" s="14" t="s">
        <v>516</v>
      </c>
      <c r="C273" s="14" t="s">
        <v>568</v>
      </c>
      <c r="D273" s="14" t="s">
        <v>569</v>
      </c>
      <c r="E273" s="14" t="s">
        <v>186</v>
      </c>
      <c r="F273" s="15"/>
      <c r="G273" s="14"/>
      <c r="H273" s="14" t="s">
        <v>127</v>
      </c>
      <c r="I273" s="14" t="s">
        <v>484</v>
      </c>
      <c r="J273" s="16"/>
      <c r="K273" s="16"/>
      <c r="L273" s="16"/>
      <c r="M273" s="16"/>
      <c r="N273" s="16"/>
      <c r="O273" s="17" t="str">
        <f aca="false">IFERROR(INDEX(Lists!$B$3:$B$7,MATCH(K273,Lists!$A$3:$A$7,0)),"")</f>
        <v/>
      </c>
      <c r="P273" s="17" t="str">
        <f aca="false">IFERROR(INDEX('Evidence Pulls'!$P$6:$P$125,MATCH($J273,'Evidence Pulls'!$A$6:$A$125,0)),"")</f>
        <v/>
      </c>
      <c r="Q273" s="17" t="str">
        <f aca="false">IFERROR(INDEX('Evidence Pulls'!$H$6:$H$125,MATCH($J273,'Evidence Pulls'!$A$6:$A$125,0)),"")</f>
        <v/>
      </c>
      <c r="R273" s="17" t="str">
        <f aca="false">IFERROR(INDEX('Evidence Pulls'!$Q$6:$Q$125,MATCH($J273,'Evidence Pulls'!$A$6:$A$125,0)),"")</f>
        <v/>
      </c>
      <c r="S273" s="17" t="str">
        <f aca="false">IF(L273&lt;&gt;"",L273,IF(K273="","Not assessed",IF(N(O273)&gt;=3,"Demonstrated","Gap - remediate")))</f>
        <v>Not assessed</v>
      </c>
      <c r="T273" s="17" t="str">
        <f aca="false">IF(J273="","No evidence pull assigned",IF(COUNTIF('Evidence Pulls'!$A$6:$A$125,J273)=0,"Pull ID not on Evidence Pulls sheet",IF(K273="","Not graded",IF(AND(G273="MANDATORY",L273="Gap - recommend tailoring"),"INVALID: safety-mandatory, not tailorable",IF(OR(P273="",P273=0),"NO NAMED EXECUTOR",IF(AND(H273="Full",IFERROR(INDEX('Evidence Pulls'!$C$6:$C$125,MATCH($J273,'Evidence Pulls'!$A$6:$A$125,0)),"")&lt;&gt;"Artifact",N(O273)&gt;=3,N(IFERROR(INDEX('Evidence Pulls'!$K$6:$K$125,MATCH($J273,'Evidence Pulls'!$A$6:$A$125,0)),""))=0),"Operating claimed with no sample",IF(AND(N(O273)&gt;=3,P273=1),"Operating rests on one individual",IF(AND(L273&lt;&gt;"",N273=""),"Override with no rationale in column N",IF(AND(G273="MANDATORY",N(O273)&lt;3),"SAFETY GATE: below Operating","OK")))))))))</f>
        <v>No evidence pull assigned</v>
      </c>
    </row>
    <row r="274" customFormat="false" ht="22.35" hidden="false" customHeight="false" outlineLevel="0" collapsed="false">
      <c r="A274" s="14" t="s">
        <v>575</v>
      </c>
      <c r="B274" s="14" t="s">
        <v>516</v>
      </c>
      <c r="C274" s="14" t="s">
        <v>568</v>
      </c>
      <c r="D274" s="14" t="s">
        <v>569</v>
      </c>
      <c r="E274" s="14" t="s">
        <v>188</v>
      </c>
      <c r="F274" s="15"/>
      <c r="G274" s="14"/>
      <c r="H274" s="14" t="s">
        <v>127</v>
      </c>
      <c r="I274" s="14" t="s">
        <v>484</v>
      </c>
      <c r="J274" s="16"/>
      <c r="K274" s="16"/>
      <c r="L274" s="16"/>
      <c r="M274" s="16"/>
      <c r="N274" s="16"/>
      <c r="O274" s="17" t="str">
        <f aca="false">IFERROR(INDEX(Lists!$B$3:$B$7,MATCH(K274,Lists!$A$3:$A$7,0)),"")</f>
        <v/>
      </c>
      <c r="P274" s="17" t="str">
        <f aca="false">IFERROR(INDEX('Evidence Pulls'!$P$6:$P$125,MATCH($J274,'Evidence Pulls'!$A$6:$A$125,0)),"")</f>
        <v/>
      </c>
      <c r="Q274" s="17" t="str">
        <f aca="false">IFERROR(INDEX('Evidence Pulls'!$H$6:$H$125,MATCH($J274,'Evidence Pulls'!$A$6:$A$125,0)),"")</f>
        <v/>
      </c>
      <c r="R274" s="17" t="str">
        <f aca="false">IFERROR(INDEX('Evidence Pulls'!$Q$6:$Q$125,MATCH($J274,'Evidence Pulls'!$A$6:$A$125,0)),"")</f>
        <v/>
      </c>
      <c r="S274" s="17" t="str">
        <f aca="false">IF(L274&lt;&gt;"",L274,IF(K274="","Not assessed",IF(N(O274)&gt;=3,"Demonstrated","Gap - remediate")))</f>
        <v>Not assessed</v>
      </c>
      <c r="T274" s="17" t="str">
        <f aca="false">IF(J274="","No evidence pull assigned",IF(COUNTIF('Evidence Pulls'!$A$6:$A$125,J274)=0,"Pull ID not on Evidence Pulls sheet",IF(K274="","Not graded",IF(AND(G274="MANDATORY",L274="Gap - recommend tailoring"),"INVALID: safety-mandatory, not tailorable",IF(OR(P274="",P274=0),"NO NAMED EXECUTOR",IF(AND(H274="Full",IFERROR(INDEX('Evidence Pulls'!$C$6:$C$125,MATCH($J274,'Evidence Pulls'!$A$6:$A$125,0)),"")&lt;&gt;"Artifact",N(O274)&gt;=3,N(IFERROR(INDEX('Evidence Pulls'!$K$6:$K$125,MATCH($J274,'Evidence Pulls'!$A$6:$A$125,0)),""))=0),"Operating claimed with no sample",IF(AND(N(O274)&gt;=3,P274=1),"Operating rests on one individual",IF(AND(L274&lt;&gt;"",N274=""),"Override with no rationale in column N",IF(AND(G274="MANDATORY",N(O274)&lt;3),"SAFETY GATE: below Operating","OK")))))))))</f>
        <v>No evidence pull assigned</v>
      </c>
    </row>
    <row r="275" customFormat="false" ht="22.35" hidden="false" customHeight="false" outlineLevel="0" collapsed="false">
      <c r="A275" s="14" t="s">
        <v>576</v>
      </c>
      <c r="B275" s="14" t="s">
        <v>516</v>
      </c>
      <c r="C275" s="14" t="s">
        <v>568</v>
      </c>
      <c r="D275" s="14" t="s">
        <v>569</v>
      </c>
      <c r="E275" s="14" t="s">
        <v>190</v>
      </c>
      <c r="F275" s="15"/>
      <c r="G275" s="14"/>
      <c r="H275" s="14" t="s">
        <v>127</v>
      </c>
      <c r="I275" s="14" t="s">
        <v>484</v>
      </c>
      <c r="J275" s="16"/>
      <c r="K275" s="16"/>
      <c r="L275" s="16"/>
      <c r="M275" s="16"/>
      <c r="N275" s="16"/>
      <c r="O275" s="17" t="str">
        <f aca="false">IFERROR(INDEX(Lists!$B$3:$B$7,MATCH(K275,Lists!$A$3:$A$7,0)),"")</f>
        <v/>
      </c>
      <c r="P275" s="17" t="str">
        <f aca="false">IFERROR(INDEX('Evidence Pulls'!$P$6:$P$125,MATCH($J275,'Evidence Pulls'!$A$6:$A$125,0)),"")</f>
        <v/>
      </c>
      <c r="Q275" s="17" t="str">
        <f aca="false">IFERROR(INDEX('Evidence Pulls'!$H$6:$H$125,MATCH($J275,'Evidence Pulls'!$A$6:$A$125,0)),"")</f>
        <v/>
      </c>
      <c r="R275" s="17" t="str">
        <f aca="false">IFERROR(INDEX('Evidence Pulls'!$Q$6:$Q$125,MATCH($J275,'Evidence Pulls'!$A$6:$A$125,0)),"")</f>
        <v/>
      </c>
      <c r="S275" s="17" t="str">
        <f aca="false">IF(L275&lt;&gt;"",L275,IF(K275="","Not assessed",IF(N(O275)&gt;=3,"Demonstrated","Gap - remediate")))</f>
        <v>Not assessed</v>
      </c>
      <c r="T275" s="17" t="str">
        <f aca="false">IF(J275="","No evidence pull assigned",IF(COUNTIF('Evidence Pulls'!$A$6:$A$125,J275)=0,"Pull ID not on Evidence Pulls sheet",IF(K275="","Not graded",IF(AND(G275="MANDATORY",L275="Gap - recommend tailoring"),"INVALID: safety-mandatory, not tailorable",IF(OR(P275="",P275=0),"NO NAMED EXECUTOR",IF(AND(H275="Full",IFERROR(INDEX('Evidence Pulls'!$C$6:$C$125,MATCH($J275,'Evidence Pulls'!$A$6:$A$125,0)),"")&lt;&gt;"Artifact",N(O275)&gt;=3,N(IFERROR(INDEX('Evidence Pulls'!$K$6:$K$125,MATCH($J275,'Evidence Pulls'!$A$6:$A$125,0)),""))=0),"Operating claimed with no sample",IF(AND(N(O275)&gt;=3,P275=1),"Operating rests on one individual",IF(AND(L275&lt;&gt;"",N275=""),"Override with no rationale in column N",IF(AND(G275="MANDATORY",N(O275)&lt;3),"SAFETY GATE: below Operating","OK")))))))))</f>
        <v>No evidence pull assigned</v>
      </c>
    </row>
    <row r="276" customFormat="false" ht="22.35" hidden="false" customHeight="false" outlineLevel="0" collapsed="false">
      <c r="A276" s="14" t="s">
        <v>577</v>
      </c>
      <c r="B276" s="14" t="s">
        <v>516</v>
      </c>
      <c r="C276" s="14" t="s">
        <v>578</v>
      </c>
      <c r="D276" s="14" t="s">
        <v>579</v>
      </c>
      <c r="E276" s="14" t="s">
        <v>126</v>
      </c>
      <c r="F276" s="15"/>
      <c r="G276" s="14"/>
      <c r="H276" s="14" t="s">
        <v>127</v>
      </c>
      <c r="I276" s="14" t="s">
        <v>484</v>
      </c>
      <c r="J276" s="16"/>
      <c r="K276" s="16"/>
      <c r="L276" s="16"/>
      <c r="M276" s="16"/>
      <c r="N276" s="16"/>
      <c r="O276" s="17" t="str">
        <f aca="false">IFERROR(INDEX(Lists!$B$3:$B$7,MATCH(K276,Lists!$A$3:$A$7,0)),"")</f>
        <v/>
      </c>
      <c r="P276" s="17" t="str">
        <f aca="false">IFERROR(INDEX('Evidence Pulls'!$P$6:$P$125,MATCH($J276,'Evidence Pulls'!$A$6:$A$125,0)),"")</f>
        <v/>
      </c>
      <c r="Q276" s="17" t="str">
        <f aca="false">IFERROR(INDEX('Evidence Pulls'!$H$6:$H$125,MATCH($J276,'Evidence Pulls'!$A$6:$A$125,0)),"")</f>
        <v/>
      </c>
      <c r="R276" s="17" t="str">
        <f aca="false">IFERROR(INDEX('Evidence Pulls'!$Q$6:$Q$125,MATCH($J276,'Evidence Pulls'!$A$6:$A$125,0)),"")</f>
        <v/>
      </c>
      <c r="S276" s="17" t="str">
        <f aca="false">IF(L276&lt;&gt;"",L276,IF(K276="","Not assessed",IF(N(O276)&gt;=3,"Demonstrated","Gap - remediate")))</f>
        <v>Not assessed</v>
      </c>
      <c r="T276" s="17" t="str">
        <f aca="false">IF(J276="","No evidence pull assigned",IF(COUNTIF('Evidence Pulls'!$A$6:$A$125,J276)=0,"Pull ID not on Evidence Pulls sheet",IF(K276="","Not graded",IF(AND(G276="MANDATORY",L276="Gap - recommend tailoring"),"INVALID: safety-mandatory, not tailorable",IF(OR(P276="",P276=0),"NO NAMED EXECUTOR",IF(AND(H276="Full",IFERROR(INDEX('Evidence Pulls'!$C$6:$C$125,MATCH($J276,'Evidence Pulls'!$A$6:$A$125,0)),"")&lt;&gt;"Artifact",N(O276)&gt;=3,N(IFERROR(INDEX('Evidence Pulls'!$K$6:$K$125,MATCH($J276,'Evidence Pulls'!$A$6:$A$125,0)),""))=0),"Operating claimed with no sample",IF(AND(N(O276)&gt;=3,P276=1),"Operating rests on one individual",IF(AND(L276&lt;&gt;"",N276=""),"Override with no rationale in column N",IF(AND(G276="MANDATORY",N(O276)&lt;3),"SAFETY GATE: below Operating","OK")))))))))</f>
        <v>No evidence pull assigned</v>
      </c>
    </row>
    <row r="277" customFormat="false" ht="22.35" hidden="false" customHeight="false" outlineLevel="0" collapsed="false">
      <c r="A277" s="14" t="s">
        <v>580</v>
      </c>
      <c r="B277" s="14" t="s">
        <v>516</v>
      </c>
      <c r="C277" s="14" t="s">
        <v>581</v>
      </c>
      <c r="D277" s="14" t="s">
        <v>582</v>
      </c>
      <c r="E277" s="14" t="s">
        <v>141</v>
      </c>
      <c r="F277" s="15"/>
      <c r="G277" s="14"/>
      <c r="H277" s="14" t="s">
        <v>127</v>
      </c>
      <c r="I277" s="14" t="s">
        <v>484</v>
      </c>
      <c r="J277" s="16"/>
      <c r="K277" s="16"/>
      <c r="L277" s="16"/>
      <c r="M277" s="16"/>
      <c r="N277" s="16"/>
      <c r="O277" s="17" t="str">
        <f aca="false">IFERROR(INDEX(Lists!$B$3:$B$7,MATCH(K277,Lists!$A$3:$A$7,0)),"")</f>
        <v/>
      </c>
      <c r="P277" s="17" t="str">
        <f aca="false">IFERROR(INDEX('Evidence Pulls'!$P$6:$P$125,MATCH($J277,'Evidence Pulls'!$A$6:$A$125,0)),"")</f>
        <v/>
      </c>
      <c r="Q277" s="17" t="str">
        <f aca="false">IFERROR(INDEX('Evidence Pulls'!$H$6:$H$125,MATCH($J277,'Evidence Pulls'!$A$6:$A$125,0)),"")</f>
        <v/>
      </c>
      <c r="R277" s="17" t="str">
        <f aca="false">IFERROR(INDEX('Evidence Pulls'!$Q$6:$Q$125,MATCH($J277,'Evidence Pulls'!$A$6:$A$125,0)),"")</f>
        <v/>
      </c>
      <c r="S277" s="17" t="str">
        <f aca="false">IF(L277&lt;&gt;"",L277,IF(K277="","Not assessed",IF(N(O277)&gt;=3,"Demonstrated","Gap - remediate")))</f>
        <v>Not assessed</v>
      </c>
      <c r="T277" s="17" t="str">
        <f aca="false">IF(J277="","No evidence pull assigned",IF(COUNTIF('Evidence Pulls'!$A$6:$A$125,J277)=0,"Pull ID not on Evidence Pulls sheet",IF(K277="","Not graded",IF(AND(G277="MANDATORY",L277="Gap - recommend tailoring"),"INVALID: safety-mandatory, not tailorable",IF(OR(P277="",P277=0),"NO NAMED EXECUTOR",IF(AND(H277="Full",IFERROR(INDEX('Evidence Pulls'!$C$6:$C$125,MATCH($J277,'Evidence Pulls'!$A$6:$A$125,0)),"")&lt;&gt;"Artifact",N(O277)&gt;=3,N(IFERROR(INDEX('Evidence Pulls'!$K$6:$K$125,MATCH($J277,'Evidence Pulls'!$A$6:$A$125,0)),""))=0),"Operating claimed with no sample",IF(AND(N(O277)&gt;=3,P277=1),"Operating rests on one individual",IF(AND(L277&lt;&gt;"",N277=""),"Override with no rationale in column N",IF(AND(G277="MANDATORY",N(O277)&lt;3),"SAFETY GATE: below Operating","OK")))))))))</f>
        <v>No evidence pull assigned</v>
      </c>
    </row>
    <row r="278" customFormat="false" ht="22.35" hidden="false" customHeight="false" outlineLevel="0" collapsed="false">
      <c r="A278" s="14" t="s">
        <v>583</v>
      </c>
      <c r="B278" s="14" t="s">
        <v>516</v>
      </c>
      <c r="C278" s="14" t="s">
        <v>581</v>
      </c>
      <c r="D278" s="14" t="s">
        <v>582</v>
      </c>
      <c r="E278" s="14" t="s">
        <v>143</v>
      </c>
      <c r="F278" s="15"/>
      <c r="G278" s="14"/>
      <c r="H278" s="14" t="s">
        <v>127</v>
      </c>
      <c r="I278" s="14" t="s">
        <v>484</v>
      </c>
      <c r="J278" s="16"/>
      <c r="K278" s="16"/>
      <c r="L278" s="16"/>
      <c r="M278" s="16"/>
      <c r="N278" s="16"/>
      <c r="O278" s="17" t="str">
        <f aca="false">IFERROR(INDEX(Lists!$B$3:$B$7,MATCH(K278,Lists!$A$3:$A$7,0)),"")</f>
        <v/>
      </c>
      <c r="P278" s="17" t="str">
        <f aca="false">IFERROR(INDEX('Evidence Pulls'!$P$6:$P$125,MATCH($J278,'Evidence Pulls'!$A$6:$A$125,0)),"")</f>
        <v/>
      </c>
      <c r="Q278" s="17" t="str">
        <f aca="false">IFERROR(INDEX('Evidence Pulls'!$H$6:$H$125,MATCH($J278,'Evidence Pulls'!$A$6:$A$125,0)),"")</f>
        <v/>
      </c>
      <c r="R278" s="17" t="str">
        <f aca="false">IFERROR(INDEX('Evidence Pulls'!$Q$6:$Q$125,MATCH($J278,'Evidence Pulls'!$A$6:$A$125,0)),"")</f>
        <v/>
      </c>
      <c r="S278" s="17" t="str">
        <f aca="false">IF(L278&lt;&gt;"",L278,IF(K278="","Not assessed",IF(N(O278)&gt;=3,"Demonstrated","Gap - remediate")))</f>
        <v>Not assessed</v>
      </c>
      <c r="T278" s="17" t="str">
        <f aca="false">IF(J278="","No evidence pull assigned",IF(COUNTIF('Evidence Pulls'!$A$6:$A$125,J278)=0,"Pull ID not on Evidence Pulls sheet",IF(K278="","Not graded",IF(AND(G278="MANDATORY",L278="Gap - recommend tailoring"),"INVALID: safety-mandatory, not tailorable",IF(OR(P278="",P278=0),"NO NAMED EXECUTOR",IF(AND(H278="Full",IFERROR(INDEX('Evidence Pulls'!$C$6:$C$125,MATCH($J278,'Evidence Pulls'!$A$6:$A$125,0)),"")&lt;&gt;"Artifact",N(O278)&gt;=3,N(IFERROR(INDEX('Evidence Pulls'!$K$6:$K$125,MATCH($J278,'Evidence Pulls'!$A$6:$A$125,0)),""))=0),"Operating claimed with no sample",IF(AND(N(O278)&gt;=3,P278=1),"Operating rests on one individual",IF(AND(L278&lt;&gt;"",N278=""),"Override with no rationale in column N",IF(AND(G278="MANDATORY",N(O278)&lt;3),"SAFETY GATE: below Operating","OK")))))))))</f>
        <v>No evidence pull assigned</v>
      </c>
    </row>
    <row r="279" customFormat="false" ht="22.35" hidden="false" customHeight="false" outlineLevel="0" collapsed="false">
      <c r="A279" s="14" t="s">
        <v>584</v>
      </c>
      <c r="B279" s="14" t="s">
        <v>516</v>
      </c>
      <c r="C279" s="14" t="s">
        <v>581</v>
      </c>
      <c r="D279" s="14" t="s">
        <v>582</v>
      </c>
      <c r="E279" s="14" t="s">
        <v>145</v>
      </c>
      <c r="F279" s="15"/>
      <c r="G279" s="14"/>
      <c r="H279" s="14" t="s">
        <v>127</v>
      </c>
      <c r="I279" s="14" t="s">
        <v>484</v>
      </c>
      <c r="J279" s="16"/>
      <c r="K279" s="16"/>
      <c r="L279" s="16"/>
      <c r="M279" s="16"/>
      <c r="N279" s="16"/>
      <c r="O279" s="17" t="str">
        <f aca="false">IFERROR(INDEX(Lists!$B$3:$B$7,MATCH(K279,Lists!$A$3:$A$7,0)),"")</f>
        <v/>
      </c>
      <c r="P279" s="17" t="str">
        <f aca="false">IFERROR(INDEX('Evidence Pulls'!$P$6:$P$125,MATCH($J279,'Evidence Pulls'!$A$6:$A$125,0)),"")</f>
        <v/>
      </c>
      <c r="Q279" s="17" t="str">
        <f aca="false">IFERROR(INDEX('Evidence Pulls'!$H$6:$H$125,MATCH($J279,'Evidence Pulls'!$A$6:$A$125,0)),"")</f>
        <v/>
      </c>
      <c r="R279" s="17" t="str">
        <f aca="false">IFERROR(INDEX('Evidence Pulls'!$Q$6:$Q$125,MATCH($J279,'Evidence Pulls'!$A$6:$A$125,0)),"")</f>
        <v/>
      </c>
      <c r="S279" s="17" t="str">
        <f aca="false">IF(L279&lt;&gt;"",L279,IF(K279="","Not assessed",IF(N(O279)&gt;=3,"Demonstrated","Gap - remediate")))</f>
        <v>Not assessed</v>
      </c>
      <c r="T279" s="17" t="str">
        <f aca="false">IF(J279="","No evidence pull assigned",IF(COUNTIF('Evidence Pulls'!$A$6:$A$125,J279)=0,"Pull ID not on Evidence Pulls sheet",IF(K279="","Not graded",IF(AND(G279="MANDATORY",L279="Gap - recommend tailoring"),"INVALID: safety-mandatory, not tailorable",IF(OR(P279="",P279=0),"NO NAMED EXECUTOR",IF(AND(H279="Full",IFERROR(INDEX('Evidence Pulls'!$C$6:$C$125,MATCH($J279,'Evidence Pulls'!$A$6:$A$125,0)),"")&lt;&gt;"Artifact",N(O279)&gt;=3,N(IFERROR(INDEX('Evidence Pulls'!$K$6:$K$125,MATCH($J279,'Evidence Pulls'!$A$6:$A$125,0)),""))=0),"Operating claimed with no sample",IF(AND(N(O279)&gt;=3,P279=1),"Operating rests on one individual",IF(AND(L279&lt;&gt;"",N279=""),"Override with no rationale in column N",IF(AND(G279="MANDATORY",N(O279)&lt;3),"SAFETY GATE: below Operating","OK")))))))))</f>
        <v>No evidence pull assigned</v>
      </c>
    </row>
  </sheetData>
  <autoFilter ref="A5:T279"/>
  <dataValidations count="3">
    <dataValidation allowBlank="true" errorStyle="stop" operator="between" showDropDown="false" showErrorMessage="false" showInputMessage="false" sqref="K6:K279" type="list">
      <formula1>Lists!$A$3:$A$7</formula1>
      <formula2>0</formula2>
    </dataValidation>
    <dataValidation allowBlank="true" errorStyle="stop" operator="between" showDropDown="false" showErrorMessage="false" showInputMessage="false" sqref="L6:L279" type="list">
      <formula1>Lists!$D$3:$D$5</formula1>
      <formula2>0</formula2>
    </dataValidation>
    <dataValidation allowBlank="true" errorStyle="stop" operator="between" showDropDown="false" showErrorMessage="false" showInputMessage="false" sqref="H6:H279" type="list">
      <formula1>"Full,Screen"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52"/>
    <col collapsed="false" customWidth="true" hidden="false" outlineLevel="0" max="3" min="3" style="0" width="15"/>
    <col collapsed="false" customWidth="true" hidden="false" outlineLevel="0" max="4" min="4" style="0" width="24"/>
    <col collapsed="false" customWidth="true" hidden="false" outlineLevel="0" max="5" min="5" style="0" width="20"/>
    <col collapsed="false" customWidth="true" hidden="false" outlineLevel="0" max="6" min="6" style="0" width="22"/>
    <col collapsed="false" customWidth="true" hidden="false" outlineLevel="0" max="7" min="7" style="0" width="30"/>
    <col collapsed="false" customWidth="true" hidden="false" outlineLevel="0" max="9" min="8" style="0" width="24"/>
    <col collapsed="false" customWidth="true" hidden="false" outlineLevel="0" max="10" min="10" style="0" width="32"/>
    <col collapsed="false" customWidth="true" hidden="false" outlineLevel="0" max="12" min="11" style="0" width="14"/>
    <col collapsed="false" customWidth="true" hidden="false" outlineLevel="0" max="13" min="13" style="0" width="20"/>
    <col collapsed="false" customWidth="true" hidden="false" outlineLevel="0" max="15" min="14" style="0" width="30"/>
    <col collapsed="false" customWidth="true" hidden="false" outlineLevel="0" max="16" min="16" style="0" width="12"/>
    <col collapsed="false" customWidth="true" hidden="false" outlineLevel="0" max="19" min="17" style="0" width="14"/>
    <col collapsed="false" customWidth="true" hidden="false" outlineLevel="0" max="20" min="20" style="0" width="13"/>
    <col collapsed="false" customWidth="true" hidden="false" outlineLevel="0" max="21" min="21" style="0" width="15"/>
    <col collapsed="false" customWidth="true" hidden="false" outlineLevel="0" max="23" min="22" style="0" width="14"/>
    <col collapsed="false" customWidth="true" hidden="false" outlineLevel="0" max="24" min="24" style="0" width="36"/>
  </cols>
  <sheetData>
    <row r="1" customFormat="false" ht="17.35" hidden="false" customHeight="false" outlineLevel="0" collapsed="false">
      <c r="A1" s="1" t="s">
        <v>585</v>
      </c>
    </row>
    <row r="2" customFormat="false" ht="15" hidden="false" customHeight="false" outlineLevel="0" collapsed="false">
      <c r="A2" s="12" t="s">
        <v>586</v>
      </c>
    </row>
    <row r="3" customFormat="false" ht="15" hidden="false" customHeight="false" outlineLevel="0" collapsed="false">
      <c r="A3" s="2" t="s">
        <v>587</v>
      </c>
    </row>
    <row r="5" customFormat="false" ht="49.5" hidden="false" customHeight="true" outlineLevel="0" collapsed="false">
      <c r="A5" s="5" t="s">
        <v>8</v>
      </c>
      <c r="B5" s="5" t="s">
        <v>11</v>
      </c>
      <c r="C5" s="5" t="s">
        <v>14</v>
      </c>
      <c r="D5" s="5" t="s">
        <v>17</v>
      </c>
      <c r="E5" s="5" t="s">
        <v>20</v>
      </c>
      <c r="F5" s="5" t="s">
        <v>23</v>
      </c>
      <c r="G5" s="5" t="s">
        <v>588</v>
      </c>
      <c r="H5" s="5" t="s">
        <v>29</v>
      </c>
      <c r="I5" s="5" t="s">
        <v>32</v>
      </c>
      <c r="J5" s="5" t="s">
        <v>589</v>
      </c>
      <c r="K5" s="5" t="s">
        <v>590</v>
      </c>
      <c r="L5" s="5" t="s">
        <v>591</v>
      </c>
      <c r="M5" s="5" t="s">
        <v>592</v>
      </c>
      <c r="N5" s="5" t="s">
        <v>47</v>
      </c>
      <c r="O5" s="5" t="s">
        <v>593</v>
      </c>
      <c r="P5" s="5" t="s">
        <v>117</v>
      </c>
      <c r="Q5" s="5" t="s">
        <v>119</v>
      </c>
      <c r="R5" s="5" t="s">
        <v>594</v>
      </c>
      <c r="S5" s="5" t="s">
        <v>595</v>
      </c>
      <c r="T5" s="5" t="s">
        <v>596</v>
      </c>
      <c r="U5" s="5" t="s">
        <v>597</v>
      </c>
      <c r="V5" s="5" t="s">
        <v>598</v>
      </c>
      <c r="W5" s="5" t="s">
        <v>599</v>
      </c>
      <c r="X5" s="5" t="s">
        <v>600</v>
      </c>
    </row>
    <row r="6" customFormat="false" ht="22.35" hidden="false" customHeight="false" outlineLevel="0" collapsed="false">
      <c r="A6" s="20" t="s">
        <v>601</v>
      </c>
      <c r="B6" s="16" t="s">
        <v>602</v>
      </c>
      <c r="C6" s="16" t="s">
        <v>60</v>
      </c>
      <c r="D6" s="16"/>
      <c r="E6" s="16"/>
      <c r="F6" s="16"/>
      <c r="G6" s="16"/>
      <c r="H6" s="16"/>
      <c r="I6" s="16"/>
      <c r="J6" s="16"/>
      <c r="K6" s="16"/>
      <c r="L6" s="16"/>
      <c r="M6" s="16"/>
      <c r="N6" s="16"/>
      <c r="O6" s="21" t="str">
        <f aca="false">IF($A6="","",IF($C6="Transactional","10 records, or all if fewer",IF($C6="Artifact","NO record sample. Grade every register row on this pull.",IF($C6="Event","last 3 occurrences, or all if fewer","PICK A SAMPLE CLASS"))))</f>
        <v>NO record sample. Grade every register row on this pull.</v>
      </c>
      <c r="P6" s="21" t="n">
        <f aca="false">IF(TRIM(G6)="",0,LEN(TRIM(G6))-LEN(SUBSTITUTE(TRIM(G6),";",""))+1)</f>
        <v>0</v>
      </c>
      <c r="Q6" s="21" t="str">
        <f aca="false">IF($A6="","",IF(P6=0,"Unassigned",IF(P6=1,"Single point","Staffed")))</f>
        <v>Unassigned</v>
      </c>
      <c r="R6" s="22" t="str">
        <f aca="false">IF(OR($C6="Artifact",K6="",K6=0),"",L6/K6)</f>
        <v/>
      </c>
      <c r="S6" s="21" t="n">
        <f aca="false">IF($A6="",0,COUNTIF('Full Register'!$J$6:$J$279,$A6))</f>
        <v>0</v>
      </c>
      <c r="T6" s="21" t="n">
        <f aca="false">IF($A6="",0,COUNTIFS('Full Register'!$J$6:$J$279,$A6,'Full Register'!$O$6:$O$279,"&gt;=3"))</f>
        <v>0</v>
      </c>
      <c r="U6" s="22" t="str">
        <f aca="false">IF(OR($A6="",S6=0),"",T6/S6)</f>
        <v/>
      </c>
      <c r="V6" s="21" t="n">
        <f aca="false">IF($A6="",0,S6-COUNTIFS('Full Register'!$J$6:$J$279,$A6,'Full Register'!$K$6:$K$279,"&lt;&gt;"))</f>
        <v>0</v>
      </c>
      <c r="W6" s="21" t="str">
        <f aca="false">IF($A6="","",IF(COUNTIFS('Full Register'!$J$6:$J$279,$A6,'Full Register'!$H$6:$H$279,"Full")&gt;0,"Full","Screen"))</f>
        <v>Screen</v>
      </c>
      <c r="X6" s="21" t="str">
        <f aca="false">IF($A6="","",IF(AND(S6=0,I6="",G6=""),"Not started",IF($C6="","No sample class picked",IF(AND(W6="Full",$C6&lt;&gt;"Artifact",K6=""),"Record sample required, none recorded",IF(AND(I6&lt;&gt;"",V6&gt;0),V6&amp;" register rows on this pull still ungraded",IF(AND($C6="Transactional",K6&lt;&gt;"",K6&lt;10),"Transactional sample below 10 - say why in Notes",IF(AND($C6="Event",K6&lt;&gt;"",K6&lt;3),"Event sample below 3 - say why in Notes",IF(AND($C6&lt;&gt;"Artifact",K6&lt;&gt;"",L6=""),"Sample size with no conforming count",IF(AND($C6="Artifact",K6&lt;&gt;""),"Artifact pull: leave K and L blank, coverage is computed",IF(S6=0,"Worked but no requirement rows point at it","OK"))))))))))</f>
        <v>Not started</v>
      </c>
    </row>
    <row r="7" customFormat="false" ht="22.35" hidden="false" customHeight="false" outlineLevel="0" collapsed="false">
      <c r="A7" s="20" t="s">
        <v>603</v>
      </c>
      <c r="B7" s="16" t="s">
        <v>604</v>
      </c>
      <c r="C7" s="16" t="s">
        <v>60</v>
      </c>
      <c r="D7" s="16"/>
      <c r="E7" s="16"/>
      <c r="F7" s="16"/>
      <c r="G7" s="16"/>
      <c r="H7" s="16"/>
      <c r="I7" s="16"/>
      <c r="J7" s="16"/>
      <c r="K7" s="16"/>
      <c r="L7" s="16"/>
      <c r="M7" s="16"/>
      <c r="N7" s="16"/>
      <c r="O7" s="21" t="str">
        <f aca="false">IF($A7="","",IF($C7="Transactional","10 records, or all if fewer",IF($C7="Artifact","NO record sample. Grade every register row on this pull.",IF($C7="Event","last 3 occurrences, or all if fewer","PICK A SAMPLE CLASS"))))</f>
        <v>NO record sample. Grade every register row on this pull.</v>
      </c>
      <c r="P7" s="21" t="n">
        <f aca="false">IF(TRIM(G7)="",0,LEN(TRIM(G7))-LEN(SUBSTITUTE(TRIM(G7),";",""))+1)</f>
        <v>0</v>
      </c>
      <c r="Q7" s="21" t="str">
        <f aca="false">IF($A7="","",IF(P7=0,"Unassigned",IF(P7=1,"Single point","Staffed")))</f>
        <v>Unassigned</v>
      </c>
      <c r="R7" s="22" t="str">
        <f aca="false">IF(OR($C7="Artifact",K7="",K7=0),"",L7/K7)</f>
        <v/>
      </c>
      <c r="S7" s="21" t="n">
        <f aca="false">IF($A7="",0,COUNTIF('Full Register'!$J$6:$J$279,$A7))</f>
        <v>0</v>
      </c>
      <c r="T7" s="21" t="n">
        <f aca="false">IF($A7="",0,COUNTIFS('Full Register'!$J$6:$J$279,$A7,'Full Register'!$O$6:$O$279,"&gt;=3"))</f>
        <v>0</v>
      </c>
      <c r="U7" s="22" t="str">
        <f aca="false">IF(OR($A7="",S7=0),"",T7/S7)</f>
        <v/>
      </c>
      <c r="V7" s="21" t="n">
        <f aca="false">IF($A7="",0,S7-COUNTIFS('Full Register'!$J$6:$J$279,$A7,'Full Register'!$K$6:$K$279,"&lt;&gt;"))</f>
        <v>0</v>
      </c>
      <c r="W7" s="21" t="str">
        <f aca="false">IF($A7="","",IF(COUNTIFS('Full Register'!$J$6:$J$279,$A7,'Full Register'!$H$6:$H$279,"Full")&gt;0,"Full","Screen"))</f>
        <v>Screen</v>
      </c>
      <c r="X7" s="21" t="str">
        <f aca="false">IF($A7="","",IF(AND(S7=0,I7="",G7=""),"Not started",IF($C7="","No sample class picked",IF(AND(W7="Full",$C7&lt;&gt;"Artifact",K7=""),"Record sample required, none recorded",IF(AND(I7&lt;&gt;"",V7&gt;0),V7&amp;" register rows on this pull still ungraded",IF(AND($C7="Transactional",K7&lt;&gt;"",K7&lt;10),"Transactional sample below 10 - say why in Notes",IF(AND($C7="Event",K7&lt;&gt;"",K7&lt;3),"Event sample below 3 - say why in Notes",IF(AND($C7&lt;&gt;"Artifact",K7&lt;&gt;"",L7=""),"Sample size with no conforming count",IF(AND($C7="Artifact",K7&lt;&gt;""),"Artifact pull: leave K and L blank, coverage is computed",IF(S7=0,"Worked but no requirement rows point at it","OK"))))))))))</f>
        <v>Not started</v>
      </c>
    </row>
    <row r="8" customFormat="false" ht="22.35" hidden="false" customHeight="false" outlineLevel="0" collapsed="false">
      <c r="A8" s="20" t="s">
        <v>605</v>
      </c>
      <c r="B8" s="16" t="s">
        <v>606</v>
      </c>
      <c r="C8" s="16" t="s">
        <v>54</v>
      </c>
      <c r="D8" s="16"/>
      <c r="E8" s="16"/>
      <c r="F8" s="16"/>
      <c r="G8" s="16"/>
      <c r="H8" s="16"/>
      <c r="I8" s="16"/>
      <c r="J8" s="16"/>
      <c r="K8" s="16"/>
      <c r="L8" s="16"/>
      <c r="M8" s="16"/>
      <c r="N8" s="16"/>
      <c r="O8" s="21" t="str">
        <f aca="false">IF($A8="","",IF($C8="Transactional","10 records, or all if fewer",IF($C8="Artifact","NO record sample. Grade every register row on this pull.",IF($C8="Event","last 3 occurrences, or all if fewer","PICK A SAMPLE CLASS"))))</f>
        <v>10 records, or all if fewer</v>
      </c>
      <c r="P8" s="21" t="n">
        <f aca="false">IF(TRIM(G8)="",0,LEN(TRIM(G8))-LEN(SUBSTITUTE(TRIM(G8),";",""))+1)</f>
        <v>0</v>
      </c>
      <c r="Q8" s="21" t="str">
        <f aca="false">IF($A8="","",IF(P8=0,"Unassigned",IF(P8=1,"Single point","Staffed")))</f>
        <v>Unassigned</v>
      </c>
      <c r="R8" s="22" t="str">
        <f aca="false">IF(OR($C8="Artifact",K8="",K8=0),"",L8/K8)</f>
        <v/>
      </c>
      <c r="S8" s="21" t="n">
        <f aca="false">IF($A8="",0,COUNTIF('Full Register'!$J$6:$J$279,$A8))</f>
        <v>0</v>
      </c>
      <c r="T8" s="21" t="n">
        <f aca="false">IF($A8="",0,COUNTIFS('Full Register'!$J$6:$J$279,$A8,'Full Register'!$O$6:$O$279,"&gt;=3"))</f>
        <v>0</v>
      </c>
      <c r="U8" s="22" t="str">
        <f aca="false">IF(OR($A8="",S8=0),"",T8/S8)</f>
        <v/>
      </c>
      <c r="V8" s="21" t="n">
        <f aca="false">IF($A8="",0,S8-COUNTIFS('Full Register'!$J$6:$J$279,$A8,'Full Register'!$K$6:$K$279,"&lt;&gt;"))</f>
        <v>0</v>
      </c>
      <c r="W8" s="21" t="str">
        <f aca="false">IF($A8="","",IF(COUNTIFS('Full Register'!$J$6:$J$279,$A8,'Full Register'!$H$6:$H$279,"Full")&gt;0,"Full","Screen"))</f>
        <v>Screen</v>
      </c>
      <c r="X8" s="21" t="str">
        <f aca="false">IF($A8="","",IF(AND(S8=0,I8="",G8=""),"Not started",IF($C8="","No sample class picked",IF(AND(W8="Full",$C8&lt;&gt;"Artifact",K8=""),"Record sample required, none recorded",IF(AND(I8&lt;&gt;"",V8&gt;0),V8&amp;" register rows on this pull still ungraded",IF(AND($C8="Transactional",K8&lt;&gt;"",K8&lt;10),"Transactional sample below 10 - say why in Notes",IF(AND($C8="Event",K8&lt;&gt;"",K8&lt;3),"Event sample below 3 - say why in Notes",IF(AND($C8&lt;&gt;"Artifact",K8&lt;&gt;"",L8=""),"Sample size with no conforming count",IF(AND($C8="Artifact",K8&lt;&gt;""),"Artifact pull: leave K and L blank, coverage is computed",IF(S8=0,"Worked but no requirement rows point at it","OK"))))))))))</f>
        <v>Not started</v>
      </c>
    </row>
    <row r="9" customFormat="false" ht="15" hidden="false" customHeight="false" outlineLevel="0" collapsed="false">
      <c r="A9" s="20" t="s">
        <v>607</v>
      </c>
      <c r="B9" s="16" t="s">
        <v>608</v>
      </c>
      <c r="C9" s="16" t="s">
        <v>57</v>
      </c>
      <c r="D9" s="16"/>
      <c r="E9" s="16"/>
      <c r="F9" s="16"/>
      <c r="G9" s="16"/>
      <c r="H9" s="16"/>
      <c r="I9" s="16"/>
      <c r="J9" s="16"/>
      <c r="K9" s="16"/>
      <c r="L9" s="16"/>
      <c r="M9" s="16"/>
      <c r="N9" s="16"/>
      <c r="O9" s="21" t="str">
        <f aca="false">IF($A9="","",IF($C9="Transactional","10 records, or all if fewer",IF($C9="Artifact","NO record sample. Grade every register row on this pull.",IF($C9="Event","last 3 occurrences, or all if fewer","PICK A SAMPLE CLASS"))))</f>
        <v>last 3 occurrences, or all if fewer</v>
      </c>
      <c r="P9" s="21" t="n">
        <f aca="false">IF(TRIM(G9)="",0,LEN(TRIM(G9))-LEN(SUBSTITUTE(TRIM(G9),";",""))+1)</f>
        <v>0</v>
      </c>
      <c r="Q9" s="21" t="str">
        <f aca="false">IF($A9="","",IF(P9=0,"Unassigned",IF(P9=1,"Single point","Staffed")))</f>
        <v>Unassigned</v>
      </c>
      <c r="R9" s="22" t="str">
        <f aca="false">IF(OR($C9="Artifact",K9="",K9=0),"",L9/K9)</f>
        <v/>
      </c>
      <c r="S9" s="21" t="n">
        <f aca="false">IF($A9="",0,COUNTIF('Full Register'!$J$6:$J$279,$A9))</f>
        <v>0</v>
      </c>
      <c r="T9" s="21" t="n">
        <f aca="false">IF($A9="",0,COUNTIFS('Full Register'!$J$6:$J$279,$A9,'Full Register'!$O$6:$O$279,"&gt;=3"))</f>
        <v>0</v>
      </c>
      <c r="U9" s="22" t="str">
        <f aca="false">IF(OR($A9="",S9=0),"",T9/S9)</f>
        <v/>
      </c>
      <c r="V9" s="21" t="n">
        <f aca="false">IF($A9="",0,S9-COUNTIFS('Full Register'!$J$6:$J$279,$A9,'Full Register'!$K$6:$K$279,"&lt;&gt;"))</f>
        <v>0</v>
      </c>
      <c r="W9" s="21" t="str">
        <f aca="false">IF($A9="","",IF(COUNTIFS('Full Register'!$J$6:$J$279,$A9,'Full Register'!$H$6:$H$279,"Full")&gt;0,"Full","Screen"))</f>
        <v>Screen</v>
      </c>
      <c r="X9" s="21" t="str">
        <f aca="false">IF($A9="","",IF(AND(S9=0,I9="",G9=""),"Not started",IF($C9="","No sample class picked",IF(AND(W9="Full",$C9&lt;&gt;"Artifact",K9=""),"Record sample required, none recorded",IF(AND(I9&lt;&gt;"",V9&gt;0),V9&amp;" register rows on this pull still ungraded",IF(AND($C9="Transactional",K9&lt;&gt;"",K9&lt;10),"Transactional sample below 10 - say why in Notes",IF(AND($C9="Event",K9&lt;&gt;"",K9&lt;3),"Event sample below 3 - say why in Notes",IF(AND($C9&lt;&gt;"Artifact",K9&lt;&gt;"",L9=""),"Sample size with no conforming count",IF(AND($C9="Artifact",K9&lt;&gt;""),"Artifact pull: leave K and L blank, coverage is computed",IF(S9=0,"Worked but no requirement rows point at it","OK"))))))))))</f>
        <v>Not started</v>
      </c>
    </row>
    <row r="10" customFormat="false" ht="22.35" hidden="false" customHeight="false" outlineLevel="0" collapsed="false">
      <c r="A10" s="20" t="s">
        <v>609</v>
      </c>
      <c r="B10" s="16" t="s">
        <v>610</v>
      </c>
      <c r="C10" s="16" t="s">
        <v>60</v>
      </c>
      <c r="D10" s="16"/>
      <c r="E10" s="16"/>
      <c r="F10" s="16"/>
      <c r="G10" s="16"/>
      <c r="H10" s="16"/>
      <c r="I10" s="16"/>
      <c r="J10" s="16"/>
      <c r="K10" s="16"/>
      <c r="L10" s="16"/>
      <c r="M10" s="16"/>
      <c r="N10" s="16"/>
      <c r="O10" s="21" t="str">
        <f aca="false">IF($A10="","",IF($C10="Transactional","10 records, or all if fewer",IF($C10="Artifact","NO record sample. Grade every register row on this pull.",IF($C10="Event","last 3 occurrences, or all if fewer","PICK A SAMPLE CLASS"))))</f>
        <v>NO record sample. Grade every register row on this pull.</v>
      </c>
      <c r="P10" s="21" t="n">
        <f aca="false">IF(TRIM(G10)="",0,LEN(TRIM(G10))-LEN(SUBSTITUTE(TRIM(G10),";",""))+1)</f>
        <v>0</v>
      </c>
      <c r="Q10" s="21" t="str">
        <f aca="false">IF($A10="","",IF(P10=0,"Unassigned",IF(P10=1,"Single point","Staffed")))</f>
        <v>Unassigned</v>
      </c>
      <c r="R10" s="22" t="str">
        <f aca="false">IF(OR($C10="Artifact",K10="",K10=0),"",L10/K10)</f>
        <v/>
      </c>
      <c r="S10" s="21" t="n">
        <f aca="false">IF($A10="",0,COUNTIF('Full Register'!$J$6:$J$279,$A10))</f>
        <v>0</v>
      </c>
      <c r="T10" s="21" t="n">
        <f aca="false">IF($A10="",0,COUNTIFS('Full Register'!$J$6:$J$279,$A10,'Full Register'!$O$6:$O$279,"&gt;=3"))</f>
        <v>0</v>
      </c>
      <c r="U10" s="22" t="str">
        <f aca="false">IF(OR($A10="",S10=0),"",T10/S10)</f>
        <v/>
      </c>
      <c r="V10" s="21" t="n">
        <f aca="false">IF($A10="",0,S10-COUNTIFS('Full Register'!$J$6:$J$279,$A10,'Full Register'!$K$6:$K$279,"&lt;&gt;"))</f>
        <v>0</v>
      </c>
      <c r="W10" s="21" t="str">
        <f aca="false">IF($A10="","",IF(COUNTIFS('Full Register'!$J$6:$J$279,$A10,'Full Register'!$H$6:$H$279,"Full")&gt;0,"Full","Screen"))</f>
        <v>Screen</v>
      </c>
      <c r="X10" s="21" t="str">
        <f aca="false">IF($A10="","",IF(AND(S10=0,I10="",G10=""),"Not started",IF($C10="","No sample class picked",IF(AND(W10="Full",$C10&lt;&gt;"Artifact",K10=""),"Record sample required, none recorded",IF(AND(I10&lt;&gt;"",V10&gt;0),V10&amp;" register rows on this pull still ungraded",IF(AND($C10="Transactional",K10&lt;&gt;"",K10&lt;10),"Transactional sample below 10 - say why in Notes",IF(AND($C10="Event",K10&lt;&gt;"",K10&lt;3),"Event sample below 3 - say why in Notes",IF(AND($C10&lt;&gt;"Artifact",K10&lt;&gt;"",L10=""),"Sample size with no conforming count",IF(AND($C10="Artifact",K10&lt;&gt;""),"Artifact pull: leave K and L blank, coverage is computed",IF(S10=0,"Worked but no requirement rows point at it","OK"))))))))))</f>
        <v>Not started</v>
      </c>
    </row>
    <row r="11" customFormat="false" ht="15" hidden="false" customHeight="false" outlineLevel="0" collapsed="false">
      <c r="A11" s="20" t="s">
        <v>611</v>
      </c>
      <c r="B11" s="16" t="s">
        <v>612</v>
      </c>
      <c r="C11" s="16" t="s">
        <v>54</v>
      </c>
      <c r="D11" s="16"/>
      <c r="E11" s="16"/>
      <c r="F11" s="16"/>
      <c r="G11" s="16"/>
      <c r="H11" s="16"/>
      <c r="I11" s="16"/>
      <c r="J11" s="16"/>
      <c r="K11" s="16"/>
      <c r="L11" s="16"/>
      <c r="M11" s="16"/>
      <c r="N11" s="16"/>
      <c r="O11" s="21" t="str">
        <f aca="false">IF($A11="","",IF($C11="Transactional","10 records, or all if fewer",IF($C11="Artifact","NO record sample. Grade every register row on this pull.",IF($C11="Event","last 3 occurrences, or all if fewer","PICK A SAMPLE CLASS"))))</f>
        <v>10 records, or all if fewer</v>
      </c>
      <c r="P11" s="21" t="n">
        <f aca="false">IF(TRIM(G11)="",0,LEN(TRIM(G11))-LEN(SUBSTITUTE(TRIM(G11),";",""))+1)</f>
        <v>0</v>
      </c>
      <c r="Q11" s="21" t="str">
        <f aca="false">IF($A11="","",IF(P11=0,"Unassigned",IF(P11=1,"Single point","Staffed")))</f>
        <v>Unassigned</v>
      </c>
      <c r="R11" s="22" t="str">
        <f aca="false">IF(OR($C11="Artifact",K11="",K11=0),"",L11/K11)</f>
        <v/>
      </c>
      <c r="S11" s="21" t="n">
        <f aca="false">IF($A11="",0,COUNTIF('Full Register'!$J$6:$J$279,$A11))</f>
        <v>0</v>
      </c>
      <c r="T11" s="21" t="n">
        <f aca="false">IF($A11="",0,COUNTIFS('Full Register'!$J$6:$J$279,$A11,'Full Register'!$O$6:$O$279,"&gt;=3"))</f>
        <v>0</v>
      </c>
      <c r="U11" s="22" t="str">
        <f aca="false">IF(OR($A11="",S11=0),"",T11/S11)</f>
        <v/>
      </c>
      <c r="V11" s="21" t="n">
        <f aca="false">IF($A11="",0,S11-COUNTIFS('Full Register'!$J$6:$J$279,$A11,'Full Register'!$K$6:$K$279,"&lt;&gt;"))</f>
        <v>0</v>
      </c>
      <c r="W11" s="21" t="str">
        <f aca="false">IF($A11="","",IF(COUNTIFS('Full Register'!$J$6:$J$279,$A11,'Full Register'!$H$6:$H$279,"Full")&gt;0,"Full","Screen"))</f>
        <v>Screen</v>
      </c>
      <c r="X11" s="21" t="str">
        <f aca="false">IF($A11="","",IF(AND(S11=0,I11="",G11=""),"Not started",IF($C11="","No sample class picked",IF(AND(W11="Full",$C11&lt;&gt;"Artifact",K11=""),"Record sample required, none recorded",IF(AND(I11&lt;&gt;"",V11&gt;0),V11&amp;" register rows on this pull still ungraded",IF(AND($C11="Transactional",K11&lt;&gt;"",K11&lt;10),"Transactional sample below 10 - say why in Notes",IF(AND($C11="Event",K11&lt;&gt;"",K11&lt;3),"Event sample below 3 - say why in Notes",IF(AND($C11&lt;&gt;"Artifact",K11&lt;&gt;"",L11=""),"Sample size with no conforming count",IF(AND($C11="Artifact",K11&lt;&gt;""),"Artifact pull: leave K and L blank, coverage is computed",IF(S11=0,"Worked but no requirement rows point at it","OK"))))))))))</f>
        <v>Not started</v>
      </c>
    </row>
    <row r="12" customFormat="false" ht="15" hidden="false" customHeight="false" outlineLevel="0" collapsed="false">
      <c r="A12" s="20" t="s">
        <v>613</v>
      </c>
      <c r="B12" s="16" t="s">
        <v>614</v>
      </c>
      <c r="C12" s="16" t="s">
        <v>57</v>
      </c>
      <c r="D12" s="16"/>
      <c r="E12" s="16"/>
      <c r="F12" s="16"/>
      <c r="G12" s="16"/>
      <c r="H12" s="16"/>
      <c r="I12" s="16"/>
      <c r="J12" s="16"/>
      <c r="K12" s="16"/>
      <c r="L12" s="16"/>
      <c r="M12" s="16"/>
      <c r="N12" s="16"/>
      <c r="O12" s="21" t="str">
        <f aca="false">IF($A12="","",IF($C12="Transactional","10 records, or all if fewer",IF($C12="Artifact","NO record sample. Grade every register row on this pull.",IF($C12="Event","last 3 occurrences, or all if fewer","PICK A SAMPLE CLASS"))))</f>
        <v>last 3 occurrences, or all if fewer</v>
      </c>
      <c r="P12" s="21" t="n">
        <f aca="false">IF(TRIM(G12)="",0,LEN(TRIM(G12))-LEN(SUBSTITUTE(TRIM(G12),";",""))+1)</f>
        <v>0</v>
      </c>
      <c r="Q12" s="21" t="str">
        <f aca="false">IF($A12="","",IF(P12=0,"Unassigned",IF(P12=1,"Single point","Staffed")))</f>
        <v>Unassigned</v>
      </c>
      <c r="R12" s="22" t="str">
        <f aca="false">IF(OR($C12="Artifact",K12="",K12=0),"",L12/K12)</f>
        <v/>
      </c>
      <c r="S12" s="21" t="n">
        <f aca="false">IF($A12="",0,COUNTIF('Full Register'!$J$6:$J$279,$A12))</f>
        <v>0</v>
      </c>
      <c r="T12" s="21" t="n">
        <f aca="false">IF($A12="",0,COUNTIFS('Full Register'!$J$6:$J$279,$A12,'Full Register'!$O$6:$O$279,"&gt;=3"))</f>
        <v>0</v>
      </c>
      <c r="U12" s="22" t="str">
        <f aca="false">IF(OR($A12="",S12=0),"",T12/S12)</f>
        <v/>
      </c>
      <c r="V12" s="21" t="n">
        <f aca="false">IF($A12="",0,S12-COUNTIFS('Full Register'!$J$6:$J$279,$A12,'Full Register'!$K$6:$K$279,"&lt;&gt;"))</f>
        <v>0</v>
      </c>
      <c r="W12" s="21" t="str">
        <f aca="false">IF($A12="","",IF(COUNTIFS('Full Register'!$J$6:$J$279,$A12,'Full Register'!$H$6:$H$279,"Full")&gt;0,"Full","Screen"))</f>
        <v>Screen</v>
      </c>
      <c r="X12" s="21" t="str">
        <f aca="false">IF($A12="","",IF(AND(S12=0,I12="",G12=""),"Not started",IF($C12="","No sample class picked",IF(AND(W12="Full",$C12&lt;&gt;"Artifact",K12=""),"Record sample required, none recorded",IF(AND(I12&lt;&gt;"",V12&gt;0),V12&amp;" register rows on this pull still ungraded",IF(AND($C12="Transactional",K12&lt;&gt;"",K12&lt;10),"Transactional sample below 10 - say why in Notes",IF(AND($C12="Event",K12&lt;&gt;"",K12&lt;3),"Event sample below 3 - say why in Notes",IF(AND($C12&lt;&gt;"Artifact",K12&lt;&gt;"",L12=""),"Sample size with no conforming count",IF(AND($C12="Artifact",K12&lt;&gt;""),"Artifact pull: leave K and L blank, coverage is computed",IF(S12=0,"Worked but no requirement rows point at it","OK"))))))))))</f>
        <v>Not started</v>
      </c>
    </row>
    <row r="13" customFormat="false" ht="15" hidden="false" customHeight="false" outlineLevel="0" collapsed="false">
      <c r="A13" s="20" t="s">
        <v>615</v>
      </c>
      <c r="B13" s="16" t="s">
        <v>616</v>
      </c>
      <c r="C13" s="16" t="s">
        <v>54</v>
      </c>
      <c r="D13" s="16"/>
      <c r="E13" s="16"/>
      <c r="F13" s="16"/>
      <c r="G13" s="16"/>
      <c r="H13" s="16"/>
      <c r="I13" s="16"/>
      <c r="J13" s="16"/>
      <c r="K13" s="16"/>
      <c r="L13" s="16"/>
      <c r="M13" s="16"/>
      <c r="N13" s="16"/>
      <c r="O13" s="21" t="str">
        <f aca="false">IF($A13="","",IF($C13="Transactional","10 records, or all if fewer",IF($C13="Artifact","NO record sample. Grade every register row on this pull.",IF($C13="Event","last 3 occurrences, or all if fewer","PICK A SAMPLE CLASS"))))</f>
        <v>10 records, or all if fewer</v>
      </c>
      <c r="P13" s="21" t="n">
        <f aca="false">IF(TRIM(G13)="",0,LEN(TRIM(G13))-LEN(SUBSTITUTE(TRIM(G13),";",""))+1)</f>
        <v>0</v>
      </c>
      <c r="Q13" s="21" t="str">
        <f aca="false">IF($A13="","",IF(P13=0,"Unassigned",IF(P13=1,"Single point","Staffed")))</f>
        <v>Unassigned</v>
      </c>
      <c r="R13" s="22" t="str">
        <f aca="false">IF(OR($C13="Artifact",K13="",K13=0),"",L13/K13)</f>
        <v/>
      </c>
      <c r="S13" s="21" t="n">
        <f aca="false">IF($A13="",0,COUNTIF('Full Register'!$J$6:$J$279,$A13))</f>
        <v>0</v>
      </c>
      <c r="T13" s="21" t="n">
        <f aca="false">IF($A13="",0,COUNTIFS('Full Register'!$J$6:$J$279,$A13,'Full Register'!$O$6:$O$279,"&gt;=3"))</f>
        <v>0</v>
      </c>
      <c r="U13" s="22" t="str">
        <f aca="false">IF(OR($A13="",S13=0),"",T13/S13)</f>
        <v/>
      </c>
      <c r="V13" s="21" t="n">
        <f aca="false">IF($A13="",0,S13-COUNTIFS('Full Register'!$J$6:$J$279,$A13,'Full Register'!$K$6:$K$279,"&lt;&gt;"))</f>
        <v>0</v>
      </c>
      <c r="W13" s="21" t="str">
        <f aca="false">IF($A13="","",IF(COUNTIFS('Full Register'!$J$6:$J$279,$A13,'Full Register'!$H$6:$H$279,"Full")&gt;0,"Full","Screen"))</f>
        <v>Screen</v>
      </c>
      <c r="X13" s="21" t="str">
        <f aca="false">IF($A13="","",IF(AND(S13=0,I13="",G13=""),"Not started",IF($C13="","No sample class picked",IF(AND(W13="Full",$C13&lt;&gt;"Artifact",K13=""),"Record sample required, none recorded",IF(AND(I13&lt;&gt;"",V13&gt;0),V13&amp;" register rows on this pull still ungraded",IF(AND($C13="Transactional",K13&lt;&gt;"",K13&lt;10),"Transactional sample below 10 - say why in Notes",IF(AND($C13="Event",K13&lt;&gt;"",K13&lt;3),"Event sample below 3 - say why in Notes",IF(AND($C13&lt;&gt;"Artifact",K13&lt;&gt;"",L13=""),"Sample size with no conforming count",IF(AND($C13="Artifact",K13&lt;&gt;""),"Artifact pull: leave K and L blank, coverage is computed",IF(S13=0,"Worked but no requirement rows point at it","OK"))))))))))</f>
        <v>Not started</v>
      </c>
    </row>
    <row r="14" customFormat="false" ht="22.35" hidden="false" customHeight="false" outlineLevel="0" collapsed="false">
      <c r="A14" s="20" t="s">
        <v>617</v>
      </c>
      <c r="B14" s="16" t="s">
        <v>618</v>
      </c>
      <c r="C14" s="16" t="s">
        <v>60</v>
      </c>
      <c r="D14" s="16"/>
      <c r="E14" s="16"/>
      <c r="F14" s="16"/>
      <c r="G14" s="16"/>
      <c r="H14" s="16"/>
      <c r="I14" s="16"/>
      <c r="J14" s="16"/>
      <c r="K14" s="16"/>
      <c r="L14" s="16"/>
      <c r="M14" s="16"/>
      <c r="N14" s="16"/>
      <c r="O14" s="21" t="str">
        <f aca="false">IF($A14="","",IF($C14="Transactional","10 records, or all if fewer",IF($C14="Artifact","NO record sample. Grade every register row on this pull.",IF($C14="Event","last 3 occurrences, or all if fewer","PICK A SAMPLE CLASS"))))</f>
        <v>NO record sample. Grade every register row on this pull.</v>
      </c>
      <c r="P14" s="21" t="n">
        <f aca="false">IF(TRIM(G14)="",0,LEN(TRIM(G14))-LEN(SUBSTITUTE(TRIM(G14),";",""))+1)</f>
        <v>0</v>
      </c>
      <c r="Q14" s="21" t="str">
        <f aca="false">IF($A14="","",IF(P14=0,"Unassigned",IF(P14=1,"Single point","Staffed")))</f>
        <v>Unassigned</v>
      </c>
      <c r="R14" s="22" t="str">
        <f aca="false">IF(OR($C14="Artifact",K14="",K14=0),"",L14/K14)</f>
        <v/>
      </c>
      <c r="S14" s="21" t="n">
        <f aca="false">IF($A14="",0,COUNTIF('Full Register'!$J$6:$J$279,$A14))</f>
        <v>0</v>
      </c>
      <c r="T14" s="21" t="n">
        <f aca="false">IF($A14="",0,COUNTIFS('Full Register'!$J$6:$J$279,$A14,'Full Register'!$O$6:$O$279,"&gt;=3"))</f>
        <v>0</v>
      </c>
      <c r="U14" s="22" t="str">
        <f aca="false">IF(OR($A14="",S14=0),"",T14/S14)</f>
        <v/>
      </c>
      <c r="V14" s="21" t="n">
        <f aca="false">IF($A14="",0,S14-COUNTIFS('Full Register'!$J$6:$J$279,$A14,'Full Register'!$K$6:$K$279,"&lt;&gt;"))</f>
        <v>0</v>
      </c>
      <c r="W14" s="21" t="str">
        <f aca="false">IF($A14="","",IF(COUNTIFS('Full Register'!$J$6:$J$279,$A14,'Full Register'!$H$6:$H$279,"Full")&gt;0,"Full","Screen"))</f>
        <v>Screen</v>
      </c>
      <c r="X14" s="21" t="str">
        <f aca="false">IF($A14="","",IF(AND(S14=0,I14="",G14=""),"Not started",IF($C14="","No sample class picked",IF(AND(W14="Full",$C14&lt;&gt;"Artifact",K14=""),"Record sample required, none recorded",IF(AND(I14&lt;&gt;"",V14&gt;0),V14&amp;" register rows on this pull still ungraded",IF(AND($C14="Transactional",K14&lt;&gt;"",K14&lt;10),"Transactional sample below 10 - say why in Notes",IF(AND($C14="Event",K14&lt;&gt;"",K14&lt;3),"Event sample below 3 - say why in Notes",IF(AND($C14&lt;&gt;"Artifact",K14&lt;&gt;"",L14=""),"Sample size with no conforming count",IF(AND($C14="Artifact",K14&lt;&gt;""),"Artifact pull: leave K and L blank, coverage is computed",IF(S14=0,"Worked but no requirement rows point at it","OK"))))))))))</f>
        <v>Not started</v>
      </c>
    </row>
    <row r="15" customFormat="false" ht="15" hidden="false" customHeight="false" outlineLevel="0" collapsed="false">
      <c r="A15" s="20" t="s">
        <v>619</v>
      </c>
      <c r="B15" s="16" t="s">
        <v>620</v>
      </c>
      <c r="C15" s="16" t="s">
        <v>54</v>
      </c>
      <c r="D15" s="16"/>
      <c r="E15" s="16"/>
      <c r="F15" s="16"/>
      <c r="G15" s="16"/>
      <c r="H15" s="16"/>
      <c r="I15" s="16"/>
      <c r="J15" s="16"/>
      <c r="K15" s="16"/>
      <c r="L15" s="16"/>
      <c r="M15" s="16"/>
      <c r="N15" s="16"/>
      <c r="O15" s="21" t="str">
        <f aca="false">IF($A15="","",IF($C15="Transactional","10 records, or all if fewer",IF($C15="Artifact","NO record sample. Grade every register row on this pull.",IF($C15="Event","last 3 occurrences, or all if fewer","PICK A SAMPLE CLASS"))))</f>
        <v>10 records, or all if fewer</v>
      </c>
      <c r="P15" s="21" t="n">
        <f aca="false">IF(TRIM(G15)="",0,LEN(TRIM(G15))-LEN(SUBSTITUTE(TRIM(G15),";",""))+1)</f>
        <v>0</v>
      </c>
      <c r="Q15" s="21" t="str">
        <f aca="false">IF($A15="","",IF(P15=0,"Unassigned",IF(P15=1,"Single point","Staffed")))</f>
        <v>Unassigned</v>
      </c>
      <c r="R15" s="22" t="str">
        <f aca="false">IF(OR($C15="Artifact",K15="",K15=0),"",L15/K15)</f>
        <v/>
      </c>
      <c r="S15" s="21" t="n">
        <f aca="false">IF($A15="",0,COUNTIF('Full Register'!$J$6:$J$279,$A15))</f>
        <v>0</v>
      </c>
      <c r="T15" s="21" t="n">
        <f aca="false">IF($A15="",0,COUNTIFS('Full Register'!$J$6:$J$279,$A15,'Full Register'!$O$6:$O$279,"&gt;=3"))</f>
        <v>0</v>
      </c>
      <c r="U15" s="22" t="str">
        <f aca="false">IF(OR($A15="",S15=0),"",T15/S15)</f>
        <v/>
      </c>
      <c r="V15" s="21" t="n">
        <f aca="false">IF($A15="",0,S15-COUNTIFS('Full Register'!$J$6:$J$279,$A15,'Full Register'!$K$6:$K$279,"&lt;&gt;"))</f>
        <v>0</v>
      </c>
      <c r="W15" s="21" t="str">
        <f aca="false">IF($A15="","",IF(COUNTIFS('Full Register'!$J$6:$J$279,$A15,'Full Register'!$H$6:$H$279,"Full")&gt;0,"Full","Screen"))</f>
        <v>Screen</v>
      </c>
      <c r="X15" s="21" t="str">
        <f aca="false">IF($A15="","",IF(AND(S15=0,I15="",G15=""),"Not started",IF($C15="","No sample class picked",IF(AND(W15="Full",$C15&lt;&gt;"Artifact",K15=""),"Record sample required, none recorded",IF(AND(I15&lt;&gt;"",V15&gt;0),V15&amp;" register rows on this pull still ungraded",IF(AND($C15="Transactional",K15&lt;&gt;"",K15&lt;10),"Transactional sample below 10 - say why in Notes",IF(AND($C15="Event",K15&lt;&gt;"",K15&lt;3),"Event sample below 3 - say why in Notes",IF(AND($C15&lt;&gt;"Artifact",K15&lt;&gt;"",L15=""),"Sample size with no conforming count",IF(AND($C15="Artifact",K15&lt;&gt;""),"Artifact pull: leave K and L blank, coverage is computed",IF(S15=0,"Worked but no requirement rows point at it","OK"))))))))))</f>
        <v>Not started</v>
      </c>
    </row>
    <row r="16" customFormat="false" ht="22.35" hidden="false" customHeight="false" outlineLevel="0" collapsed="false">
      <c r="A16" s="20" t="s">
        <v>621</v>
      </c>
      <c r="B16" s="16" t="s">
        <v>622</v>
      </c>
      <c r="C16" s="16" t="s">
        <v>60</v>
      </c>
      <c r="D16" s="16"/>
      <c r="E16" s="16"/>
      <c r="F16" s="16"/>
      <c r="G16" s="16"/>
      <c r="H16" s="16"/>
      <c r="I16" s="16"/>
      <c r="J16" s="16"/>
      <c r="K16" s="16"/>
      <c r="L16" s="16"/>
      <c r="M16" s="16"/>
      <c r="N16" s="16"/>
      <c r="O16" s="21" t="str">
        <f aca="false">IF($A16="","",IF($C16="Transactional","10 records, or all if fewer",IF($C16="Artifact","NO record sample. Grade every register row on this pull.",IF($C16="Event","last 3 occurrences, or all if fewer","PICK A SAMPLE CLASS"))))</f>
        <v>NO record sample. Grade every register row on this pull.</v>
      </c>
      <c r="P16" s="21" t="n">
        <f aca="false">IF(TRIM(G16)="",0,LEN(TRIM(G16))-LEN(SUBSTITUTE(TRIM(G16),";",""))+1)</f>
        <v>0</v>
      </c>
      <c r="Q16" s="21" t="str">
        <f aca="false">IF($A16="","",IF(P16=0,"Unassigned",IF(P16=1,"Single point","Staffed")))</f>
        <v>Unassigned</v>
      </c>
      <c r="R16" s="22" t="str">
        <f aca="false">IF(OR($C16="Artifact",K16="",K16=0),"",L16/K16)</f>
        <v/>
      </c>
      <c r="S16" s="21" t="n">
        <f aca="false">IF($A16="",0,COUNTIF('Full Register'!$J$6:$J$279,$A16))</f>
        <v>0</v>
      </c>
      <c r="T16" s="21" t="n">
        <f aca="false">IF($A16="",0,COUNTIFS('Full Register'!$J$6:$J$279,$A16,'Full Register'!$O$6:$O$279,"&gt;=3"))</f>
        <v>0</v>
      </c>
      <c r="U16" s="22" t="str">
        <f aca="false">IF(OR($A16="",S16=0),"",T16/S16)</f>
        <v/>
      </c>
      <c r="V16" s="21" t="n">
        <f aca="false">IF($A16="",0,S16-COUNTIFS('Full Register'!$J$6:$J$279,$A16,'Full Register'!$K$6:$K$279,"&lt;&gt;"))</f>
        <v>0</v>
      </c>
      <c r="W16" s="21" t="str">
        <f aca="false">IF($A16="","",IF(COUNTIFS('Full Register'!$J$6:$J$279,$A16,'Full Register'!$H$6:$H$279,"Full")&gt;0,"Full","Screen"))</f>
        <v>Screen</v>
      </c>
      <c r="X16" s="21" t="str">
        <f aca="false">IF($A16="","",IF(AND(S16=0,I16="",G16=""),"Not started",IF($C16="","No sample class picked",IF(AND(W16="Full",$C16&lt;&gt;"Artifact",K16=""),"Record sample required, none recorded",IF(AND(I16&lt;&gt;"",V16&gt;0),V16&amp;" register rows on this pull still ungraded",IF(AND($C16="Transactional",K16&lt;&gt;"",K16&lt;10),"Transactional sample below 10 - say why in Notes",IF(AND($C16="Event",K16&lt;&gt;"",K16&lt;3),"Event sample below 3 - say why in Notes",IF(AND($C16&lt;&gt;"Artifact",K16&lt;&gt;"",L16=""),"Sample size with no conforming count",IF(AND($C16="Artifact",K16&lt;&gt;""),"Artifact pull: leave K and L blank, coverage is computed",IF(S16=0,"Worked but no requirement rows point at it","OK"))))))))))</f>
        <v>Not started</v>
      </c>
    </row>
    <row r="17" customFormat="false" ht="22.35" hidden="false" customHeight="false" outlineLevel="0" collapsed="false">
      <c r="A17" s="20" t="s">
        <v>623</v>
      </c>
      <c r="B17" s="16" t="s">
        <v>624</v>
      </c>
      <c r="C17" s="16" t="s">
        <v>60</v>
      </c>
      <c r="D17" s="16"/>
      <c r="E17" s="16"/>
      <c r="F17" s="16"/>
      <c r="G17" s="16"/>
      <c r="H17" s="16"/>
      <c r="I17" s="16"/>
      <c r="J17" s="16"/>
      <c r="K17" s="16"/>
      <c r="L17" s="16"/>
      <c r="M17" s="16"/>
      <c r="N17" s="16"/>
      <c r="O17" s="21" t="str">
        <f aca="false">IF($A17="","",IF($C17="Transactional","10 records, or all if fewer",IF($C17="Artifact","NO record sample. Grade every register row on this pull.",IF($C17="Event","last 3 occurrences, or all if fewer","PICK A SAMPLE CLASS"))))</f>
        <v>NO record sample. Grade every register row on this pull.</v>
      </c>
      <c r="P17" s="21" t="n">
        <f aca="false">IF(TRIM(G17)="",0,LEN(TRIM(G17))-LEN(SUBSTITUTE(TRIM(G17),";",""))+1)</f>
        <v>0</v>
      </c>
      <c r="Q17" s="21" t="str">
        <f aca="false">IF($A17="","",IF(P17=0,"Unassigned",IF(P17=1,"Single point","Staffed")))</f>
        <v>Unassigned</v>
      </c>
      <c r="R17" s="22" t="str">
        <f aca="false">IF(OR($C17="Artifact",K17="",K17=0),"",L17/K17)</f>
        <v/>
      </c>
      <c r="S17" s="21" t="n">
        <f aca="false">IF($A17="",0,COUNTIF('Full Register'!$J$6:$J$279,$A17))</f>
        <v>0</v>
      </c>
      <c r="T17" s="21" t="n">
        <f aca="false">IF($A17="",0,COUNTIFS('Full Register'!$J$6:$J$279,$A17,'Full Register'!$O$6:$O$279,"&gt;=3"))</f>
        <v>0</v>
      </c>
      <c r="U17" s="22" t="str">
        <f aca="false">IF(OR($A17="",S17=0),"",T17/S17)</f>
        <v/>
      </c>
      <c r="V17" s="21" t="n">
        <f aca="false">IF($A17="",0,S17-COUNTIFS('Full Register'!$J$6:$J$279,$A17,'Full Register'!$K$6:$K$279,"&lt;&gt;"))</f>
        <v>0</v>
      </c>
      <c r="W17" s="21" t="str">
        <f aca="false">IF($A17="","",IF(COUNTIFS('Full Register'!$J$6:$J$279,$A17,'Full Register'!$H$6:$H$279,"Full")&gt;0,"Full","Screen"))</f>
        <v>Screen</v>
      </c>
      <c r="X17" s="21" t="str">
        <f aca="false">IF($A17="","",IF(AND(S17=0,I17="",G17=""),"Not started",IF($C17="","No sample class picked",IF(AND(W17="Full",$C17&lt;&gt;"Artifact",K17=""),"Record sample required, none recorded",IF(AND(I17&lt;&gt;"",V17&gt;0),V17&amp;" register rows on this pull still ungraded",IF(AND($C17="Transactional",K17&lt;&gt;"",K17&lt;10),"Transactional sample below 10 - say why in Notes",IF(AND($C17="Event",K17&lt;&gt;"",K17&lt;3),"Event sample below 3 - say why in Notes",IF(AND($C17&lt;&gt;"Artifact",K17&lt;&gt;"",L17=""),"Sample size with no conforming count",IF(AND($C17="Artifact",K17&lt;&gt;""),"Artifact pull: leave K and L blank, coverage is computed",IF(S17=0,"Worked but no requirement rows point at it","OK"))))))))))</f>
        <v>Not started</v>
      </c>
    </row>
    <row r="18" customFormat="false" ht="22.35" hidden="false" customHeight="false" outlineLevel="0" collapsed="false">
      <c r="A18" s="20" t="s">
        <v>625</v>
      </c>
      <c r="B18" s="16" t="s">
        <v>626</v>
      </c>
      <c r="C18" s="16" t="s">
        <v>60</v>
      </c>
      <c r="D18" s="16"/>
      <c r="E18" s="16"/>
      <c r="F18" s="16"/>
      <c r="G18" s="16"/>
      <c r="H18" s="16"/>
      <c r="I18" s="16"/>
      <c r="J18" s="16"/>
      <c r="K18" s="16"/>
      <c r="L18" s="16"/>
      <c r="M18" s="16"/>
      <c r="N18" s="16"/>
      <c r="O18" s="21" t="str">
        <f aca="false">IF($A18="","",IF($C18="Transactional","10 records, or all if fewer",IF($C18="Artifact","NO record sample. Grade every register row on this pull.",IF($C18="Event","last 3 occurrences, or all if fewer","PICK A SAMPLE CLASS"))))</f>
        <v>NO record sample. Grade every register row on this pull.</v>
      </c>
      <c r="P18" s="21" t="n">
        <f aca="false">IF(TRIM(G18)="",0,LEN(TRIM(G18))-LEN(SUBSTITUTE(TRIM(G18),";",""))+1)</f>
        <v>0</v>
      </c>
      <c r="Q18" s="21" t="str">
        <f aca="false">IF($A18="","",IF(P18=0,"Unassigned",IF(P18=1,"Single point","Staffed")))</f>
        <v>Unassigned</v>
      </c>
      <c r="R18" s="22" t="str">
        <f aca="false">IF(OR($C18="Artifact",K18="",K18=0),"",L18/K18)</f>
        <v/>
      </c>
      <c r="S18" s="21" t="n">
        <f aca="false">IF($A18="",0,COUNTIF('Full Register'!$J$6:$J$279,$A18))</f>
        <v>0</v>
      </c>
      <c r="T18" s="21" t="n">
        <f aca="false">IF($A18="",0,COUNTIFS('Full Register'!$J$6:$J$279,$A18,'Full Register'!$O$6:$O$279,"&gt;=3"))</f>
        <v>0</v>
      </c>
      <c r="U18" s="22" t="str">
        <f aca="false">IF(OR($A18="",S18=0),"",T18/S18)</f>
        <v/>
      </c>
      <c r="V18" s="21" t="n">
        <f aca="false">IF($A18="",0,S18-COUNTIFS('Full Register'!$J$6:$J$279,$A18,'Full Register'!$K$6:$K$279,"&lt;&gt;"))</f>
        <v>0</v>
      </c>
      <c r="W18" s="21" t="str">
        <f aca="false">IF($A18="","",IF(COUNTIFS('Full Register'!$J$6:$J$279,$A18,'Full Register'!$H$6:$H$279,"Full")&gt;0,"Full","Screen"))</f>
        <v>Screen</v>
      </c>
      <c r="X18" s="21" t="str">
        <f aca="false">IF($A18="","",IF(AND(S18=0,I18="",G18=""),"Not started",IF($C18="","No sample class picked",IF(AND(W18="Full",$C18&lt;&gt;"Artifact",K18=""),"Record sample required, none recorded",IF(AND(I18&lt;&gt;"",V18&gt;0),V18&amp;" register rows on this pull still ungraded",IF(AND($C18="Transactional",K18&lt;&gt;"",K18&lt;10),"Transactional sample below 10 - say why in Notes",IF(AND($C18="Event",K18&lt;&gt;"",K18&lt;3),"Event sample below 3 - say why in Notes",IF(AND($C18&lt;&gt;"Artifact",K18&lt;&gt;"",L18=""),"Sample size with no conforming count",IF(AND($C18="Artifact",K18&lt;&gt;""),"Artifact pull: leave K and L blank, coverage is computed",IF(S18=0,"Worked but no requirement rows point at it","OK"))))))))))</f>
        <v>Not started</v>
      </c>
    </row>
    <row r="19" customFormat="false" ht="22.35" hidden="false" customHeight="false" outlineLevel="0" collapsed="false">
      <c r="A19" s="20" t="s">
        <v>627</v>
      </c>
      <c r="B19" s="16" t="s">
        <v>628</v>
      </c>
      <c r="C19" s="16" t="s">
        <v>60</v>
      </c>
      <c r="D19" s="16"/>
      <c r="E19" s="16"/>
      <c r="F19" s="16"/>
      <c r="G19" s="16"/>
      <c r="H19" s="16"/>
      <c r="I19" s="16"/>
      <c r="J19" s="16"/>
      <c r="K19" s="16"/>
      <c r="L19" s="16"/>
      <c r="M19" s="16"/>
      <c r="N19" s="16"/>
      <c r="O19" s="21" t="str">
        <f aca="false">IF($A19="","",IF($C19="Transactional","10 records, or all if fewer",IF($C19="Artifact","NO record sample. Grade every register row on this pull.",IF($C19="Event","last 3 occurrences, or all if fewer","PICK A SAMPLE CLASS"))))</f>
        <v>NO record sample. Grade every register row on this pull.</v>
      </c>
      <c r="P19" s="21" t="n">
        <f aca="false">IF(TRIM(G19)="",0,LEN(TRIM(G19))-LEN(SUBSTITUTE(TRIM(G19),";",""))+1)</f>
        <v>0</v>
      </c>
      <c r="Q19" s="21" t="str">
        <f aca="false">IF($A19="","",IF(P19=0,"Unassigned",IF(P19=1,"Single point","Staffed")))</f>
        <v>Unassigned</v>
      </c>
      <c r="R19" s="22" t="str">
        <f aca="false">IF(OR($C19="Artifact",K19="",K19=0),"",L19/K19)</f>
        <v/>
      </c>
      <c r="S19" s="21" t="n">
        <f aca="false">IF($A19="",0,COUNTIF('Full Register'!$J$6:$J$279,$A19))</f>
        <v>0</v>
      </c>
      <c r="T19" s="21" t="n">
        <f aca="false">IF($A19="",0,COUNTIFS('Full Register'!$J$6:$J$279,$A19,'Full Register'!$O$6:$O$279,"&gt;=3"))</f>
        <v>0</v>
      </c>
      <c r="U19" s="22" t="str">
        <f aca="false">IF(OR($A19="",S19=0),"",T19/S19)</f>
        <v/>
      </c>
      <c r="V19" s="21" t="n">
        <f aca="false">IF($A19="",0,S19-COUNTIFS('Full Register'!$J$6:$J$279,$A19,'Full Register'!$K$6:$K$279,"&lt;&gt;"))</f>
        <v>0</v>
      </c>
      <c r="W19" s="21" t="str">
        <f aca="false">IF($A19="","",IF(COUNTIFS('Full Register'!$J$6:$J$279,$A19,'Full Register'!$H$6:$H$279,"Full")&gt;0,"Full","Screen"))</f>
        <v>Screen</v>
      </c>
      <c r="X19" s="21" t="str">
        <f aca="false">IF($A19="","",IF(AND(S19=0,I19="",G19=""),"Not started",IF($C19="","No sample class picked",IF(AND(W19="Full",$C19&lt;&gt;"Artifact",K19=""),"Record sample required, none recorded",IF(AND(I19&lt;&gt;"",V19&gt;0),V19&amp;" register rows on this pull still ungraded",IF(AND($C19="Transactional",K19&lt;&gt;"",K19&lt;10),"Transactional sample below 10 - say why in Notes",IF(AND($C19="Event",K19&lt;&gt;"",K19&lt;3),"Event sample below 3 - say why in Notes",IF(AND($C19&lt;&gt;"Artifact",K19&lt;&gt;"",L19=""),"Sample size with no conforming count",IF(AND($C19="Artifact",K19&lt;&gt;""),"Artifact pull: leave K and L blank, coverage is computed",IF(S19=0,"Worked but no requirement rows point at it","OK"))))))))))</f>
        <v>Not started</v>
      </c>
    </row>
    <row r="20" customFormat="false" ht="15" hidden="false" customHeight="false" outlineLevel="0" collapsed="false">
      <c r="A20" s="20" t="s">
        <v>629</v>
      </c>
      <c r="B20" s="16" t="s">
        <v>630</v>
      </c>
      <c r="C20" s="16" t="s">
        <v>54</v>
      </c>
      <c r="D20" s="16"/>
      <c r="E20" s="16"/>
      <c r="F20" s="16"/>
      <c r="G20" s="16"/>
      <c r="H20" s="16"/>
      <c r="I20" s="16"/>
      <c r="J20" s="16"/>
      <c r="K20" s="16"/>
      <c r="L20" s="16"/>
      <c r="M20" s="16"/>
      <c r="N20" s="16"/>
      <c r="O20" s="21" t="str">
        <f aca="false">IF($A20="","",IF($C20="Transactional","10 records, or all if fewer",IF($C20="Artifact","NO record sample. Grade every register row on this pull.",IF($C20="Event","last 3 occurrences, or all if fewer","PICK A SAMPLE CLASS"))))</f>
        <v>10 records, or all if fewer</v>
      </c>
      <c r="P20" s="21" t="n">
        <f aca="false">IF(TRIM(G20)="",0,LEN(TRIM(G20))-LEN(SUBSTITUTE(TRIM(G20),";",""))+1)</f>
        <v>0</v>
      </c>
      <c r="Q20" s="21" t="str">
        <f aca="false">IF($A20="","",IF(P20=0,"Unassigned",IF(P20=1,"Single point","Staffed")))</f>
        <v>Unassigned</v>
      </c>
      <c r="R20" s="22" t="str">
        <f aca="false">IF(OR($C20="Artifact",K20="",K20=0),"",L20/K20)</f>
        <v/>
      </c>
      <c r="S20" s="21" t="n">
        <f aca="false">IF($A20="",0,COUNTIF('Full Register'!$J$6:$J$279,$A20))</f>
        <v>0</v>
      </c>
      <c r="T20" s="21" t="n">
        <f aca="false">IF($A20="",0,COUNTIFS('Full Register'!$J$6:$J$279,$A20,'Full Register'!$O$6:$O$279,"&gt;=3"))</f>
        <v>0</v>
      </c>
      <c r="U20" s="22" t="str">
        <f aca="false">IF(OR($A20="",S20=0),"",T20/S20)</f>
        <v/>
      </c>
      <c r="V20" s="21" t="n">
        <f aca="false">IF($A20="",0,S20-COUNTIFS('Full Register'!$J$6:$J$279,$A20,'Full Register'!$K$6:$K$279,"&lt;&gt;"))</f>
        <v>0</v>
      </c>
      <c r="W20" s="21" t="str">
        <f aca="false">IF($A20="","",IF(COUNTIFS('Full Register'!$J$6:$J$279,$A20,'Full Register'!$H$6:$H$279,"Full")&gt;0,"Full","Screen"))</f>
        <v>Screen</v>
      </c>
      <c r="X20" s="21" t="str">
        <f aca="false">IF($A20="","",IF(AND(S20=0,I20="",G20=""),"Not started",IF($C20="","No sample class picked",IF(AND(W20="Full",$C20&lt;&gt;"Artifact",K20=""),"Record sample required, none recorded",IF(AND(I20&lt;&gt;"",V20&gt;0),V20&amp;" register rows on this pull still ungraded",IF(AND($C20="Transactional",K20&lt;&gt;"",K20&lt;10),"Transactional sample below 10 - say why in Notes",IF(AND($C20="Event",K20&lt;&gt;"",K20&lt;3),"Event sample below 3 - say why in Notes",IF(AND($C20&lt;&gt;"Artifact",K20&lt;&gt;"",L20=""),"Sample size with no conforming count",IF(AND($C20="Artifact",K20&lt;&gt;""),"Artifact pull: leave K and L blank, coverage is computed",IF(S20=0,"Worked but no requirement rows point at it","OK"))))))))))</f>
        <v>Not started</v>
      </c>
    </row>
    <row r="21" customFormat="false" ht="22.35" hidden="false" customHeight="false" outlineLevel="0" collapsed="false">
      <c r="A21" s="20" t="s">
        <v>631</v>
      </c>
      <c r="B21" s="16" t="s">
        <v>632</v>
      </c>
      <c r="C21" s="16" t="s">
        <v>54</v>
      </c>
      <c r="D21" s="16"/>
      <c r="E21" s="16"/>
      <c r="F21" s="16"/>
      <c r="G21" s="16"/>
      <c r="H21" s="16"/>
      <c r="I21" s="16"/>
      <c r="J21" s="16"/>
      <c r="K21" s="16"/>
      <c r="L21" s="16"/>
      <c r="M21" s="16"/>
      <c r="N21" s="16"/>
      <c r="O21" s="21" t="str">
        <f aca="false">IF($A21="","",IF($C21="Transactional","10 records, or all if fewer",IF($C21="Artifact","NO record sample. Grade every register row on this pull.",IF($C21="Event","last 3 occurrences, or all if fewer","PICK A SAMPLE CLASS"))))</f>
        <v>10 records, or all if fewer</v>
      </c>
      <c r="P21" s="21" t="n">
        <f aca="false">IF(TRIM(G21)="",0,LEN(TRIM(G21))-LEN(SUBSTITUTE(TRIM(G21),";",""))+1)</f>
        <v>0</v>
      </c>
      <c r="Q21" s="21" t="str">
        <f aca="false">IF($A21="","",IF(P21=0,"Unassigned",IF(P21=1,"Single point","Staffed")))</f>
        <v>Unassigned</v>
      </c>
      <c r="R21" s="22" t="str">
        <f aca="false">IF(OR($C21="Artifact",K21="",K21=0),"",L21/K21)</f>
        <v/>
      </c>
      <c r="S21" s="21" t="n">
        <f aca="false">IF($A21="",0,COUNTIF('Full Register'!$J$6:$J$279,$A21))</f>
        <v>0</v>
      </c>
      <c r="T21" s="21" t="n">
        <f aca="false">IF($A21="",0,COUNTIFS('Full Register'!$J$6:$J$279,$A21,'Full Register'!$O$6:$O$279,"&gt;=3"))</f>
        <v>0</v>
      </c>
      <c r="U21" s="22" t="str">
        <f aca="false">IF(OR($A21="",S21=0),"",T21/S21)</f>
        <v/>
      </c>
      <c r="V21" s="21" t="n">
        <f aca="false">IF($A21="",0,S21-COUNTIFS('Full Register'!$J$6:$J$279,$A21,'Full Register'!$K$6:$K$279,"&lt;&gt;"))</f>
        <v>0</v>
      </c>
      <c r="W21" s="21" t="str">
        <f aca="false">IF($A21="","",IF(COUNTIFS('Full Register'!$J$6:$J$279,$A21,'Full Register'!$H$6:$H$279,"Full")&gt;0,"Full","Screen"))</f>
        <v>Screen</v>
      </c>
      <c r="X21" s="21" t="str">
        <f aca="false">IF($A21="","",IF(AND(S21=0,I21="",G21=""),"Not started",IF($C21="","No sample class picked",IF(AND(W21="Full",$C21&lt;&gt;"Artifact",K21=""),"Record sample required, none recorded",IF(AND(I21&lt;&gt;"",V21&gt;0),V21&amp;" register rows on this pull still ungraded",IF(AND($C21="Transactional",K21&lt;&gt;"",K21&lt;10),"Transactional sample below 10 - say why in Notes",IF(AND($C21="Event",K21&lt;&gt;"",K21&lt;3),"Event sample below 3 - say why in Notes",IF(AND($C21&lt;&gt;"Artifact",K21&lt;&gt;"",L21=""),"Sample size with no conforming count",IF(AND($C21="Artifact",K21&lt;&gt;""),"Artifact pull: leave K and L blank, coverage is computed",IF(S21=0,"Worked but no requirement rows point at it","OK"))))))))))</f>
        <v>Not started</v>
      </c>
    </row>
    <row r="22" customFormat="false" ht="15" hidden="false" customHeight="false" outlineLevel="0" collapsed="false">
      <c r="A22" s="20" t="s">
        <v>633</v>
      </c>
      <c r="B22" s="16" t="s">
        <v>634</v>
      </c>
      <c r="C22" s="16" t="s">
        <v>54</v>
      </c>
      <c r="D22" s="16"/>
      <c r="E22" s="16"/>
      <c r="F22" s="16"/>
      <c r="G22" s="16"/>
      <c r="H22" s="16"/>
      <c r="I22" s="16"/>
      <c r="J22" s="16"/>
      <c r="K22" s="16"/>
      <c r="L22" s="16"/>
      <c r="M22" s="16"/>
      <c r="N22" s="16"/>
      <c r="O22" s="21" t="str">
        <f aca="false">IF($A22="","",IF($C22="Transactional","10 records, or all if fewer",IF($C22="Artifact","NO record sample. Grade every register row on this pull.",IF($C22="Event","last 3 occurrences, or all if fewer","PICK A SAMPLE CLASS"))))</f>
        <v>10 records, or all if fewer</v>
      </c>
      <c r="P22" s="21" t="n">
        <f aca="false">IF(TRIM(G22)="",0,LEN(TRIM(G22))-LEN(SUBSTITUTE(TRIM(G22),";",""))+1)</f>
        <v>0</v>
      </c>
      <c r="Q22" s="21" t="str">
        <f aca="false">IF($A22="","",IF(P22=0,"Unassigned",IF(P22=1,"Single point","Staffed")))</f>
        <v>Unassigned</v>
      </c>
      <c r="R22" s="22" t="str">
        <f aca="false">IF(OR($C22="Artifact",K22="",K22=0),"",L22/K22)</f>
        <v/>
      </c>
      <c r="S22" s="21" t="n">
        <f aca="false">IF($A22="",0,COUNTIF('Full Register'!$J$6:$J$279,$A22))</f>
        <v>0</v>
      </c>
      <c r="T22" s="21" t="n">
        <f aca="false">IF($A22="",0,COUNTIFS('Full Register'!$J$6:$J$279,$A22,'Full Register'!$O$6:$O$279,"&gt;=3"))</f>
        <v>0</v>
      </c>
      <c r="U22" s="22" t="str">
        <f aca="false">IF(OR($A22="",S22=0),"",T22/S22)</f>
        <v/>
      </c>
      <c r="V22" s="21" t="n">
        <f aca="false">IF($A22="",0,S22-COUNTIFS('Full Register'!$J$6:$J$279,$A22,'Full Register'!$K$6:$K$279,"&lt;&gt;"))</f>
        <v>0</v>
      </c>
      <c r="W22" s="21" t="str">
        <f aca="false">IF($A22="","",IF(COUNTIFS('Full Register'!$J$6:$J$279,$A22,'Full Register'!$H$6:$H$279,"Full")&gt;0,"Full","Screen"))</f>
        <v>Screen</v>
      </c>
      <c r="X22" s="21" t="str">
        <f aca="false">IF($A22="","",IF(AND(S22=0,I22="",G22=""),"Not started",IF($C22="","No sample class picked",IF(AND(W22="Full",$C22&lt;&gt;"Artifact",K22=""),"Record sample required, none recorded",IF(AND(I22&lt;&gt;"",V22&gt;0),V22&amp;" register rows on this pull still ungraded",IF(AND($C22="Transactional",K22&lt;&gt;"",K22&lt;10),"Transactional sample below 10 - say why in Notes",IF(AND($C22="Event",K22&lt;&gt;"",K22&lt;3),"Event sample below 3 - say why in Notes",IF(AND($C22&lt;&gt;"Artifact",K22&lt;&gt;"",L22=""),"Sample size with no conforming count",IF(AND($C22="Artifact",K22&lt;&gt;""),"Artifact pull: leave K and L blank, coverage is computed",IF(S22=0,"Worked but no requirement rows point at it","OK"))))))))))</f>
        <v>Not started</v>
      </c>
    </row>
    <row r="23" customFormat="false" ht="15" hidden="false" customHeight="false" outlineLevel="0" collapsed="false">
      <c r="A23" s="20" t="s">
        <v>635</v>
      </c>
      <c r="B23" s="16" t="s">
        <v>636</v>
      </c>
      <c r="C23" s="16" t="s">
        <v>54</v>
      </c>
      <c r="D23" s="16"/>
      <c r="E23" s="16"/>
      <c r="F23" s="16"/>
      <c r="G23" s="16"/>
      <c r="H23" s="16"/>
      <c r="I23" s="16"/>
      <c r="J23" s="16"/>
      <c r="K23" s="16"/>
      <c r="L23" s="16"/>
      <c r="M23" s="16"/>
      <c r="N23" s="16"/>
      <c r="O23" s="21" t="str">
        <f aca="false">IF($A23="","",IF($C23="Transactional","10 records, or all if fewer",IF($C23="Artifact","NO record sample. Grade every register row on this pull.",IF($C23="Event","last 3 occurrences, or all if fewer","PICK A SAMPLE CLASS"))))</f>
        <v>10 records, or all if fewer</v>
      </c>
      <c r="P23" s="21" t="n">
        <f aca="false">IF(TRIM(G23)="",0,LEN(TRIM(G23))-LEN(SUBSTITUTE(TRIM(G23),";",""))+1)</f>
        <v>0</v>
      </c>
      <c r="Q23" s="21" t="str">
        <f aca="false">IF($A23="","",IF(P23=0,"Unassigned",IF(P23=1,"Single point","Staffed")))</f>
        <v>Unassigned</v>
      </c>
      <c r="R23" s="22" t="str">
        <f aca="false">IF(OR($C23="Artifact",K23="",K23=0),"",L23/K23)</f>
        <v/>
      </c>
      <c r="S23" s="21" t="n">
        <f aca="false">IF($A23="",0,COUNTIF('Full Register'!$J$6:$J$279,$A23))</f>
        <v>0</v>
      </c>
      <c r="T23" s="21" t="n">
        <f aca="false">IF($A23="",0,COUNTIFS('Full Register'!$J$6:$J$279,$A23,'Full Register'!$O$6:$O$279,"&gt;=3"))</f>
        <v>0</v>
      </c>
      <c r="U23" s="22" t="str">
        <f aca="false">IF(OR($A23="",S23=0),"",T23/S23)</f>
        <v/>
      </c>
      <c r="V23" s="21" t="n">
        <f aca="false">IF($A23="",0,S23-COUNTIFS('Full Register'!$J$6:$J$279,$A23,'Full Register'!$K$6:$K$279,"&lt;&gt;"))</f>
        <v>0</v>
      </c>
      <c r="W23" s="21" t="str">
        <f aca="false">IF($A23="","",IF(COUNTIFS('Full Register'!$J$6:$J$279,$A23,'Full Register'!$H$6:$H$279,"Full")&gt;0,"Full","Screen"))</f>
        <v>Screen</v>
      </c>
      <c r="X23" s="21" t="str">
        <f aca="false">IF($A23="","",IF(AND(S23=0,I23="",G23=""),"Not started",IF($C23="","No sample class picked",IF(AND(W23="Full",$C23&lt;&gt;"Artifact",K23=""),"Record sample required, none recorded",IF(AND(I23&lt;&gt;"",V23&gt;0),V23&amp;" register rows on this pull still ungraded",IF(AND($C23="Transactional",K23&lt;&gt;"",K23&lt;10),"Transactional sample below 10 - say why in Notes",IF(AND($C23="Event",K23&lt;&gt;"",K23&lt;3),"Event sample below 3 - say why in Notes",IF(AND($C23&lt;&gt;"Artifact",K23&lt;&gt;"",L23=""),"Sample size with no conforming count",IF(AND($C23="Artifact",K23&lt;&gt;""),"Artifact pull: leave K and L blank, coverage is computed",IF(S23=0,"Worked but no requirement rows point at it","OK"))))))))))</f>
        <v>Not started</v>
      </c>
    </row>
    <row r="24" customFormat="false" ht="22.35" hidden="false" customHeight="false" outlineLevel="0" collapsed="false">
      <c r="A24" s="20" t="s">
        <v>637</v>
      </c>
      <c r="B24" s="16" t="s">
        <v>638</v>
      </c>
      <c r="C24" s="16" t="s">
        <v>60</v>
      </c>
      <c r="D24" s="16"/>
      <c r="E24" s="16"/>
      <c r="F24" s="16"/>
      <c r="G24" s="16"/>
      <c r="H24" s="16"/>
      <c r="I24" s="16"/>
      <c r="J24" s="16"/>
      <c r="K24" s="16"/>
      <c r="L24" s="16"/>
      <c r="M24" s="16"/>
      <c r="N24" s="16"/>
      <c r="O24" s="21" t="str">
        <f aca="false">IF($A24="","",IF($C24="Transactional","10 records, or all if fewer",IF($C24="Artifact","NO record sample. Grade every register row on this pull.",IF($C24="Event","last 3 occurrences, or all if fewer","PICK A SAMPLE CLASS"))))</f>
        <v>NO record sample. Grade every register row on this pull.</v>
      </c>
      <c r="P24" s="21" t="n">
        <f aca="false">IF(TRIM(G24)="",0,LEN(TRIM(G24))-LEN(SUBSTITUTE(TRIM(G24),";",""))+1)</f>
        <v>0</v>
      </c>
      <c r="Q24" s="21" t="str">
        <f aca="false">IF($A24="","",IF(P24=0,"Unassigned",IF(P24=1,"Single point","Staffed")))</f>
        <v>Unassigned</v>
      </c>
      <c r="R24" s="22" t="str">
        <f aca="false">IF(OR($C24="Artifact",K24="",K24=0),"",L24/K24)</f>
        <v/>
      </c>
      <c r="S24" s="21" t="n">
        <f aca="false">IF($A24="",0,COUNTIF('Full Register'!$J$6:$J$279,$A24))</f>
        <v>0</v>
      </c>
      <c r="T24" s="21" t="n">
        <f aca="false">IF($A24="",0,COUNTIFS('Full Register'!$J$6:$J$279,$A24,'Full Register'!$O$6:$O$279,"&gt;=3"))</f>
        <v>0</v>
      </c>
      <c r="U24" s="22" t="str">
        <f aca="false">IF(OR($A24="",S24=0),"",T24/S24)</f>
        <v/>
      </c>
      <c r="V24" s="21" t="n">
        <f aca="false">IF($A24="",0,S24-COUNTIFS('Full Register'!$J$6:$J$279,$A24,'Full Register'!$K$6:$K$279,"&lt;&gt;"))</f>
        <v>0</v>
      </c>
      <c r="W24" s="21" t="str">
        <f aca="false">IF($A24="","",IF(COUNTIFS('Full Register'!$J$6:$J$279,$A24,'Full Register'!$H$6:$H$279,"Full")&gt;0,"Full","Screen"))</f>
        <v>Screen</v>
      </c>
      <c r="X24" s="21" t="str">
        <f aca="false">IF($A24="","",IF(AND(S24=0,I24="",G24=""),"Not started",IF($C24="","No sample class picked",IF(AND(W24="Full",$C24&lt;&gt;"Artifact",K24=""),"Record sample required, none recorded",IF(AND(I24&lt;&gt;"",V24&gt;0),V24&amp;" register rows on this pull still ungraded",IF(AND($C24="Transactional",K24&lt;&gt;"",K24&lt;10),"Transactional sample below 10 - say why in Notes",IF(AND($C24="Event",K24&lt;&gt;"",K24&lt;3),"Event sample below 3 - say why in Notes",IF(AND($C24&lt;&gt;"Artifact",K24&lt;&gt;"",L24=""),"Sample size with no conforming count",IF(AND($C24="Artifact",K24&lt;&gt;""),"Artifact pull: leave K and L blank, coverage is computed",IF(S24=0,"Worked but no requirement rows point at it","OK"))))))))))</f>
        <v>Not started</v>
      </c>
    </row>
    <row r="25" customFormat="false" ht="15" hidden="false" customHeight="false" outlineLevel="0" collapsed="false">
      <c r="A25" s="20" t="s">
        <v>639</v>
      </c>
      <c r="B25" s="16" t="s">
        <v>640</v>
      </c>
      <c r="C25" s="16" t="s">
        <v>57</v>
      </c>
      <c r="D25" s="16"/>
      <c r="E25" s="16"/>
      <c r="F25" s="16"/>
      <c r="G25" s="16"/>
      <c r="H25" s="16"/>
      <c r="I25" s="16"/>
      <c r="J25" s="16"/>
      <c r="K25" s="16"/>
      <c r="L25" s="16"/>
      <c r="M25" s="16"/>
      <c r="N25" s="16"/>
      <c r="O25" s="21" t="str">
        <f aca="false">IF($A25="","",IF($C25="Transactional","10 records, or all if fewer",IF($C25="Artifact","NO record sample. Grade every register row on this pull.",IF($C25="Event","last 3 occurrences, or all if fewer","PICK A SAMPLE CLASS"))))</f>
        <v>last 3 occurrences, or all if fewer</v>
      </c>
      <c r="P25" s="21" t="n">
        <f aca="false">IF(TRIM(G25)="",0,LEN(TRIM(G25))-LEN(SUBSTITUTE(TRIM(G25),";",""))+1)</f>
        <v>0</v>
      </c>
      <c r="Q25" s="21" t="str">
        <f aca="false">IF($A25="","",IF(P25=0,"Unassigned",IF(P25=1,"Single point","Staffed")))</f>
        <v>Unassigned</v>
      </c>
      <c r="R25" s="22" t="str">
        <f aca="false">IF(OR($C25="Artifact",K25="",K25=0),"",L25/K25)</f>
        <v/>
      </c>
      <c r="S25" s="21" t="n">
        <f aca="false">IF($A25="",0,COUNTIF('Full Register'!$J$6:$J$279,$A25))</f>
        <v>0</v>
      </c>
      <c r="T25" s="21" t="n">
        <f aca="false">IF($A25="",0,COUNTIFS('Full Register'!$J$6:$J$279,$A25,'Full Register'!$O$6:$O$279,"&gt;=3"))</f>
        <v>0</v>
      </c>
      <c r="U25" s="22" t="str">
        <f aca="false">IF(OR($A25="",S25=0),"",T25/S25)</f>
        <v/>
      </c>
      <c r="V25" s="21" t="n">
        <f aca="false">IF($A25="",0,S25-COUNTIFS('Full Register'!$J$6:$J$279,$A25,'Full Register'!$K$6:$K$279,"&lt;&gt;"))</f>
        <v>0</v>
      </c>
      <c r="W25" s="21" t="str">
        <f aca="false">IF($A25="","",IF(COUNTIFS('Full Register'!$J$6:$J$279,$A25,'Full Register'!$H$6:$H$279,"Full")&gt;0,"Full","Screen"))</f>
        <v>Screen</v>
      </c>
      <c r="X25" s="21" t="str">
        <f aca="false">IF($A25="","",IF(AND(S25=0,I25="",G25=""),"Not started",IF($C25="","No sample class picked",IF(AND(W25="Full",$C25&lt;&gt;"Artifact",K25=""),"Record sample required, none recorded",IF(AND(I25&lt;&gt;"",V25&gt;0),V25&amp;" register rows on this pull still ungraded",IF(AND($C25="Transactional",K25&lt;&gt;"",K25&lt;10),"Transactional sample below 10 - say why in Notes",IF(AND($C25="Event",K25&lt;&gt;"",K25&lt;3),"Event sample below 3 - say why in Notes",IF(AND($C25&lt;&gt;"Artifact",K25&lt;&gt;"",L25=""),"Sample size with no conforming count",IF(AND($C25="Artifact",K25&lt;&gt;""),"Artifact pull: leave K and L blank, coverage is computed",IF(S25=0,"Worked but no requirement rows point at it","OK"))))))))))</f>
        <v>Not started</v>
      </c>
    </row>
    <row r="26" customFormat="false" ht="15" hidden="false" customHeight="false" outlineLevel="0" collapsed="false">
      <c r="A26" s="20" t="s">
        <v>641</v>
      </c>
      <c r="B26" s="16" t="s">
        <v>642</v>
      </c>
      <c r="C26" s="16" t="s">
        <v>54</v>
      </c>
      <c r="D26" s="16"/>
      <c r="E26" s="16"/>
      <c r="F26" s="16"/>
      <c r="G26" s="16"/>
      <c r="H26" s="16"/>
      <c r="I26" s="16"/>
      <c r="J26" s="16"/>
      <c r="K26" s="16"/>
      <c r="L26" s="16"/>
      <c r="M26" s="16"/>
      <c r="N26" s="16"/>
      <c r="O26" s="21" t="str">
        <f aca="false">IF($A26="","",IF($C26="Transactional","10 records, or all if fewer",IF($C26="Artifact","NO record sample. Grade every register row on this pull.",IF($C26="Event","last 3 occurrences, or all if fewer","PICK A SAMPLE CLASS"))))</f>
        <v>10 records, or all if fewer</v>
      </c>
      <c r="P26" s="21" t="n">
        <f aca="false">IF(TRIM(G26)="",0,LEN(TRIM(G26))-LEN(SUBSTITUTE(TRIM(G26),";",""))+1)</f>
        <v>0</v>
      </c>
      <c r="Q26" s="21" t="str">
        <f aca="false">IF($A26="","",IF(P26=0,"Unassigned",IF(P26=1,"Single point","Staffed")))</f>
        <v>Unassigned</v>
      </c>
      <c r="R26" s="22" t="str">
        <f aca="false">IF(OR($C26="Artifact",K26="",K26=0),"",L26/K26)</f>
        <v/>
      </c>
      <c r="S26" s="21" t="n">
        <f aca="false">IF($A26="",0,COUNTIF('Full Register'!$J$6:$J$279,$A26))</f>
        <v>0</v>
      </c>
      <c r="T26" s="21" t="n">
        <f aca="false">IF($A26="",0,COUNTIFS('Full Register'!$J$6:$J$279,$A26,'Full Register'!$O$6:$O$279,"&gt;=3"))</f>
        <v>0</v>
      </c>
      <c r="U26" s="22" t="str">
        <f aca="false">IF(OR($A26="",S26=0),"",T26/S26)</f>
        <v/>
      </c>
      <c r="V26" s="21" t="n">
        <f aca="false">IF($A26="",0,S26-COUNTIFS('Full Register'!$J$6:$J$279,$A26,'Full Register'!$K$6:$K$279,"&lt;&gt;"))</f>
        <v>0</v>
      </c>
      <c r="W26" s="21" t="str">
        <f aca="false">IF($A26="","",IF(COUNTIFS('Full Register'!$J$6:$J$279,$A26,'Full Register'!$H$6:$H$279,"Full")&gt;0,"Full","Screen"))</f>
        <v>Screen</v>
      </c>
      <c r="X26" s="21" t="str">
        <f aca="false">IF($A26="","",IF(AND(S26=0,I26="",G26=""),"Not started",IF($C26="","No sample class picked",IF(AND(W26="Full",$C26&lt;&gt;"Artifact",K26=""),"Record sample required, none recorded",IF(AND(I26&lt;&gt;"",V26&gt;0),V26&amp;" register rows on this pull still ungraded",IF(AND($C26="Transactional",K26&lt;&gt;"",K26&lt;10),"Transactional sample below 10 - say why in Notes",IF(AND($C26="Event",K26&lt;&gt;"",K26&lt;3),"Event sample below 3 - say why in Notes",IF(AND($C26&lt;&gt;"Artifact",K26&lt;&gt;"",L26=""),"Sample size with no conforming count",IF(AND($C26="Artifact",K26&lt;&gt;""),"Artifact pull: leave K and L blank, coverage is computed",IF(S26=0,"Worked but no requirement rows point at it","OK"))))))))))</f>
        <v>Not started</v>
      </c>
    </row>
    <row r="27" customFormat="false" ht="22.35" hidden="false" customHeight="false" outlineLevel="0" collapsed="false">
      <c r="A27" s="20" t="s">
        <v>643</v>
      </c>
      <c r="B27" s="16" t="s">
        <v>644</v>
      </c>
      <c r="C27" s="16" t="s">
        <v>54</v>
      </c>
      <c r="D27" s="16"/>
      <c r="E27" s="16"/>
      <c r="F27" s="16"/>
      <c r="G27" s="16"/>
      <c r="H27" s="16"/>
      <c r="I27" s="16"/>
      <c r="J27" s="16"/>
      <c r="K27" s="16"/>
      <c r="L27" s="16"/>
      <c r="M27" s="16"/>
      <c r="N27" s="16"/>
      <c r="O27" s="21" t="str">
        <f aca="false">IF($A27="","",IF($C27="Transactional","10 records, or all if fewer",IF($C27="Artifact","NO record sample. Grade every register row on this pull.",IF($C27="Event","last 3 occurrences, or all if fewer","PICK A SAMPLE CLASS"))))</f>
        <v>10 records, or all if fewer</v>
      </c>
      <c r="P27" s="21" t="n">
        <f aca="false">IF(TRIM(G27)="",0,LEN(TRIM(G27))-LEN(SUBSTITUTE(TRIM(G27),";",""))+1)</f>
        <v>0</v>
      </c>
      <c r="Q27" s="21" t="str">
        <f aca="false">IF($A27="","",IF(P27=0,"Unassigned",IF(P27=1,"Single point","Staffed")))</f>
        <v>Unassigned</v>
      </c>
      <c r="R27" s="22" t="str">
        <f aca="false">IF(OR($C27="Artifact",K27="",K27=0),"",L27/K27)</f>
        <v/>
      </c>
      <c r="S27" s="21" t="n">
        <f aca="false">IF($A27="",0,COUNTIF('Full Register'!$J$6:$J$279,$A27))</f>
        <v>0</v>
      </c>
      <c r="T27" s="21" t="n">
        <f aca="false">IF($A27="",0,COUNTIFS('Full Register'!$J$6:$J$279,$A27,'Full Register'!$O$6:$O$279,"&gt;=3"))</f>
        <v>0</v>
      </c>
      <c r="U27" s="22" t="str">
        <f aca="false">IF(OR($A27="",S27=0),"",T27/S27)</f>
        <v/>
      </c>
      <c r="V27" s="21" t="n">
        <f aca="false">IF($A27="",0,S27-COUNTIFS('Full Register'!$J$6:$J$279,$A27,'Full Register'!$K$6:$K$279,"&lt;&gt;"))</f>
        <v>0</v>
      </c>
      <c r="W27" s="21" t="str">
        <f aca="false">IF($A27="","",IF(COUNTIFS('Full Register'!$J$6:$J$279,$A27,'Full Register'!$H$6:$H$279,"Full")&gt;0,"Full","Screen"))</f>
        <v>Screen</v>
      </c>
      <c r="X27" s="21" t="str">
        <f aca="false">IF($A27="","",IF(AND(S27=0,I27="",G27=""),"Not started",IF($C27="","No sample class picked",IF(AND(W27="Full",$C27&lt;&gt;"Artifact",K27=""),"Record sample required, none recorded",IF(AND(I27&lt;&gt;"",V27&gt;0),V27&amp;" register rows on this pull still ungraded",IF(AND($C27="Transactional",K27&lt;&gt;"",K27&lt;10),"Transactional sample below 10 - say why in Notes",IF(AND($C27="Event",K27&lt;&gt;"",K27&lt;3),"Event sample below 3 - say why in Notes",IF(AND($C27&lt;&gt;"Artifact",K27&lt;&gt;"",L27=""),"Sample size with no conforming count",IF(AND($C27="Artifact",K27&lt;&gt;""),"Artifact pull: leave K and L blank, coverage is computed",IF(S27=0,"Worked but no requirement rows point at it","OK"))))))))))</f>
        <v>Not started</v>
      </c>
    </row>
    <row r="28" customFormat="false" ht="15" hidden="false" customHeight="false" outlineLevel="0" collapsed="false">
      <c r="A28" s="20" t="s">
        <v>645</v>
      </c>
      <c r="B28" s="16" t="s">
        <v>646</v>
      </c>
      <c r="C28" s="16" t="s">
        <v>57</v>
      </c>
      <c r="D28" s="16"/>
      <c r="E28" s="16"/>
      <c r="F28" s="16"/>
      <c r="G28" s="16"/>
      <c r="H28" s="16"/>
      <c r="I28" s="16"/>
      <c r="J28" s="16"/>
      <c r="K28" s="16"/>
      <c r="L28" s="16"/>
      <c r="M28" s="16"/>
      <c r="N28" s="16"/>
      <c r="O28" s="21" t="str">
        <f aca="false">IF($A28="","",IF($C28="Transactional","10 records, or all if fewer",IF($C28="Artifact","NO record sample. Grade every register row on this pull.",IF($C28="Event","last 3 occurrences, or all if fewer","PICK A SAMPLE CLASS"))))</f>
        <v>last 3 occurrences, or all if fewer</v>
      </c>
      <c r="P28" s="21" t="n">
        <f aca="false">IF(TRIM(G28)="",0,LEN(TRIM(G28))-LEN(SUBSTITUTE(TRIM(G28),";",""))+1)</f>
        <v>0</v>
      </c>
      <c r="Q28" s="21" t="str">
        <f aca="false">IF($A28="","",IF(P28=0,"Unassigned",IF(P28=1,"Single point","Staffed")))</f>
        <v>Unassigned</v>
      </c>
      <c r="R28" s="22" t="str">
        <f aca="false">IF(OR($C28="Artifact",K28="",K28=0),"",L28/K28)</f>
        <v/>
      </c>
      <c r="S28" s="21" t="n">
        <f aca="false">IF($A28="",0,COUNTIF('Full Register'!$J$6:$J$279,$A28))</f>
        <v>0</v>
      </c>
      <c r="T28" s="21" t="n">
        <f aca="false">IF($A28="",0,COUNTIFS('Full Register'!$J$6:$J$279,$A28,'Full Register'!$O$6:$O$279,"&gt;=3"))</f>
        <v>0</v>
      </c>
      <c r="U28" s="22" t="str">
        <f aca="false">IF(OR($A28="",S28=0),"",T28/S28)</f>
        <v/>
      </c>
      <c r="V28" s="21" t="n">
        <f aca="false">IF($A28="",0,S28-COUNTIFS('Full Register'!$J$6:$J$279,$A28,'Full Register'!$K$6:$K$279,"&lt;&gt;"))</f>
        <v>0</v>
      </c>
      <c r="W28" s="21" t="str">
        <f aca="false">IF($A28="","",IF(COUNTIFS('Full Register'!$J$6:$J$279,$A28,'Full Register'!$H$6:$H$279,"Full")&gt;0,"Full","Screen"))</f>
        <v>Screen</v>
      </c>
      <c r="X28" s="21" t="str">
        <f aca="false">IF($A28="","",IF(AND(S28=0,I28="",G28=""),"Not started",IF($C28="","No sample class picked",IF(AND(W28="Full",$C28&lt;&gt;"Artifact",K28=""),"Record sample required, none recorded",IF(AND(I28&lt;&gt;"",V28&gt;0),V28&amp;" register rows on this pull still ungraded",IF(AND($C28="Transactional",K28&lt;&gt;"",K28&lt;10),"Transactional sample below 10 - say why in Notes",IF(AND($C28="Event",K28&lt;&gt;"",K28&lt;3),"Event sample below 3 - say why in Notes",IF(AND($C28&lt;&gt;"Artifact",K28&lt;&gt;"",L28=""),"Sample size with no conforming count",IF(AND($C28="Artifact",K28&lt;&gt;""),"Artifact pull: leave K and L blank, coverage is computed",IF(S28=0,"Worked but no requirement rows point at it","OK"))))))))))</f>
        <v>Not started</v>
      </c>
    </row>
    <row r="29" customFormat="false" ht="15" hidden="false" customHeight="false" outlineLevel="0" collapsed="false">
      <c r="A29" s="20" t="s">
        <v>647</v>
      </c>
      <c r="B29" s="16" t="s">
        <v>648</v>
      </c>
      <c r="C29" s="16" t="s">
        <v>54</v>
      </c>
      <c r="D29" s="16"/>
      <c r="E29" s="16"/>
      <c r="F29" s="16"/>
      <c r="G29" s="16"/>
      <c r="H29" s="16"/>
      <c r="I29" s="16"/>
      <c r="J29" s="16"/>
      <c r="K29" s="16"/>
      <c r="L29" s="16"/>
      <c r="M29" s="16"/>
      <c r="N29" s="16"/>
      <c r="O29" s="21" t="str">
        <f aca="false">IF($A29="","",IF($C29="Transactional","10 records, or all if fewer",IF($C29="Artifact","NO record sample. Grade every register row on this pull.",IF($C29="Event","last 3 occurrences, or all if fewer","PICK A SAMPLE CLASS"))))</f>
        <v>10 records, or all if fewer</v>
      </c>
      <c r="P29" s="21" t="n">
        <f aca="false">IF(TRIM(G29)="",0,LEN(TRIM(G29))-LEN(SUBSTITUTE(TRIM(G29),";",""))+1)</f>
        <v>0</v>
      </c>
      <c r="Q29" s="21" t="str">
        <f aca="false">IF($A29="","",IF(P29=0,"Unassigned",IF(P29=1,"Single point","Staffed")))</f>
        <v>Unassigned</v>
      </c>
      <c r="R29" s="22" t="str">
        <f aca="false">IF(OR($C29="Artifact",K29="",K29=0),"",L29/K29)</f>
        <v/>
      </c>
      <c r="S29" s="21" t="n">
        <f aca="false">IF($A29="",0,COUNTIF('Full Register'!$J$6:$J$279,$A29))</f>
        <v>0</v>
      </c>
      <c r="T29" s="21" t="n">
        <f aca="false">IF($A29="",0,COUNTIFS('Full Register'!$J$6:$J$279,$A29,'Full Register'!$O$6:$O$279,"&gt;=3"))</f>
        <v>0</v>
      </c>
      <c r="U29" s="22" t="str">
        <f aca="false">IF(OR($A29="",S29=0),"",T29/S29)</f>
        <v/>
      </c>
      <c r="V29" s="21" t="n">
        <f aca="false">IF($A29="",0,S29-COUNTIFS('Full Register'!$J$6:$J$279,$A29,'Full Register'!$K$6:$K$279,"&lt;&gt;"))</f>
        <v>0</v>
      </c>
      <c r="W29" s="21" t="str">
        <f aca="false">IF($A29="","",IF(COUNTIFS('Full Register'!$J$6:$J$279,$A29,'Full Register'!$H$6:$H$279,"Full")&gt;0,"Full","Screen"))</f>
        <v>Screen</v>
      </c>
      <c r="X29" s="21" t="str">
        <f aca="false">IF($A29="","",IF(AND(S29=0,I29="",G29=""),"Not started",IF($C29="","No sample class picked",IF(AND(W29="Full",$C29&lt;&gt;"Artifact",K29=""),"Record sample required, none recorded",IF(AND(I29&lt;&gt;"",V29&gt;0),V29&amp;" register rows on this pull still ungraded",IF(AND($C29="Transactional",K29&lt;&gt;"",K29&lt;10),"Transactional sample below 10 - say why in Notes",IF(AND($C29="Event",K29&lt;&gt;"",K29&lt;3),"Event sample below 3 - say why in Notes",IF(AND($C29&lt;&gt;"Artifact",K29&lt;&gt;"",L29=""),"Sample size with no conforming count",IF(AND($C29="Artifact",K29&lt;&gt;""),"Artifact pull: leave K and L blank, coverage is computed",IF(S29=0,"Worked but no requirement rows point at it","OK"))))))))))</f>
        <v>Not started</v>
      </c>
    </row>
    <row r="30" customFormat="false" ht="22.35" hidden="false" customHeight="false" outlineLevel="0" collapsed="false">
      <c r="A30" s="20" t="s">
        <v>649</v>
      </c>
      <c r="B30" s="16" t="s">
        <v>650</v>
      </c>
      <c r="C30" s="16" t="s">
        <v>54</v>
      </c>
      <c r="D30" s="16"/>
      <c r="E30" s="16"/>
      <c r="F30" s="16"/>
      <c r="G30" s="16"/>
      <c r="H30" s="16"/>
      <c r="I30" s="16"/>
      <c r="J30" s="16"/>
      <c r="K30" s="16"/>
      <c r="L30" s="16"/>
      <c r="M30" s="16"/>
      <c r="N30" s="16"/>
      <c r="O30" s="21" t="str">
        <f aca="false">IF($A30="","",IF($C30="Transactional","10 records, or all if fewer",IF($C30="Artifact","NO record sample. Grade every register row on this pull.",IF($C30="Event","last 3 occurrences, or all if fewer","PICK A SAMPLE CLASS"))))</f>
        <v>10 records, or all if fewer</v>
      </c>
      <c r="P30" s="21" t="n">
        <f aca="false">IF(TRIM(G30)="",0,LEN(TRIM(G30))-LEN(SUBSTITUTE(TRIM(G30),";",""))+1)</f>
        <v>0</v>
      </c>
      <c r="Q30" s="21" t="str">
        <f aca="false">IF($A30="","",IF(P30=0,"Unassigned",IF(P30=1,"Single point","Staffed")))</f>
        <v>Unassigned</v>
      </c>
      <c r="R30" s="22" t="str">
        <f aca="false">IF(OR($C30="Artifact",K30="",K30=0),"",L30/K30)</f>
        <v/>
      </c>
      <c r="S30" s="21" t="n">
        <f aca="false">IF($A30="",0,COUNTIF('Full Register'!$J$6:$J$279,$A30))</f>
        <v>0</v>
      </c>
      <c r="T30" s="21" t="n">
        <f aca="false">IF($A30="",0,COUNTIFS('Full Register'!$J$6:$J$279,$A30,'Full Register'!$O$6:$O$279,"&gt;=3"))</f>
        <v>0</v>
      </c>
      <c r="U30" s="22" t="str">
        <f aca="false">IF(OR($A30="",S30=0),"",T30/S30)</f>
        <v/>
      </c>
      <c r="V30" s="21" t="n">
        <f aca="false">IF($A30="",0,S30-COUNTIFS('Full Register'!$J$6:$J$279,$A30,'Full Register'!$K$6:$K$279,"&lt;&gt;"))</f>
        <v>0</v>
      </c>
      <c r="W30" s="21" t="str">
        <f aca="false">IF($A30="","",IF(COUNTIFS('Full Register'!$J$6:$J$279,$A30,'Full Register'!$H$6:$H$279,"Full")&gt;0,"Full","Screen"))</f>
        <v>Screen</v>
      </c>
      <c r="X30" s="21" t="str">
        <f aca="false">IF($A30="","",IF(AND(S30=0,I30="",G30=""),"Not started",IF($C30="","No sample class picked",IF(AND(W30="Full",$C30&lt;&gt;"Artifact",K30=""),"Record sample required, none recorded",IF(AND(I30&lt;&gt;"",V30&gt;0),V30&amp;" register rows on this pull still ungraded",IF(AND($C30="Transactional",K30&lt;&gt;"",K30&lt;10),"Transactional sample below 10 - say why in Notes",IF(AND($C30="Event",K30&lt;&gt;"",K30&lt;3),"Event sample below 3 - say why in Notes",IF(AND($C30&lt;&gt;"Artifact",K30&lt;&gt;"",L30=""),"Sample size with no conforming count",IF(AND($C30="Artifact",K30&lt;&gt;""),"Artifact pull: leave K and L blank, coverage is computed",IF(S30=0,"Worked but no requirement rows point at it","OK"))))))))))</f>
        <v>Not started</v>
      </c>
    </row>
    <row r="31" customFormat="false" ht="15" hidden="false" customHeight="false" outlineLevel="0" collapsed="false">
      <c r="A31" s="20" t="s">
        <v>651</v>
      </c>
      <c r="B31" s="16" t="s">
        <v>652</v>
      </c>
      <c r="C31" s="16" t="s">
        <v>54</v>
      </c>
      <c r="D31" s="16"/>
      <c r="E31" s="16"/>
      <c r="F31" s="16"/>
      <c r="G31" s="16"/>
      <c r="H31" s="16"/>
      <c r="I31" s="16"/>
      <c r="J31" s="16"/>
      <c r="K31" s="16"/>
      <c r="L31" s="16"/>
      <c r="M31" s="16"/>
      <c r="N31" s="16"/>
      <c r="O31" s="21" t="str">
        <f aca="false">IF($A31="","",IF($C31="Transactional","10 records, or all if fewer",IF($C31="Artifact","NO record sample. Grade every register row on this pull.",IF($C31="Event","last 3 occurrences, or all if fewer","PICK A SAMPLE CLASS"))))</f>
        <v>10 records, or all if fewer</v>
      </c>
      <c r="P31" s="21" t="n">
        <f aca="false">IF(TRIM(G31)="",0,LEN(TRIM(G31))-LEN(SUBSTITUTE(TRIM(G31),";",""))+1)</f>
        <v>0</v>
      </c>
      <c r="Q31" s="21" t="str">
        <f aca="false">IF($A31="","",IF(P31=0,"Unassigned",IF(P31=1,"Single point","Staffed")))</f>
        <v>Unassigned</v>
      </c>
      <c r="R31" s="22" t="str">
        <f aca="false">IF(OR($C31="Artifact",K31="",K31=0),"",L31/K31)</f>
        <v/>
      </c>
      <c r="S31" s="21" t="n">
        <f aca="false">IF($A31="",0,COUNTIF('Full Register'!$J$6:$J$279,$A31))</f>
        <v>0</v>
      </c>
      <c r="T31" s="21" t="n">
        <f aca="false">IF($A31="",0,COUNTIFS('Full Register'!$J$6:$J$279,$A31,'Full Register'!$O$6:$O$279,"&gt;=3"))</f>
        <v>0</v>
      </c>
      <c r="U31" s="22" t="str">
        <f aca="false">IF(OR($A31="",S31=0),"",T31/S31)</f>
        <v/>
      </c>
      <c r="V31" s="21" t="n">
        <f aca="false">IF($A31="",0,S31-COUNTIFS('Full Register'!$J$6:$J$279,$A31,'Full Register'!$K$6:$K$279,"&lt;&gt;"))</f>
        <v>0</v>
      </c>
      <c r="W31" s="21" t="str">
        <f aca="false">IF($A31="","",IF(COUNTIFS('Full Register'!$J$6:$J$279,$A31,'Full Register'!$H$6:$H$279,"Full")&gt;0,"Full","Screen"))</f>
        <v>Screen</v>
      </c>
      <c r="X31" s="21" t="str">
        <f aca="false">IF($A31="","",IF(AND(S31=0,I31="",G31=""),"Not started",IF($C31="","No sample class picked",IF(AND(W31="Full",$C31&lt;&gt;"Artifact",K31=""),"Record sample required, none recorded",IF(AND(I31&lt;&gt;"",V31&gt;0),V31&amp;" register rows on this pull still ungraded",IF(AND($C31="Transactional",K31&lt;&gt;"",K31&lt;10),"Transactional sample below 10 - say why in Notes",IF(AND($C31="Event",K31&lt;&gt;"",K31&lt;3),"Event sample below 3 - say why in Notes",IF(AND($C31&lt;&gt;"Artifact",K31&lt;&gt;"",L31=""),"Sample size with no conforming count",IF(AND($C31="Artifact",K31&lt;&gt;""),"Artifact pull: leave K and L blank, coverage is computed",IF(S31=0,"Worked but no requirement rows point at it","OK"))))))))))</f>
        <v>Not started</v>
      </c>
    </row>
    <row r="32" customFormat="false" ht="15" hidden="false" customHeight="false" outlineLevel="0" collapsed="false">
      <c r="A32" s="20" t="s">
        <v>653</v>
      </c>
      <c r="B32" s="16" t="s">
        <v>654</v>
      </c>
      <c r="C32" s="16" t="s">
        <v>54</v>
      </c>
      <c r="D32" s="16"/>
      <c r="E32" s="16"/>
      <c r="F32" s="16"/>
      <c r="G32" s="16"/>
      <c r="H32" s="16"/>
      <c r="I32" s="16"/>
      <c r="J32" s="16"/>
      <c r="K32" s="16"/>
      <c r="L32" s="16"/>
      <c r="M32" s="16"/>
      <c r="N32" s="16"/>
      <c r="O32" s="21" t="str">
        <f aca="false">IF($A32="","",IF($C32="Transactional","10 records, or all if fewer",IF($C32="Artifact","NO record sample. Grade every register row on this pull.",IF($C32="Event","last 3 occurrences, or all if fewer","PICK A SAMPLE CLASS"))))</f>
        <v>10 records, or all if fewer</v>
      </c>
      <c r="P32" s="21" t="n">
        <f aca="false">IF(TRIM(G32)="",0,LEN(TRIM(G32))-LEN(SUBSTITUTE(TRIM(G32),";",""))+1)</f>
        <v>0</v>
      </c>
      <c r="Q32" s="21" t="str">
        <f aca="false">IF($A32="","",IF(P32=0,"Unassigned",IF(P32=1,"Single point","Staffed")))</f>
        <v>Unassigned</v>
      </c>
      <c r="R32" s="22" t="str">
        <f aca="false">IF(OR($C32="Artifact",K32="",K32=0),"",L32/K32)</f>
        <v/>
      </c>
      <c r="S32" s="21" t="n">
        <f aca="false">IF($A32="",0,COUNTIF('Full Register'!$J$6:$J$279,$A32))</f>
        <v>0</v>
      </c>
      <c r="T32" s="21" t="n">
        <f aca="false">IF($A32="",0,COUNTIFS('Full Register'!$J$6:$J$279,$A32,'Full Register'!$O$6:$O$279,"&gt;=3"))</f>
        <v>0</v>
      </c>
      <c r="U32" s="22" t="str">
        <f aca="false">IF(OR($A32="",S32=0),"",T32/S32)</f>
        <v/>
      </c>
      <c r="V32" s="21" t="n">
        <f aca="false">IF($A32="",0,S32-COUNTIFS('Full Register'!$J$6:$J$279,$A32,'Full Register'!$K$6:$K$279,"&lt;&gt;"))</f>
        <v>0</v>
      </c>
      <c r="W32" s="21" t="str">
        <f aca="false">IF($A32="","",IF(COUNTIFS('Full Register'!$J$6:$J$279,$A32,'Full Register'!$H$6:$H$279,"Full")&gt;0,"Full","Screen"))</f>
        <v>Screen</v>
      </c>
      <c r="X32" s="21" t="str">
        <f aca="false">IF($A32="","",IF(AND(S32=0,I32="",G32=""),"Not started",IF($C32="","No sample class picked",IF(AND(W32="Full",$C32&lt;&gt;"Artifact",K32=""),"Record sample required, none recorded",IF(AND(I32&lt;&gt;"",V32&gt;0),V32&amp;" register rows on this pull still ungraded",IF(AND($C32="Transactional",K32&lt;&gt;"",K32&lt;10),"Transactional sample below 10 - say why in Notes",IF(AND($C32="Event",K32&lt;&gt;"",K32&lt;3),"Event sample below 3 - say why in Notes",IF(AND($C32&lt;&gt;"Artifact",K32&lt;&gt;"",L32=""),"Sample size with no conforming count",IF(AND($C32="Artifact",K32&lt;&gt;""),"Artifact pull: leave K and L blank, coverage is computed",IF(S32=0,"Worked but no requirement rows point at it","OK"))))))))))</f>
        <v>Not started</v>
      </c>
    </row>
    <row r="33" customFormat="false" ht="15" hidden="false" customHeight="false" outlineLevel="0" collapsed="false">
      <c r="A33" s="20" t="s">
        <v>655</v>
      </c>
      <c r="B33" s="16" t="s">
        <v>656</v>
      </c>
      <c r="C33" s="16" t="s">
        <v>54</v>
      </c>
      <c r="D33" s="16"/>
      <c r="E33" s="16"/>
      <c r="F33" s="16"/>
      <c r="G33" s="16"/>
      <c r="H33" s="16"/>
      <c r="I33" s="16"/>
      <c r="J33" s="16"/>
      <c r="K33" s="16"/>
      <c r="L33" s="16"/>
      <c r="M33" s="16"/>
      <c r="N33" s="16"/>
      <c r="O33" s="21" t="str">
        <f aca="false">IF($A33="","",IF($C33="Transactional","10 records, or all if fewer",IF($C33="Artifact","NO record sample. Grade every register row on this pull.",IF($C33="Event","last 3 occurrences, or all if fewer","PICK A SAMPLE CLASS"))))</f>
        <v>10 records, or all if fewer</v>
      </c>
      <c r="P33" s="21" t="n">
        <f aca="false">IF(TRIM(G33)="",0,LEN(TRIM(G33))-LEN(SUBSTITUTE(TRIM(G33),";",""))+1)</f>
        <v>0</v>
      </c>
      <c r="Q33" s="21" t="str">
        <f aca="false">IF($A33="","",IF(P33=0,"Unassigned",IF(P33=1,"Single point","Staffed")))</f>
        <v>Unassigned</v>
      </c>
      <c r="R33" s="22" t="str">
        <f aca="false">IF(OR($C33="Artifact",K33="",K33=0),"",L33/K33)</f>
        <v/>
      </c>
      <c r="S33" s="21" t="n">
        <f aca="false">IF($A33="",0,COUNTIF('Full Register'!$J$6:$J$279,$A33))</f>
        <v>0</v>
      </c>
      <c r="T33" s="21" t="n">
        <f aca="false">IF($A33="",0,COUNTIFS('Full Register'!$J$6:$J$279,$A33,'Full Register'!$O$6:$O$279,"&gt;=3"))</f>
        <v>0</v>
      </c>
      <c r="U33" s="22" t="str">
        <f aca="false">IF(OR($A33="",S33=0),"",T33/S33)</f>
        <v/>
      </c>
      <c r="V33" s="21" t="n">
        <f aca="false">IF($A33="",0,S33-COUNTIFS('Full Register'!$J$6:$J$279,$A33,'Full Register'!$K$6:$K$279,"&lt;&gt;"))</f>
        <v>0</v>
      </c>
      <c r="W33" s="21" t="str">
        <f aca="false">IF($A33="","",IF(COUNTIFS('Full Register'!$J$6:$J$279,$A33,'Full Register'!$H$6:$H$279,"Full")&gt;0,"Full","Screen"))</f>
        <v>Screen</v>
      </c>
      <c r="X33" s="21" t="str">
        <f aca="false">IF($A33="","",IF(AND(S33=0,I33="",G33=""),"Not started",IF($C33="","No sample class picked",IF(AND(W33="Full",$C33&lt;&gt;"Artifact",K33=""),"Record sample required, none recorded",IF(AND(I33&lt;&gt;"",V33&gt;0),V33&amp;" register rows on this pull still ungraded",IF(AND($C33="Transactional",K33&lt;&gt;"",K33&lt;10),"Transactional sample below 10 - say why in Notes",IF(AND($C33="Event",K33&lt;&gt;"",K33&lt;3),"Event sample below 3 - say why in Notes",IF(AND($C33&lt;&gt;"Artifact",K33&lt;&gt;"",L33=""),"Sample size with no conforming count",IF(AND($C33="Artifact",K33&lt;&gt;""),"Artifact pull: leave K and L blank, coverage is computed",IF(S33=0,"Worked but no requirement rows point at it","OK"))))))))))</f>
        <v>Not started</v>
      </c>
    </row>
    <row r="34" customFormat="false" ht="22.35" hidden="false" customHeight="false" outlineLevel="0" collapsed="false">
      <c r="A34" s="20" t="s">
        <v>657</v>
      </c>
      <c r="B34" s="16" t="s">
        <v>658</v>
      </c>
      <c r="C34" s="16" t="s">
        <v>54</v>
      </c>
      <c r="D34" s="16"/>
      <c r="E34" s="16"/>
      <c r="F34" s="16"/>
      <c r="G34" s="16"/>
      <c r="H34" s="16"/>
      <c r="I34" s="16"/>
      <c r="J34" s="16"/>
      <c r="K34" s="16"/>
      <c r="L34" s="16"/>
      <c r="M34" s="16"/>
      <c r="N34" s="16"/>
      <c r="O34" s="21" t="str">
        <f aca="false">IF($A34="","",IF($C34="Transactional","10 records, or all if fewer",IF($C34="Artifact","NO record sample. Grade every register row on this pull.",IF($C34="Event","last 3 occurrences, or all if fewer","PICK A SAMPLE CLASS"))))</f>
        <v>10 records, or all if fewer</v>
      </c>
      <c r="P34" s="21" t="n">
        <f aca="false">IF(TRIM(G34)="",0,LEN(TRIM(G34))-LEN(SUBSTITUTE(TRIM(G34),";",""))+1)</f>
        <v>0</v>
      </c>
      <c r="Q34" s="21" t="str">
        <f aca="false">IF($A34="","",IF(P34=0,"Unassigned",IF(P34=1,"Single point","Staffed")))</f>
        <v>Unassigned</v>
      </c>
      <c r="R34" s="22" t="str">
        <f aca="false">IF(OR($C34="Artifact",K34="",K34=0),"",L34/K34)</f>
        <v/>
      </c>
      <c r="S34" s="21" t="n">
        <f aca="false">IF($A34="",0,COUNTIF('Full Register'!$J$6:$J$279,$A34))</f>
        <v>0</v>
      </c>
      <c r="T34" s="21" t="n">
        <f aca="false">IF($A34="",0,COUNTIFS('Full Register'!$J$6:$J$279,$A34,'Full Register'!$O$6:$O$279,"&gt;=3"))</f>
        <v>0</v>
      </c>
      <c r="U34" s="22" t="str">
        <f aca="false">IF(OR($A34="",S34=0),"",T34/S34)</f>
        <v/>
      </c>
      <c r="V34" s="21" t="n">
        <f aca="false">IF($A34="",0,S34-COUNTIFS('Full Register'!$J$6:$J$279,$A34,'Full Register'!$K$6:$K$279,"&lt;&gt;"))</f>
        <v>0</v>
      </c>
      <c r="W34" s="21" t="str">
        <f aca="false">IF($A34="","",IF(COUNTIFS('Full Register'!$J$6:$J$279,$A34,'Full Register'!$H$6:$H$279,"Full")&gt;0,"Full","Screen"))</f>
        <v>Screen</v>
      </c>
      <c r="X34" s="21" t="str">
        <f aca="false">IF($A34="","",IF(AND(S34=0,I34="",G34=""),"Not started",IF($C34="","No sample class picked",IF(AND(W34="Full",$C34&lt;&gt;"Artifact",K34=""),"Record sample required, none recorded",IF(AND(I34&lt;&gt;"",V34&gt;0),V34&amp;" register rows on this pull still ungraded",IF(AND($C34="Transactional",K34&lt;&gt;"",K34&lt;10),"Transactional sample below 10 - say why in Notes",IF(AND($C34="Event",K34&lt;&gt;"",K34&lt;3),"Event sample below 3 - say why in Notes",IF(AND($C34&lt;&gt;"Artifact",K34&lt;&gt;"",L34=""),"Sample size with no conforming count",IF(AND($C34="Artifact",K34&lt;&gt;""),"Artifact pull: leave K and L blank, coverage is computed",IF(S34=0,"Worked but no requirement rows point at it","OK"))))))))))</f>
        <v>Not started</v>
      </c>
    </row>
    <row r="35" customFormat="false" ht="22.35" hidden="false" customHeight="false" outlineLevel="0" collapsed="false">
      <c r="A35" s="20" t="s">
        <v>659</v>
      </c>
      <c r="B35" s="16" t="s">
        <v>660</v>
      </c>
      <c r="C35" s="16" t="s">
        <v>54</v>
      </c>
      <c r="D35" s="16"/>
      <c r="E35" s="16"/>
      <c r="F35" s="16"/>
      <c r="G35" s="16"/>
      <c r="H35" s="16"/>
      <c r="I35" s="16"/>
      <c r="J35" s="16"/>
      <c r="K35" s="16"/>
      <c r="L35" s="16"/>
      <c r="M35" s="16"/>
      <c r="N35" s="16"/>
      <c r="O35" s="21" t="str">
        <f aca="false">IF($A35="","",IF($C35="Transactional","10 records, or all if fewer",IF($C35="Artifact","NO record sample. Grade every register row on this pull.",IF($C35="Event","last 3 occurrences, or all if fewer","PICK A SAMPLE CLASS"))))</f>
        <v>10 records, or all if fewer</v>
      </c>
      <c r="P35" s="21" t="n">
        <f aca="false">IF(TRIM(G35)="",0,LEN(TRIM(G35))-LEN(SUBSTITUTE(TRIM(G35),";",""))+1)</f>
        <v>0</v>
      </c>
      <c r="Q35" s="21" t="str">
        <f aca="false">IF($A35="","",IF(P35=0,"Unassigned",IF(P35=1,"Single point","Staffed")))</f>
        <v>Unassigned</v>
      </c>
      <c r="R35" s="22" t="str">
        <f aca="false">IF(OR($C35="Artifact",K35="",K35=0),"",L35/K35)</f>
        <v/>
      </c>
      <c r="S35" s="21" t="n">
        <f aca="false">IF($A35="",0,COUNTIF('Full Register'!$J$6:$J$279,$A35))</f>
        <v>0</v>
      </c>
      <c r="T35" s="21" t="n">
        <f aca="false">IF($A35="",0,COUNTIFS('Full Register'!$J$6:$J$279,$A35,'Full Register'!$O$6:$O$279,"&gt;=3"))</f>
        <v>0</v>
      </c>
      <c r="U35" s="22" t="str">
        <f aca="false">IF(OR($A35="",S35=0),"",T35/S35)</f>
        <v/>
      </c>
      <c r="V35" s="21" t="n">
        <f aca="false">IF($A35="",0,S35-COUNTIFS('Full Register'!$J$6:$J$279,$A35,'Full Register'!$K$6:$K$279,"&lt;&gt;"))</f>
        <v>0</v>
      </c>
      <c r="W35" s="21" t="str">
        <f aca="false">IF($A35="","",IF(COUNTIFS('Full Register'!$J$6:$J$279,$A35,'Full Register'!$H$6:$H$279,"Full")&gt;0,"Full","Screen"))</f>
        <v>Screen</v>
      </c>
      <c r="X35" s="21" t="str">
        <f aca="false">IF($A35="","",IF(AND(S35=0,I35="",G35=""),"Not started",IF($C35="","No sample class picked",IF(AND(W35="Full",$C35&lt;&gt;"Artifact",K35=""),"Record sample required, none recorded",IF(AND(I35&lt;&gt;"",V35&gt;0),V35&amp;" register rows on this pull still ungraded",IF(AND($C35="Transactional",K35&lt;&gt;"",K35&lt;10),"Transactional sample below 10 - say why in Notes",IF(AND($C35="Event",K35&lt;&gt;"",K35&lt;3),"Event sample below 3 - say why in Notes",IF(AND($C35&lt;&gt;"Artifact",K35&lt;&gt;"",L35=""),"Sample size with no conforming count",IF(AND($C35="Artifact",K35&lt;&gt;""),"Artifact pull: leave K and L blank, coverage is computed",IF(S35=0,"Worked but no requirement rows point at it","OK"))))))))))</f>
        <v>Not started</v>
      </c>
    </row>
    <row r="36" customFormat="false" ht="22.35" hidden="false" customHeight="false" outlineLevel="0" collapsed="false">
      <c r="A36" s="20" t="s">
        <v>661</v>
      </c>
      <c r="B36" s="16" t="s">
        <v>662</v>
      </c>
      <c r="C36" s="16" t="s">
        <v>54</v>
      </c>
      <c r="D36" s="16"/>
      <c r="E36" s="16"/>
      <c r="F36" s="16"/>
      <c r="G36" s="16"/>
      <c r="H36" s="16"/>
      <c r="I36" s="16"/>
      <c r="J36" s="16"/>
      <c r="K36" s="16"/>
      <c r="L36" s="16"/>
      <c r="M36" s="16"/>
      <c r="N36" s="16"/>
      <c r="O36" s="21" t="str">
        <f aca="false">IF($A36="","",IF($C36="Transactional","10 records, or all if fewer",IF($C36="Artifact","NO record sample. Grade every register row on this pull.",IF($C36="Event","last 3 occurrences, or all if fewer","PICK A SAMPLE CLASS"))))</f>
        <v>10 records, or all if fewer</v>
      </c>
      <c r="P36" s="21" t="n">
        <f aca="false">IF(TRIM(G36)="",0,LEN(TRIM(G36))-LEN(SUBSTITUTE(TRIM(G36),";",""))+1)</f>
        <v>0</v>
      </c>
      <c r="Q36" s="21" t="str">
        <f aca="false">IF($A36="","",IF(P36=0,"Unassigned",IF(P36=1,"Single point","Staffed")))</f>
        <v>Unassigned</v>
      </c>
      <c r="R36" s="22" t="str">
        <f aca="false">IF(OR($C36="Artifact",K36="",K36=0),"",L36/K36)</f>
        <v/>
      </c>
      <c r="S36" s="21" t="n">
        <f aca="false">IF($A36="",0,COUNTIF('Full Register'!$J$6:$J$279,$A36))</f>
        <v>0</v>
      </c>
      <c r="T36" s="21" t="n">
        <f aca="false">IF($A36="",0,COUNTIFS('Full Register'!$J$6:$J$279,$A36,'Full Register'!$O$6:$O$279,"&gt;=3"))</f>
        <v>0</v>
      </c>
      <c r="U36" s="22" t="str">
        <f aca="false">IF(OR($A36="",S36=0),"",T36/S36)</f>
        <v/>
      </c>
      <c r="V36" s="21" t="n">
        <f aca="false">IF($A36="",0,S36-COUNTIFS('Full Register'!$J$6:$J$279,$A36,'Full Register'!$K$6:$K$279,"&lt;&gt;"))</f>
        <v>0</v>
      </c>
      <c r="W36" s="21" t="str">
        <f aca="false">IF($A36="","",IF(COUNTIFS('Full Register'!$J$6:$J$279,$A36,'Full Register'!$H$6:$H$279,"Full")&gt;0,"Full","Screen"))</f>
        <v>Screen</v>
      </c>
      <c r="X36" s="21" t="str">
        <f aca="false">IF($A36="","",IF(AND(S36=0,I36="",G36=""),"Not started",IF($C36="","No sample class picked",IF(AND(W36="Full",$C36&lt;&gt;"Artifact",K36=""),"Record sample required, none recorded",IF(AND(I36&lt;&gt;"",V36&gt;0),V36&amp;" register rows on this pull still ungraded",IF(AND($C36="Transactional",K36&lt;&gt;"",K36&lt;10),"Transactional sample below 10 - say why in Notes",IF(AND($C36="Event",K36&lt;&gt;"",K36&lt;3),"Event sample below 3 - say why in Notes",IF(AND($C36&lt;&gt;"Artifact",K36&lt;&gt;"",L36=""),"Sample size with no conforming count",IF(AND($C36="Artifact",K36&lt;&gt;""),"Artifact pull: leave K and L blank, coverage is computed",IF(S36=0,"Worked but no requirement rows point at it","OK"))))))))))</f>
        <v>Not started</v>
      </c>
    </row>
    <row r="37" customFormat="false" ht="15" hidden="false" customHeight="false" outlineLevel="0" collapsed="false">
      <c r="A37" s="20" t="s">
        <v>663</v>
      </c>
      <c r="B37" s="16" t="s">
        <v>664</v>
      </c>
      <c r="C37" s="16" t="s">
        <v>54</v>
      </c>
      <c r="D37" s="16"/>
      <c r="E37" s="16"/>
      <c r="F37" s="16"/>
      <c r="G37" s="16"/>
      <c r="H37" s="16"/>
      <c r="I37" s="16"/>
      <c r="J37" s="16"/>
      <c r="K37" s="16"/>
      <c r="L37" s="16"/>
      <c r="M37" s="16"/>
      <c r="N37" s="16"/>
      <c r="O37" s="21" t="str">
        <f aca="false">IF($A37="","",IF($C37="Transactional","10 records, or all if fewer",IF($C37="Artifact","NO record sample. Grade every register row on this pull.",IF($C37="Event","last 3 occurrences, or all if fewer","PICK A SAMPLE CLASS"))))</f>
        <v>10 records, or all if fewer</v>
      </c>
      <c r="P37" s="21" t="n">
        <f aca="false">IF(TRIM(G37)="",0,LEN(TRIM(G37))-LEN(SUBSTITUTE(TRIM(G37),";",""))+1)</f>
        <v>0</v>
      </c>
      <c r="Q37" s="21" t="str">
        <f aca="false">IF($A37="","",IF(P37=0,"Unassigned",IF(P37=1,"Single point","Staffed")))</f>
        <v>Unassigned</v>
      </c>
      <c r="R37" s="22" t="str">
        <f aca="false">IF(OR($C37="Artifact",K37="",K37=0),"",L37/K37)</f>
        <v/>
      </c>
      <c r="S37" s="21" t="n">
        <f aca="false">IF($A37="",0,COUNTIF('Full Register'!$J$6:$J$279,$A37))</f>
        <v>0</v>
      </c>
      <c r="T37" s="21" t="n">
        <f aca="false">IF($A37="",0,COUNTIFS('Full Register'!$J$6:$J$279,$A37,'Full Register'!$O$6:$O$279,"&gt;=3"))</f>
        <v>0</v>
      </c>
      <c r="U37" s="22" t="str">
        <f aca="false">IF(OR($A37="",S37=0),"",T37/S37)</f>
        <v/>
      </c>
      <c r="V37" s="21" t="n">
        <f aca="false">IF($A37="",0,S37-COUNTIFS('Full Register'!$J$6:$J$279,$A37,'Full Register'!$K$6:$K$279,"&lt;&gt;"))</f>
        <v>0</v>
      </c>
      <c r="W37" s="21" t="str">
        <f aca="false">IF($A37="","",IF(COUNTIFS('Full Register'!$J$6:$J$279,$A37,'Full Register'!$H$6:$H$279,"Full")&gt;0,"Full","Screen"))</f>
        <v>Screen</v>
      </c>
      <c r="X37" s="21" t="str">
        <f aca="false">IF($A37="","",IF(AND(S37=0,I37="",G37=""),"Not started",IF($C37="","No sample class picked",IF(AND(W37="Full",$C37&lt;&gt;"Artifact",K37=""),"Record sample required, none recorded",IF(AND(I37&lt;&gt;"",V37&gt;0),V37&amp;" register rows on this pull still ungraded",IF(AND($C37="Transactional",K37&lt;&gt;"",K37&lt;10),"Transactional sample below 10 - say why in Notes",IF(AND($C37="Event",K37&lt;&gt;"",K37&lt;3),"Event sample below 3 - say why in Notes",IF(AND($C37&lt;&gt;"Artifact",K37&lt;&gt;"",L37=""),"Sample size with no conforming count",IF(AND($C37="Artifact",K37&lt;&gt;""),"Artifact pull: leave K and L blank, coverage is computed",IF(S37=0,"Worked but no requirement rows point at it","OK"))))))))))</f>
        <v>Not started</v>
      </c>
    </row>
    <row r="38" customFormat="false" ht="15" hidden="false" customHeight="false" outlineLevel="0" collapsed="false">
      <c r="A38" s="20" t="s">
        <v>665</v>
      </c>
      <c r="B38" s="16" t="s">
        <v>666</v>
      </c>
      <c r="C38" s="16" t="s">
        <v>54</v>
      </c>
      <c r="D38" s="16"/>
      <c r="E38" s="16"/>
      <c r="F38" s="16"/>
      <c r="G38" s="16"/>
      <c r="H38" s="16"/>
      <c r="I38" s="16"/>
      <c r="J38" s="16"/>
      <c r="K38" s="16"/>
      <c r="L38" s="16"/>
      <c r="M38" s="16"/>
      <c r="N38" s="16"/>
      <c r="O38" s="21" t="str">
        <f aca="false">IF($A38="","",IF($C38="Transactional","10 records, or all if fewer",IF($C38="Artifact","NO record sample. Grade every register row on this pull.",IF($C38="Event","last 3 occurrences, or all if fewer","PICK A SAMPLE CLASS"))))</f>
        <v>10 records, or all if fewer</v>
      </c>
      <c r="P38" s="21" t="n">
        <f aca="false">IF(TRIM(G38)="",0,LEN(TRIM(G38))-LEN(SUBSTITUTE(TRIM(G38),";",""))+1)</f>
        <v>0</v>
      </c>
      <c r="Q38" s="21" t="str">
        <f aca="false">IF($A38="","",IF(P38=0,"Unassigned",IF(P38=1,"Single point","Staffed")))</f>
        <v>Unassigned</v>
      </c>
      <c r="R38" s="22" t="str">
        <f aca="false">IF(OR($C38="Artifact",K38="",K38=0),"",L38/K38)</f>
        <v/>
      </c>
      <c r="S38" s="21" t="n">
        <f aca="false">IF($A38="",0,COUNTIF('Full Register'!$J$6:$J$279,$A38))</f>
        <v>0</v>
      </c>
      <c r="T38" s="21" t="n">
        <f aca="false">IF($A38="",0,COUNTIFS('Full Register'!$J$6:$J$279,$A38,'Full Register'!$O$6:$O$279,"&gt;=3"))</f>
        <v>0</v>
      </c>
      <c r="U38" s="22" t="str">
        <f aca="false">IF(OR($A38="",S38=0),"",T38/S38)</f>
        <v/>
      </c>
      <c r="V38" s="21" t="n">
        <f aca="false">IF($A38="",0,S38-COUNTIFS('Full Register'!$J$6:$J$279,$A38,'Full Register'!$K$6:$K$279,"&lt;&gt;"))</f>
        <v>0</v>
      </c>
      <c r="W38" s="21" t="str">
        <f aca="false">IF($A38="","",IF(COUNTIFS('Full Register'!$J$6:$J$279,$A38,'Full Register'!$H$6:$H$279,"Full")&gt;0,"Full","Screen"))</f>
        <v>Screen</v>
      </c>
      <c r="X38" s="21" t="str">
        <f aca="false">IF($A38="","",IF(AND(S38=0,I38="",G38=""),"Not started",IF($C38="","No sample class picked",IF(AND(W38="Full",$C38&lt;&gt;"Artifact",K38=""),"Record sample required, none recorded",IF(AND(I38&lt;&gt;"",V38&gt;0),V38&amp;" register rows on this pull still ungraded",IF(AND($C38="Transactional",K38&lt;&gt;"",K38&lt;10),"Transactional sample below 10 - say why in Notes",IF(AND($C38="Event",K38&lt;&gt;"",K38&lt;3),"Event sample below 3 - say why in Notes",IF(AND($C38&lt;&gt;"Artifact",K38&lt;&gt;"",L38=""),"Sample size with no conforming count",IF(AND($C38="Artifact",K38&lt;&gt;""),"Artifact pull: leave K and L blank, coverage is computed",IF(S38=0,"Worked but no requirement rows point at it","OK"))))))))))</f>
        <v>Not started</v>
      </c>
    </row>
    <row r="39" customFormat="false" ht="15" hidden="false" customHeight="false" outlineLevel="0" collapsed="false">
      <c r="A39" s="20" t="s">
        <v>667</v>
      </c>
      <c r="B39" s="16" t="s">
        <v>668</v>
      </c>
      <c r="C39" s="16" t="s">
        <v>54</v>
      </c>
      <c r="D39" s="16"/>
      <c r="E39" s="16"/>
      <c r="F39" s="16"/>
      <c r="G39" s="16"/>
      <c r="H39" s="16"/>
      <c r="I39" s="16"/>
      <c r="J39" s="16"/>
      <c r="K39" s="16"/>
      <c r="L39" s="16"/>
      <c r="M39" s="16"/>
      <c r="N39" s="16"/>
      <c r="O39" s="21" t="str">
        <f aca="false">IF($A39="","",IF($C39="Transactional","10 records, or all if fewer",IF($C39="Artifact","NO record sample. Grade every register row on this pull.",IF($C39="Event","last 3 occurrences, or all if fewer","PICK A SAMPLE CLASS"))))</f>
        <v>10 records, or all if fewer</v>
      </c>
      <c r="P39" s="21" t="n">
        <f aca="false">IF(TRIM(G39)="",0,LEN(TRIM(G39))-LEN(SUBSTITUTE(TRIM(G39),";",""))+1)</f>
        <v>0</v>
      </c>
      <c r="Q39" s="21" t="str">
        <f aca="false">IF($A39="","",IF(P39=0,"Unassigned",IF(P39=1,"Single point","Staffed")))</f>
        <v>Unassigned</v>
      </c>
      <c r="R39" s="22" t="str">
        <f aca="false">IF(OR($C39="Artifact",K39="",K39=0),"",L39/K39)</f>
        <v/>
      </c>
      <c r="S39" s="21" t="n">
        <f aca="false">IF($A39="",0,COUNTIF('Full Register'!$J$6:$J$279,$A39))</f>
        <v>0</v>
      </c>
      <c r="T39" s="21" t="n">
        <f aca="false">IF($A39="",0,COUNTIFS('Full Register'!$J$6:$J$279,$A39,'Full Register'!$O$6:$O$279,"&gt;=3"))</f>
        <v>0</v>
      </c>
      <c r="U39" s="22" t="str">
        <f aca="false">IF(OR($A39="",S39=0),"",T39/S39)</f>
        <v/>
      </c>
      <c r="V39" s="21" t="n">
        <f aca="false">IF($A39="",0,S39-COUNTIFS('Full Register'!$J$6:$J$279,$A39,'Full Register'!$K$6:$K$279,"&lt;&gt;"))</f>
        <v>0</v>
      </c>
      <c r="W39" s="21" t="str">
        <f aca="false">IF($A39="","",IF(COUNTIFS('Full Register'!$J$6:$J$279,$A39,'Full Register'!$H$6:$H$279,"Full")&gt;0,"Full","Screen"))</f>
        <v>Screen</v>
      </c>
      <c r="X39" s="21" t="str">
        <f aca="false">IF($A39="","",IF(AND(S39=0,I39="",G39=""),"Not started",IF($C39="","No sample class picked",IF(AND(W39="Full",$C39&lt;&gt;"Artifact",K39=""),"Record sample required, none recorded",IF(AND(I39&lt;&gt;"",V39&gt;0),V39&amp;" register rows on this pull still ungraded",IF(AND($C39="Transactional",K39&lt;&gt;"",K39&lt;10),"Transactional sample below 10 - say why in Notes",IF(AND($C39="Event",K39&lt;&gt;"",K39&lt;3),"Event sample below 3 - say why in Notes",IF(AND($C39&lt;&gt;"Artifact",K39&lt;&gt;"",L39=""),"Sample size with no conforming count",IF(AND($C39="Artifact",K39&lt;&gt;""),"Artifact pull: leave K and L blank, coverage is computed",IF(S39=0,"Worked but no requirement rows point at it","OK"))))))))))</f>
        <v>Not started</v>
      </c>
    </row>
    <row r="40" customFormat="false" ht="15" hidden="false" customHeight="false" outlineLevel="0" collapsed="false">
      <c r="A40" s="20" t="s">
        <v>669</v>
      </c>
      <c r="B40" s="16" t="s">
        <v>670</v>
      </c>
      <c r="C40" s="16" t="s">
        <v>54</v>
      </c>
      <c r="D40" s="16"/>
      <c r="E40" s="16"/>
      <c r="F40" s="16"/>
      <c r="G40" s="16"/>
      <c r="H40" s="16"/>
      <c r="I40" s="16"/>
      <c r="J40" s="16"/>
      <c r="K40" s="16"/>
      <c r="L40" s="16"/>
      <c r="M40" s="16"/>
      <c r="N40" s="16"/>
      <c r="O40" s="21" t="str">
        <f aca="false">IF($A40="","",IF($C40="Transactional","10 records, or all if fewer",IF($C40="Artifact","NO record sample. Grade every register row on this pull.",IF($C40="Event","last 3 occurrences, or all if fewer","PICK A SAMPLE CLASS"))))</f>
        <v>10 records, or all if fewer</v>
      </c>
      <c r="P40" s="21" t="n">
        <f aca="false">IF(TRIM(G40)="",0,LEN(TRIM(G40))-LEN(SUBSTITUTE(TRIM(G40),";",""))+1)</f>
        <v>0</v>
      </c>
      <c r="Q40" s="21" t="str">
        <f aca="false">IF($A40="","",IF(P40=0,"Unassigned",IF(P40=1,"Single point","Staffed")))</f>
        <v>Unassigned</v>
      </c>
      <c r="R40" s="22" t="str">
        <f aca="false">IF(OR($C40="Artifact",K40="",K40=0),"",L40/K40)</f>
        <v/>
      </c>
      <c r="S40" s="21" t="n">
        <f aca="false">IF($A40="",0,COUNTIF('Full Register'!$J$6:$J$279,$A40))</f>
        <v>0</v>
      </c>
      <c r="T40" s="21" t="n">
        <f aca="false">IF($A40="",0,COUNTIFS('Full Register'!$J$6:$J$279,$A40,'Full Register'!$O$6:$O$279,"&gt;=3"))</f>
        <v>0</v>
      </c>
      <c r="U40" s="22" t="str">
        <f aca="false">IF(OR($A40="",S40=0),"",T40/S40)</f>
        <v/>
      </c>
      <c r="V40" s="21" t="n">
        <f aca="false">IF($A40="",0,S40-COUNTIFS('Full Register'!$J$6:$J$279,$A40,'Full Register'!$K$6:$K$279,"&lt;&gt;"))</f>
        <v>0</v>
      </c>
      <c r="W40" s="21" t="str">
        <f aca="false">IF($A40="","",IF(COUNTIFS('Full Register'!$J$6:$J$279,$A40,'Full Register'!$H$6:$H$279,"Full")&gt;0,"Full","Screen"))</f>
        <v>Screen</v>
      </c>
      <c r="X40" s="21" t="str">
        <f aca="false">IF($A40="","",IF(AND(S40=0,I40="",G40=""),"Not started",IF($C40="","No sample class picked",IF(AND(W40="Full",$C40&lt;&gt;"Artifact",K40=""),"Record sample required, none recorded",IF(AND(I40&lt;&gt;"",V40&gt;0),V40&amp;" register rows on this pull still ungraded",IF(AND($C40="Transactional",K40&lt;&gt;"",K40&lt;10),"Transactional sample below 10 - say why in Notes",IF(AND($C40="Event",K40&lt;&gt;"",K40&lt;3),"Event sample below 3 - say why in Notes",IF(AND($C40&lt;&gt;"Artifact",K40&lt;&gt;"",L40=""),"Sample size with no conforming count",IF(AND($C40="Artifact",K40&lt;&gt;""),"Artifact pull: leave K and L blank, coverage is computed",IF(S40=0,"Worked but no requirement rows point at it","OK"))))))))))</f>
        <v>Not started</v>
      </c>
    </row>
    <row r="41" customFormat="false" ht="22.35" hidden="false" customHeight="false" outlineLevel="0" collapsed="false">
      <c r="A41" s="20" t="s">
        <v>671</v>
      </c>
      <c r="B41" s="16" t="s">
        <v>672</v>
      </c>
      <c r="C41" s="16" t="s">
        <v>60</v>
      </c>
      <c r="D41" s="16"/>
      <c r="E41" s="16"/>
      <c r="F41" s="16"/>
      <c r="G41" s="16"/>
      <c r="H41" s="16"/>
      <c r="I41" s="16"/>
      <c r="J41" s="16"/>
      <c r="K41" s="16"/>
      <c r="L41" s="16"/>
      <c r="M41" s="16"/>
      <c r="N41" s="16"/>
      <c r="O41" s="21" t="str">
        <f aca="false">IF($A41="","",IF($C41="Transactional","10 records, or all if fewer",IF($C41="Artifact","NO record sample. Grade every register row on this pull.",IF($C41="Event","last 3 occurrences, or all if fewer","PICK A SAMPLE CLASS"))))</f>
        <v>NO record sample. Grade every register row on this pull.</v>
      </c>
      <c r="P41" s="21" t="n">
        <f aca="false">IF(TRIM(G41)="",0,LEN(TRIM(G41))-LEN(SUBSTITUTE(TRIM(G41),";",""))+1)</f>
        <v>0</v>
      </c>
      <c r="Q41" s="21" t="str">
        <f aca="false">IF($A41="","",IF(P41=0,"Unassigned",IF(P41=1,"Single point","Staffed")))</f>
        <v>Unassigned</v>
      </c>
      <c r="R41" s="22" t="str">
        <f aca="false">IF(OR($C41="Artifact",K41="",K41=0),"",L41/K41)</f>
        <v/>
      </c>
      <c r="S41" s="21" t="n">
        <f aca="false">IF($A41="",0,COUNTIF('Full Register'!$J$6:$J$279,$A41))</f>
        <v>0</v>
      </c>
      <c r="T41" s="21" t="n">
        <f aca="false">IF($A41="",0,COUNTIFS('Full Register'!$J$6:$J$279,$A41,'Full Register'!$O$6:$O$279,"&gt;=3"))</f>
        <v>0</v>
      </c>
      <c r="U41" s="22" t="str">
        <f aca="false">IF(OR($A41="",S41=0),"",T41/S41)</f>
        <v/>
      </c>
      <c r="V41" s="21" t="n">
        <f aca="false">IF($A41="",0,S41-COUNTIFS('Full Register'!$J$6:$J$279,$A41,'Full Register'!$K$6:$K$279,"&lt;&gt;"))</f>
        <v>0</v>
      </c>
      <c r="W41" s="21" t="str">
        <f aca="false">IF($A41="","",IF(COUNTIFS('Full Register'!$J$6:$J$279,$A41,'Full Register'!$H$6:$H$279,"Full")&gt;0,"Full","Screen"))</f>
        <v>Screen</v>
      </c>
      <c r="X41" s="21" t="str">
        <f aca="false">IF($A41="","",IF(AND(S41=0,I41="",G41=""),"Not started",IF($C41="","No sample class picked",IF(AND(W41="Full",$C41&lt;&gt;"Artifact",K41=""),"Record sample required, none recorded",IF(AND(I41&lt;&gt;"",V41&gt;0),V41&amp;" register rows on this pull still ungraded",IF(AND($C41="Transactional",K41&lt;&gt;"",K41&lt;10),"Transactional sample below 10 - say why in Notes",IF(AND($C41="Event",K41&lt;&gt;"",K41&lt;3),"Event sample below 3 - say why in Notes",IF(AND($C41&lt;&gt;"Artifact",K41&lt;&gt;"",L41=""),"Sample size with no conforming count",IF(AND($C41="Artifact",K41&lt;&gt;""),"Artifact pull: leave K and L blank, coverage is computed",IF(S41=0,"Worked but no requirement rows point at it","OK"))))))))))</f>
        <v>Not started</v>
      </c>
    </row>
    <row r="42" customFormat="false" ht="22.35" hidden="false" customHeight="false" outlineLevel="0" collapsed="false">
      <c r="A42" s="20" t="s">
        <v>673</v>
      </c>
      <c r="B42" s="16" t="s">
        <v>674</v>
      </c>
      <c r="C42" s="16" t="s">
        <v>54</v>
      </c>
      <c r="D42" s="16"/>
      <c r="E42" s="16"/>
      <c r="F42" s="16"/>
      <c r="G42" s="16"/>
      <c r="H42" s="16"/>
      <c r="I42" s="16"/>
      <c r="J42" s="16"/>
      <c r="K42" s="16"/>
      <c r="L42" s="16"/>
      <c r="M42" s="16"/>
      <c r="N42" s="16"/>
      <c r="O42" s="21" t="str">
        <f aca="false">IF($A42="","",IF($C42="Transactional","10 records, or all if fewer",IF($C42="Artifact","NO record sample. Grade every register row on this pull.",IF($C42="Event","last 3 occurrences, or all if fewer","PICK A SAMPLE CLASS"))))</f>
        <v>10 records, or all if fewer</v>
      </c>
      <c r="P42" s="21" t="n">
        <f aca="false">IF(TRIM(G42)="",0,LEN(TRIM(G42))-LEN(SUBSTITUTE(TRIM(G42),";",""))+1)</f>
        <v>0</v>
      </c>
      <c r="Q42" s="21" t="str">
        <f aca="false">IF($A42="","",IF(P42=0,"Unassigned",IF(P42=1,"Single point","Staffed")))</f>
        <v>Unassigned</v>
      </c>
      <c r="R42" s="22" t="str">
        <f aca="false">IF(OR($C42="Artifact",K42="",K42=0),"",L42/K42)</f>
        <v/>
      </c>
      <c r="S42" s="21" t="n">
        <f aca="false">IF($A42="",0,COUNTIF('Full Register'!$J$6:$J$279,$A42))</f>
        <v>0</v>
      </c>
      <c r="T42" s="21" t="n">
        <f aca="false">IF($A42="",0,COUNTIFS('Full Register'!$J$6:$J$279,$A42,'Full Register'!$O$6:$O$279,"&gt;=3"))</f>
        <v>0</v>
      </c>
      <c r="U42" s="22" t="str">
        <f aca="false">IF(OR($A42="",S42=0),"",T42/S42)</f>
        <v/>
      </c>
      <c r="V42" s="21" t="n">
        <f aca="false">IF($A42="",0,S42-COUNTIFS('Full Register'!$J$6:$J$279,$A42,'Full Register'!$K$6:$K$279,"&lt;&gt;"))</f>
        <v>0</v>
      </c>
      <c r="W42" s="21" t="str">
        <f aca="false">IF($A42="","",IF(COUNTIFS('Full Register'!$J$6:$J$279,$A42,'Full Register'!$H$6:$H$279,"Full")&gt;0,"Full","Screen"))</f>
        <v>Screen</v>
      </c>
      <c r="X42" s="21" t="str">
        <f aca="false">IF($A42="","",IF(AND(S42=0,I42="",G42=""),"Not started",IF($C42="","No sample class picked",IF(AND(W42="Full",$C42&lt;&gt;"Artifact",K42=""),"Record sample required, none recorded",IF(AND(I42&lt;&gt;"",V42&gt;0),V42&amp;" register rows on this pull still ungraded",IF(AND($C42="Transactional",K42&lt;&gt;"",K42&lt;10),"Transactional sample below 10 - say why in Notes",IF(AND($C42="Event",K42&lt;&gt;"",K42&lt;3),"Event sample below 3 - say why in Notes",IF(AND($C42&lt;&gt;"Artifact",K42&lt;&gt;"",L42=""),"Sample size with no conforming count",IF(AND($C42="Artifact",K42&lt;&gt;""),"Artifact pull: leave K and L blank, coverage is computed",IF(S42=0,"Worked but no requirement rows point at it","OK"))))))))))</f>
        <v>Not started</v>
      </c>
    </row>
    <row r="43" customFormat="false" ht="22.35" hidden="false" customHeight="false" outlineLevel="0" collapsed="false">
      <c r="A43" s="20" t="s">
        <v>675</v>
      </c>
      <c r="B43" s="16" t="s">
        <v>676</v>
      </c>
      <c r="C43" s="16" t="s">
        <v>54</v>
      </c>
      <c r="D43" s="16"/>
      <c r="E43" s="16"/>
      <c r="F43" s="16"/>
      <c r="G43" s="16"/>
      <c r="H43" s="16"/>
      <c r="I43" s="16"/>
      <c r="J43" s="16"/>
      <c r="K43" s="16"/>
      <c r="L43" s="16"/>
      <c r="M43" s="16"/>
      <c r="N43" s="16"/>
      <c r="O43" s="21" t="str">
        <f aca="false">IF($A43="","",IF($C43="Transactional","10 records, or all if fewer",IF($C43="Artifact","NO record sample. Grade every register row on this pull.",IF($C43="Event","last 3 occurrences, or all if fewer","PICK A SAMPLE CLASS"))))</f>
        <v>10 records, or all if fewer</v>
      </c>
      <c r="P43" s="21" t="n">
        <f aca="false">IF(TRIM(G43)="",0,LEN(TRIM(G43))-LEN(SUBSTITUTE(TRIM(G43),";",""))+1)</f>
        <v>0</v>
      </c>
      <c r="Q43" s="21" t="str">
        <f aca="false">IF($A43="","",IF(P43=0,"Unassigned",IF(P43=1,"Single point","Staffed")))</f>
        <v>Unassigned</v>
      </c>
      <c r="R43" s="22" t="str">
        <f aca="false">IF(OR($C43="Artifact",K43="",K43=0),"",L43/K43)</f>
        <v/>
      </c>
      <c r="S43" s="21" t="n">
        <f aca="false">IF($A43="",0,COUNTIF('Full Register'!$J$6:$J$279,$A43))</f>
        <v>0</v>
      </c>
      <c r="T43" s="21" t="n">
        <f aca="false">IF($A43="",0,COUNTIFS('Full Register'!$J$6:$J$279,$A43,'Full Register'!$O$6:$O$279,"&gt;=3"))</f>
        <v>0</v>
      </c>
      <c r="U43" s="22" t="str">
        <f aca="false">IF(OR($A43="",S43=0),"",T43/S43)</f>
        <v/>
      </c>
      <c r="V43" s="21" t="n">
        <f aca="false">IF($A43="",0,S43-COUNTIFS('Full Register'!$J$6:$J$279,$A43,'Full Register'!$K$6:$K$279,"&lt;&gt;"))</f>
        <v>0</v>
      </c>
      <c r="W43" s="21" t="str">
        <f aca="false">IF($A43="","",IF(COUNTIFS('Full Register'!$J$6:$J$279,$A43,'Full Register'!$H$6:$H$279,"Full")&gt;0,"Full","Screen"))</f>
        <v>Screen</v>
      </c>
      <c r="X43" s="21" t="str">
        <f aca="false">IF($A43="","",IF(AND(S43=0,I43="",G43=""),"Not started",IF($C43="","No sample class picked",IF(AND(W43="Full",$C43&lt;&gt;"Artifact",K43=""),"Record sample required, none recorded",IF(AND(I43&lt;&gt;"",V43&gt;0),V43&amp;" register rows on this pull still ungraded",IF(AND($C43="Transactional",K43&lt;&gt;"",K43&lt;10),"Transactional sample below 10 - say why in Notes",IF(AND($C43="Event",K43&lt;&gt;"",K43&lt;3),"Event sample below 3 - say why in Notes",IF(AND($C43&lt;&gt;"Artifact",K43&lt;&gt;"",L43=""),"Sample size with no conforming count",IF(AND($C43="Artifact",K43&lt;&gt;""),"Artifact pull: leave K and L blank, coverage is computed",IF(S43=0,"Worked but no requirement rows point at it","OK"))))))))))</f>
        <v>Not started</v>
      </c>
    </row>
    <row r="44" customFormat="false" ht="22.35" hidden="false" customHeight="false" outlineLevel="0" collapsed="false">
      <c r="A44" s="20" t="s">
        <v>677</v>
      </c>
      <c r="B44" s="16" t="s">
        <v>678</v>
      </c>
      <c r="C44" s="16" t="s">
        <v>57</v>
      </c>
      <c r="D44" s="16"/>
      <c r="E44" s="16"/>
      <c r="F44" s="16"/>
      <c r="G44" s="16"/>
      <c r="H44" s="16"/>
      <c r="I44" s="16"/>
      <c r="J44" s="16"/>
      <c r="K44" s="16"/>
      <c r="L44" s="16"/>
      <c r="M44" s="16"/>
      <c r="N44" s="16"/>
      <c r="O44" s="21" t="str">
        <f aca="false">IF($A44="","",IF($C44="Transactional","10 records, or all if fewer",IF($C44="Artifact","NO record sample. Grade every register row on this pull.",IF($C44="Event","last 3 occurrences, or all if fewer","PICK A SAMPLE CLASS"))))</f>
        <v>last 3 occurrences, or all if fewer</v>
      </c>
      <c r="P44" s="21" t="n">
        <f aca="false">IF(TRIM(G44)="",0,LEN(TRIM(G44))-LEN(SUBSTITUTE(TRIM(G44),";",""))+1)</f>
        <v>0</v>
      </c>
      <c r="Q44" s="21" t="str">
        <f aca="false">IF($A44="","",IF(P44=0,"Unassigned",IF(P44=1,"Single point","Staffed")))</f>
        <v>Unassigned</v>
      </c>
      <c r="R44" s="22" t="str">
        <f aca="false">IF(OR($C44="Artifact",K44="",K44=0),"",L44/K44)</f>
        <v/>
      </c>
      <c r="S44" s="21" t="n">
        <f aca="false">IF($A44="",0,COUNTIF('Full Register'!$J$6:$J$279,$A44))</f>
        <v>0</v>
      </c>
      <c r="T44" s="21" t="n">
        <f aca="false">IF($A44="",0,COUNTIFS('Full Register'!$J$6:$J$279,$A44,'Full Register'!$O$6:$O$279,"&gt;=3"))</f>
        <v>0</v>
      </c>
      <c r="U44" s="22" t="str">
        <f aca="false">IF(OR($A44="",S44=0),"",T44/S44)</f>
        <v/>
      </c>
      <c r="V44" s="21" t="n">
        <f aca="false">IF($A44="",0,S44-COUNTIFS('Full Register'!$J$6:$J$279,$A44,'Full Register'!$K$6:$K$279,"&lt;&gt;"))</f>
        <v>0</v>
      </c>
      <c r="W44" s="21" t="str">
        <f aca="false">IF($A44="","",IF(COUNTIFS('Full Register'!$J$6:$J$279,$A44,'Full Register'!$H$6:$H$279,"Full")&gt;0,"Full","Screen"))</f>
        <v>Screen</v>
      </c>
      <c r="X44" s="21" t="str">
        <f aca="false">IF($A44="","",IF(AND(S44=0,I44="",G44=""),"Not started",IF($C44="","No sample class picked",IF(AND(W44="Full",$C44&lt;&gt;"Artifact",K44=""),"Record sample required, none recorded",IF(AND(I44&lt;&gt;"",V44&gt;0),V44&amp;" register rows on this pull still ungraded",IF(AND($C44="Transactional",K44&lt;&gt;"",K44&lt;10),"Transactional sample below 10 - say why in Notes",IF(AND($C44="Event",K44&lt;&gt;"",K44&lt;3),"Event sample below 3 - say why in Notes",IF(AND($C44&lt;&gt;"Artifact",K44&lt;&gt;"",L44=""),"Sample size with no conforming count",IF(AND($C44="Artifact",K44&lt;&gt;""),"Artifact pull: leave K and L blank, coverage is computed",IF(S44=0,"Worked but no requirement rows point at it","OK"))))))))))</f>
        <v>Not started</v>
      </c>
    </row>
    <row r="45" customFormat="false" ht="15" hidden="false" customHeight="false" outlineLevel="0" collapsed="false">
      <c r="A45" s="20" t="s">
        <v>679</v>
      </c>
      <c r="B45" s="16" t="s">
        <v>680</v>
      </c>
      <c r="C45" s="16" t="s">
        <v>54</v>
      </c>
      <c r="D45" s="16"/>
      <c r="E45" s="16"/>
      <c r="F45" s="16"/>
      <c r="G45" s="16"/>
      <c r="H45" s="16"/>
      <c r="I45" s="16"/>
      <c r="J45" s="16"/>
      <c r="K45" s="16"/>
      <c r="L45" s="16"/>
      <c r="M45" s="16"/>
      <c r="N45" s="16"/>
      <c r="O45" s="21" t="str">
        <f aca="false">IF($A45="","",IF($C45="Transactional","10 records, or all if fewer",IF($C45="Artifact","NO record sample. Grade every register row on this pull.",IF($C45="Event","last 3 occurrences, or all if fewer","PICK A SAMPLE CLASS"))))</f>
        <v>10 records, or all if fewer</v>
      </c>
      <c r="P45" s="21" t="n">
        <f aca="false">IF(TRIM(G45)="",0,LEN(TRIM(G45))-LEN(SUBSTITUTE(TRIM(G45),";",""))+1)</f>
        <v>0</v>
      </c>
      <c r="Q45" s="21" t="str">
        <f aca="false">IF($A45="","",IF(P45=0,"Unassigned",IF(P45=1,"Single point","Staffed")))</f>
        <v>Unassigned</v>
      </c>
      <c r="R45" s="22" t="str">
        <f aca="false">IF(OR($C45="Artifact",K45="",K45=0),"",L45/K45)</f>
        <v/>
      </c>
      <c r="S45" s="21" t="n">
        <f aca="false">IF($A45="",0,COUNTIF('Full Register'!$J$6:$J$279,$A45))</f>
        <v>0</v>
      </c>
      <c r="T45" s="21" t="n">
        <f aca="false">IF($A45="",0,COUNTIFS('Full Register'!$J$6:$J$279,$A45,'Full Register'!$O$6:$O$279,"&gt;=3"))</f>
        <v>0</v>
      </c>
      <c r="U45" s="22" t="str">
        <f aca="false">IF(OR($A45="",S45=0),"",T45/S45)</f>
        <v/>
      </c>
      <c r="V45" s="21" t="n">
        <f aca="false">IF($A45="",0,S45-COUNTIFS('Full Register'!$J$6:$J$279,$A45,'Full Register'!$K$6:$K$279,"&lt;&gt;"))</f>
        <v>0</v>
      </c>
      <c r="W45" s="21" t="str">
        <f aca="false">IF($A45="","",IF(COUNTIFS('Full Register'!$J$6:$J$279,$A45,'Full Register'!$H$6:$H$279,"Full")&gt;0,"Full","Screen"))</f>
        <v>Screen</v>
      </c>
      <c r="X45" s="21" t="str">
        <f aca="false">IF($A45="","",IF(AND(S45=0,I45="",G45=""),"Not started",IF($C45="","No sample class picked",IF(AND(W45="Full",$C45&lt;&gt;"Artifact",K45=""),"Record sample required, none recorded",IF(AND(I45&lt;&gt;"",V45&gt;0),V45&amp;" register rows on this pull still ungraded",IF(AND($C45="Transactional",K45&lt;&gt;"",K45&lt;10),"Transactional sample below 10 - say why in Notes",IF(AND($C45="Event",K45&lt;&gt;"",K45&lt;3),"Event sample below 3 - say why in Notes",IF(AND($C45&lt;&gt;"Artifact",K45&lt;&gt;"",L45=""),"Sample size with no conforming count",IF(AND($C45="Artifact",K45&lt;&gt;""),"Artifact pull: leave K and L blank, coverage is computed",IF(S45=0,"Worked but no requirement rows point at it","OK"))))))))))</f>
        <v>Not started</v>
      </c>
    </row>
    <row r="46" customFormat="false" ht="22.35" hidden="false" customHeight="false" outlineLevel="0" collapsed="false">
      <c r="A46" s="20" t="s">
        <v>681</v>
      </c>
      <c r="B46" s="16" t="s">
        <v>682</v>
      </c>
      <c r="C46" s="16" t="s">
        <v>60</v>
      </c>
      <c r="D46" s="16"/>
      <c r="E46" s="16"/>
      <c r="F46" s="16"/>
      <c r="G46" s="16"/>
      <c r="H46" s="16"/>
      <c r="I46" s="16"/>
      <c r="J46" s="16"/>
      <c r="K46" s="16"/>
      <c r="L46" s="16"/>
      <c r="M46" s="16"/>
      <c r="N46" s="16"/>
      <c r="O46" s="21" t="str">
        <f aca="false">IF($A46="","",IF($C46="Transactional","10 records, or all if fewer",IF($C46="Artifact","NO record sample. Grade every register row on this pull.",IF($C46="Event","last 3 occurrences, or all if fewer","PICK A SAMPLE CLASS"))))</f>
        <v>NO record sample. Grade every register row on this pull.</v>
      </c>
      <c r="P46" s="21" t="n">
        <f aca="false">IF(TRIM(G46)="",0,LEN(TRIM(G46))-LEN(SUBSTITUTE(TRIM(G46),";",""))+1)</f>
        <v>0</v>
      </c>
      <c r="Q46" s="21" t="str">
        <f aca="false">IF($A46="","",IF(P46=0,"Unassigned",IF(P46=1,"Single point","Staffed")))</f>
        <v>Unassigned</v>
      </c>
      <c r="R46" s="22" t="str">
        <f aca="false">IF(OR($C46="Artifact",K46="",K46=0),"",L46/K46)</f>
        <v/>
      </c>
      <c r="S46" s="21" t="n">
        <f aca="false">IF($A46="",0,COUNTIF('Full Register'!$J$6:$J$279,$A46))</f>
        <v>0</v>
      </c>
      <c r="T46" s="21" t="n">
        <f aca="false">IF($A46="",0,COUNTIFS('Full Register'!$J$6:$J$279,$A46,'Full Register'!$O$6:$O$279,"&gt;=3"))</f>
        <v>0</v>
      </c>
      <c r="U46" s="22" t="str">
        <f aca="false">IF(OR($A46="",S46=0),"",T46/S46)</f>
        <v/>
      </c>
      <c r="V46" s="21" t="n">
        <f aca="false">IF($A46="",0,S46-COUNTIFS('Full Register'!$J$6:$J$279,$A46,'Full Register'!$K$6:$K$279,"&lt;&gt;"))</f>
        <v>0</v>
      </c>
      <c r="W46" s="21" t="str">
        <f aca="false">IF($A46="","",IF(COUNTIFS('Full Register'!$J$6:$J$279,$A46,'Full Register'!$H$6:$H$279,"Full")&gt;0,"Full","Screen"))</f>
        <v>Screen</v>
      </c>
      <c r="X46" s="21" t="str">
        <f aca="false">IF($A46="","",IF(AND(S46=0,I46="",G46=""),"Not started",IF($C46="","No sample class picked",IF(AND(W46="Full",$C46&lt;&gt;"Artifact",K46=""),"Record sample required, none recorded",IF(AND(I46&lt;&gt;"",V46&gt;0),V46&amp;" register rows on this pull still ungraded",IF(AND($C46="Transactional",K46&lt;&gt;"",K46&lt;10),"Transactional sample below 10 - say why in Notes",IF(AND($C46="Event",K46&lt;&gt;"",K46&lt;3),"Event sample below 3 - say why in Notes",IF(AND($C46&lt;&gt;"Artifact",K46&lt;&gt;"",L46=""),"Sample size with no conforming count",IF(AND($C46="Artifact",K46&lt;&gt;""),"Artifact pull: leave K and L blank, coverage is computed",IF(S46=0,"Worked but no requirement rows point at it","OK"))))))))))</f>
        <v>Not started</v>
      </c>
    </row>
    <row r="47" customFormat="false" ht="15" hidden="false" customHeight="false" outlineLevel="0" collapsed="false">
      <c r="A47" s="20" t="s">
        <v>683</v>
      </c>
      <c r="B47" s="16" t="s">
        <v>684</v>
      </c>
      <c r="C47" s="16" t="s">
        <v>54</v>
      </c>
      <c r="D47" s="16"/>
      <c r="E47" s="16"/>
      <c r="F47" s="16"/>
      <c r="G47" s="16"/>
      <c r="H47" s="16"/>
      <c r="I47" s="16"/>
      <c r="J47" s="16"/>
      <c r="K47" s="16"/>
      <c r="L47" s="16"/>
      <c r="M47" s="16"/>
      <c r="N47" s="16"/>
      <c r="O47" s="21" t="str">
        <f aca="false">IF($A47="","",IF($C47="Transactional","10 records, or all if fewer",IF($C47="Artifact","NO record sample. Grade every register row on this pull.",IF($C47="Event","last 3 occurrences, or all if fewer","PICK A SAMPLE CLASS"))))</f>
        <v>10 records, or all if fewer</v>
      </c>
      <c r="P47" s="21" t="n">
        <f aca="false">IF(TRIM(G47)="",0,LEN(TRIM(G47))-LEN(SUBSTITUTE(TRIM(G47),";",""))+1)</f>
        <v>0</v>
      </c>
      <c r="Q47" s="21" t="str">
        <f aca="false">IF($A47="","",IF(P47=0,"Unassigned",IF(P47=1,"Single point","Staffed")))</f>
        <v>Unassigned</v>
      </c>
      <c r="R47" s="22" t="str">
        <f aca="false">IF(OR($C47="Artifact",K47="",K47=0),"",L47/K47)</f>
        <v/>
      </c>
      <c r="S47" s="21" t="n">
        <f aca="false">IF($A47="",0,COUNTIF('Full Register'!$J$6:$J$279,$A47))</f>
        <v>0</v>
      </c>
      <c r="T47" s="21" t="n">
        <f aca="false">IF($A47="",0,COUNTIFS('Full Register'!$J$6:$J$279,$A47,'Full Register'!$O$6:$O$279,"&gt;=3"))</f>
        <v>0</v>
      </c>
      <c r="U47" s="22" t="str">
        <f aca="false">IF(OR($A47="",S47=0),"",T47/S47)</f>
        <v/>
      </c>
      <c r="V47" s="21" t="n">
        <f aca="false">IF($A47="",0,S47-COUNTIFS('Full Register'!$J$6:$J$279,$A47,'Full Register'!$K$6:$K$279,"&lt;&gt;"))</f>
        <v>0</v>
      </c>
      <c r="W47" s="21" t="str">
        <f aca="false">IF($A47="","",IF(COUNTIFS('Full Register'!$J$6:$J$279,$A47,'Full Register'!$H$6:$H$279,"Full")&gt;0,"Full","Screen"))</f>
        <v>Screen</v>
      </c>
      <c r="X47" s="21" t="str">
        <f aca="false">IF($A47="","",IF(AND(S47=0,I47="",G47=""),"Not started",IF($C47="","No sample class picked",IF(AND(W47="Full",$C47&lt;&gt;"Artifact",K47=""),"Record sample required, none recorded",IF(AND(I47&lt;&gt;"",V47&gt;0),V47&amp;" register rows on this pull still ungraded",IF(AND($C47="Transactional",K47&lt;&gt;"",K47&lt;10),"Transactional sample below 10 - say why in Notes",IF(AND($C47="Event",K47&lt;&gt;"",K47&lt;3),"Event sample below 3 - say why in Notes",IF(AND($C47&lt;&gt;"Artifact",K47&lt;&gt;"",L47=""),"Sample size with no conforming count",IF(AND($C47="Artifact",K47&lt;&gt;""),"Artifact pull: leave K and L blank, coverage is computed",IF(S47=0,"Worked but no requirement rows point at it","OK"))))))))))</f>
        <v>Not started</v>
      </c>
    </row>
    <row r="48" customFormat="false" ht="15" hidden="false" customHeight="false" outlineLevel="0" collapsed="false">
      <c r="A48" s="20" t="s">
        <v>685</v>
      </c>
      <c r="B48" s="16" t="s">
        <v>686</v>
      </c>
      <c r="C48" s="16" t="s">
        <v>54</v>
      </c>
      <c r="D48" s="16"/>
      <c r="E48" s="16"/>
      <c r="F48" s="16"/>
      <c r="G48" s="16"/>
      <c r="H48" s="16"/>
      <c r="I48" s="16"/>
      <c r="J48" s="16"/>
      <c r="K48" s="16"/>
      <c r="L48" s="16"/>
      <c r="M48" s="16"/>
      <c r="N48" s="16"/>
      <c r="O48" s="21" t="str">
        <f aca="false">IF($A48="","",IF($C48="Transactional","10 records, or all if fewer",IF($C48="Artifact","NO record sample. Grade every register row on this pull.",IF($C48="Event","last 3 occurrences, or all if fewer","PICK A SAMPLE CLASS"))))</f>
        <v>10 records, or all if fewer</v>
      </c>
      <c r="P48" s="21" t="n">
        <f aca="false">IF(TRIM(G48)="",0,LEN(TRIM(G48))-LEN(SUBSTITUTE(TRIM(G48),";",""))+1)</f>
        <v>0</v>
      </c>
      <c r="Q48" s="21" t="str">
        <f aca="false">IF($A48="","",IF(P48=0,"Unassigned",IF(P48=1,"Single point","Staffed")))</f>
        <v>Unassigned</v>
      </c>
      <c r="R48" s="22" t="str">
        <f aca="false">IF(OR($C48="Artifact",K48="",K48=0),"",L48/K48)</f>
        <v/>
      </c>
      <c r="S48" s="21" t="n">
        <f aca="false">IF($A48="",0,COUNTIF('Full Register'!$J$6:$J$279,$A48))</f>
        <v>0</v>
      </c>
      <c r="T48" s="21" t="n">
        <f aca="false">IF($A48="",0,COUNTIFS('Full Register'!$J$6:$J$279,$A48,'Full Register'!$O$6:$O$279,"&gt;=3"))</f>
        <v>0</v>
      </c>
      <c r="U48" s="22" t="str">
        <f aca="false">IF(OR($A48="",S48=0),"",T48/S48)</f>
        <v/>
      </c>
      <c r="V48" s="21" t="n">
        <f aca="false">IF($A48="",0,S48-COUNTIFS('Full Register'!$J$6:$J$279,$A48,'Full Register'!$K$6:$K$279,"&lt;&gt;"))</f>
        <v>0</v>
      </c>
      <c r="W48" s="21" t="str">
        <f aca="false">IF($A48="","",IF(COUNTIFS('Full Register'!$J$6:$J$279,$A48,'Full Register'!$H$6:$H$279,"Full")&gt;0,"Full","Screen"))</f>
        <v>Screen</v>
      </c>
      <c r="X48" s="21" t="str">
        <f aca="false">IF($A48="","",IF(AND(S48=0,I48="",G48=""),"Not started",IF($C48="","No sample class picked",IF(AND(W48="Full",$C48&lt;&gt;"Artifact",K48=""),"Record sample required, none recorded",IF(AND(I48&lt;&gt;"",V48&gt;0),V48&amp;" register rows on this pull still ungraded",IF(AND($C48="Transactional",K48&lt;&gt;"",K48&lt;10),"Transactional sample below 10 - say why in Notes",IF(AND($C48="Event",K48&lt;&gt;"",K48&lt;3),"Event sample below 3 - say why in Notes",IF(AND($C48&lt;&gt;"Artifact",K48&lt;&gt;"",L48=""),"Sample size with no conforming count",IF(AND($C48="Artifact",K48&lt;&gt;""),"Artifact pull: leave K and L blank, coverage is computed",IF(S48=0,"Worked but no requirement rows point at it","OK"))))))))))</f>
        <v>Not started</v>
      </c>
    </row>
    <row r="49" customFormat="false" ht="22.35" hidden="false" customHeight="false" outlineLevel="0" collapsed="false">
      <c r="A49" s="20" t="s">
        <v>687</v>
      </c>
      <c r="B49" s="16" t="s">
        <v>688</v>
      </c>
      <c r="C49" s="16" t="s">
        <v>57</v>
      </c>
      <c r="D49" s="16"/>
      <c r="E49" s="16"/>
      <c r="F49" s="16"/>
      <c r="G49" s="16"/>
      <c r="H49" s="16"/>
      <c r="I49" s="16"/>
      <c r="J49" s="16"/>
      <c r="K49" s="16"/>
      <c r="L49" s="16"/>
      <c r="M49" s="16"/>
      <c r="N49" s="16"/>
      <c r="O49" s="21" t="str">
        <f aca="false">IF($A49="","",IF($C49="Transactional","10 records, or all if fewer",IF($C49="Artifact","NO record sample. Grade every register row on this pull.",IF($C49="Event","last 3 occurrences, or all if fewer","PICK A SAMPLE CLASS"))))</f>
        <v>last 3 occurrences, or all if fewer</v>
      </c>
      <c r="P49" s="21" t="n">
        <f aca="false">IF(TRIM(G49)="",0,LEN(TRIM(G49))-LEN(SUBSTITUTE(TRIM(G49),";",""))+1)</f>
        <v>0</v>
      </c>
      <c r="Q49" s="21" t="str">
        <f aca="false">IF($A49="","",IF(P49=0,"Unassigned",IF(P49=1,"Single point","Staffed")))</f>
        <v>Unassigned</v>
      </c>
      <c r="R49" s="22" t="str">
        <f aca="false">IF(OR($C49="Artifact",K49="",K49=0),"",L49/K49)</f>
        <v/>
      </c>
      <c r="S49" s="21" t="n">
        <f aca="false">IF($A49="",0,COUNTIF('Full Register'!$J$6:$J$279,$A49))</f>
        <v>0</v>
      </c>
      <c r="T49" s="21" t="n">
        <f aca="false">IF($A49="",0,COUNTIFS('Full Register'!$J$6:$J$279,$A49,'Full Register'!$O$6:$O$279,"&gt;=3"))</f>
        <v>0</v>
      </c>
      <c r="U49" s="22" t="str">
        <f aca="false">IF(OR($A49="",S49=0),"",T49/S49)</f>
        <v/>
      </c>
      <c r="V49" s="21" t="n">
        <f aca="false">IF($A49="",0,S49-COUNTIFS('Full Register'!$J$6:$J$279,$A49,'Full Register'!$K$6:$K$279,"&lt;&gt;"))</f>
        <v>0</v>
      </c>
      <c r="W49" s="21" t="str">
        <f aca="false">IF($A49="","",IF(COUNTIFS('Full Register'!$J$6:$J$279,$A49,'Full Register'!$H$6:$H$279,"Full")&gt;0,"Full","Screen"))</f>
        <v>Screen</v>
      </c>
      <c r="X49" s="21" t="str">
        <f aca="false">IF($A49="","",IF(AND(S49=0,I49="",G49=""),"Not started",IF($C49="","No sample class picked",IF(AND(W49="Full",$C49&lt;&gt;"Artifact",K49=""),"Record sample required, none recorded",IF(AND(I49&lt;&gt;"",V49&gt;0),V49&amp;" register rows on this pull still ungraded",IF(AND($C49="Transactional",K49&lt;&gt;"",K49&lt;10),"Transactional sample below 10 - say why in Notes",IF(AND($C49="Event",K49&lt;&gt;"",K49&lt;3),"Event sample below 3 - say why in Notes",IF(AND($C49&lt;&gt;"Artifact",K49&lt;&gt;"",L49=""),"Sample size with no conforming count",IF(AND($C49="Artifact",K49&lt;&gt;""),"Artifact pull: leave K and L blank, coverage is computed",IF(S49=0,"Worked but no requirement rows point at it","OK"))))))))))</f>
        <v>Not started</v>
      </c>
    </row>
    <row r="50" customFormat="false" ht="22.35" hidden="false" customHeight="false" outlineLevel="0" collapsed="false">
      <c r="A50" s="20" t="s">
        <v>689</v>
      </c>
      <c r="B50" s="16" t="s">
        <v>690</v>
      </c>
      <c r="C50" s="16" t="s">
        <v>57</v>
      </c>
      <c r="D50" s="16"/>
      <c r="E50" s="16"/>
      <c r="F50" s="16"/>
      <c r="G50" s="16"/>
      <c r="H50" s="16"/>
      <c r="I50" s="16"/>
      <c r="J50" s="16"/>
      <c r="K50" s="16"/>
      <c r="L50" s="16"/>
      <c r="M50" s="16"/>
      <c r="N50" s="16"/>
      <c r="O50" s="21" t="str">
        <f aca="false">IF($A50="","",IF($C50="Transactional","10 records, or all if fewer",IF($C50="Artifact","NO record sample. Grade every register row on this pull.",IF($C50="Event","last 3 occurrences, or all if fewer","PICK A SAMPLE CLASS"))))</f>
        <v>last 3 occurrences, or all if fewer</v>
      </c>
      <c r="P50" s="21" t="n">
        <f aca="false">IF(TRIM(G50)="",0,LEN(TRIM(G50))-LEN(SUBSTITUTE(TRIM(G50),";",""))+1)</f>
        <v>0</v>
      </c>
      <c r="Q50" s="21" t="str">
        <f aca="false">IF($A50="","",IF(P50=0,"Unassigned",IF(P50=1,"Single point","Staffed")))</f>
        <v>Unassigned</v>
      </c>
      <c r="R50" s="22" t="str">
        <f aca="false">IF(OR($C50="Artifact",K50="",K50=0),"",L50/K50)</f>
        <v/>
      </c>
      <c r="S50" s="21" t="n">
        <f aca="false">IF($A50="",0,COUNTIF('Full Register'!$J$6:$J$279,$A50))</f>
        <v>0</v>
      </c>
      <c r="T50" s="21" t="n">
        <f aca="false">IF($A50="",0,COUNTIFS('Full Register'!$J$6:$J$279,$A50,'Full Register'!$O$6:$O$279,"&gt;=3"))</f>
        <v>0</v>
      </c>
      <c r="U50" s="22" t="str">
        <f aca="false">IF(OR($A50="",S50=0),"",T50/S50)</f>
        <v/>
      </c>
      <c r="V50" s="21" t="n">
        <f aca="false">IF($A50="",0,S50-COUNTIFS('Full Register'!$J$6:$J$279,$A50,'Full Register'!$K$6:$K$279,"&lt;&gt;"))</f>
        <v>0</v>
      </c>
      <c r="W50" s="21" t="str">
        <f aca="false">IF($A50="","",IF(COUNTIFS('Full Register'!$J$6:$J$279,$A50,'Full Register'!$H$6:$H$279,"Full")&gt;0,"Full","Screen"))</f>
        <v>Screen</v>
      </c>
      <c r="X50" s="21" t="str">
        <f aca="false">IF($A50="","",IF(AND(S50=0,I50="",G50=""),"Not started",IF($C50="","No sample class picked",IF(AND(W50="Full",$C50&lt;&gt;"Artifact",K50=""),"Record sample required, none recorded",IF(AND(I50&lt;&gt;"",V50&gt;0),V50&amp;" register rows on this pull still ungraded",IF(AND($C50="Transactional",K50&lt;&gt;"",K50&lt;10),"Transactional sample below 10 - say why in Notes",IF(AND($C50="Event",K50&lt;&gt;"",K50&lt;3),"Event sample below 3 - say why in Notes",IF(AND($C50&lt;&gt;"Artifact",K50&lt;&gt;"",L50=""),"Sample size with no conforming count",IF(AND($C50="Artifact",K50&lt;&gt;""),"Artifact pull: leave K and L blank, coverage is computed",IF(S50=0,"Worked but no requirement rows point at it","OK"))))))))))</f>
        <v>Not started</v>
      </c>
    </row>
    <row r="51" customFormat="false" ht="15" hidden="false" customHeight="false" outlineLevel="0" collapsed="false">
      <c r="A51" s="20" t="s">
        <v>691</v>
      </c>
      <c r="B51" s="16" t="s">
        <v>692</v>
      </c>
      <c r="C51" s="16" t="s">
        <v>57</v>
      </c>
      <c r="D51" s="16"/>
      <c r="E51" s="16"/>
      <c r="F51" s="16"/>
      <c r="G51" s="16"/>
      <c r="H51" s="16"/>
      <c r="I51" s="16"/>
      <c r="J51" s="16"/>
      <c r="K51" s="16"/>
      <c r="L51" s="16"/>
      <c r="M51" s="16"/>
      <c r="N51" s="16"/>
      <c r="O51" s="21" t="str">
        <f aca="false">IF($A51="","",IF($C51="Transactional","10 records, or all if fewer",IF($C51="Artifact","NO record sample. Grade every register row on this pull.",IF($C51="Event","last 3 occurrences, or all if fewer","PICK A SAMPLE CLASS"))))</f>
        <v>last 3 occurrences, or all if fewer</v>
      </c>
      <c r="P51" s="21" t="n">
        <f aca="false">IF(TRIM(G51)="",0,LEN(TRIM(G51))-LEN(SUBSTITUTE(TRIM(G51),";",""))+1)</f>
        <v>0</v>
      </c>
      <c r="Q51" s="21" t="str">
        <f aca="false">IF($A51="","",IF(P51=0,"Unassigned",IF(P51=1,"Single point","Staffed")))</f>
        <v>Unassigned</v>
      </c>
      <c r="R51" s="22" t="str">
        <f aca="false">IF(OR($C51="Artifact",K51="",K51=0),"",L51/K51)</f>
        <v/>
      </c>
      <c r="S51" s="21" t="n">
        <f aca="false">IF($A51="",0,COUNTIF('Full Register'!$J$6:$J$279,$A51))</f>
        <v>0</v>
      </c>
      <c r="T51" s="21" t="n">
        <f aca="false">IF($A51="",0,COUNTIFS('Full Register'!$J$6:$J$279,$A51,'Full Register'!$O$6:$O$279,"&gt;=3"))</f>
        <v>0</v>
      </c>
      <c r="U51" s="22" t="str">
        <f aca="false">IF(OR($A51="",S51=0),"",T51/S51)</f>
        <v/>
      </c>
      <c r="V51" s="21" t="n">
        <f aca="false">IF($A51="",0,S51-COUNTIFS('Full Register'!$J$6:$J$279,$A51,'Full Register'!$K$6:$K$279,"&lt;&gt;"))</f>
        <v>0</v>
      </c>
      <c r="W51" s="21" t="str">
        <f aca="false">IF($A51="","",IF(COUNTIFS('Full Register'!$J$6:$J$279,$A51,'Full Register'!$H$6:$H$279,"Full")&gt;0,"Full","Screen"))</f>
        <v>Screen</v>
      </c>
      <c r="X51" s="21" t="str">
        <f aca="false">IF($A51="","",IF(AND(S51=0,I51="",G51=""),"Not started",IF($C51="","No sample class picked",IF(AND(W51="Full",$C51&lt;&gt;"Artifact",K51=""),"Record sample required, none recorded",IF(AND(I51&lt;&gt;"",V51&gt;0),V51&amp;" register rows on this pull still ungraded",IF(AND($C51="Transactional",K51&lt;&gt;"",K51&lt;10),"Transactional sample below 10 - say why in Notes",IF(AND($C51="Event",K51&lt;&gt;"",K51&lt;3),"Event sample below 3 - say why in Notes",IF(AND($C51&lt;&gt;"Artifact",K51&lt;&gt;"",L51=""),"Sample size with no conforming count",IF(AND($C51="Artifact",K51&lt;&gt;""),"Artifact pull: leave K and L blank, coverage is computed",IF(S51=0,"Worked but no requirement rows point at it","OK"))))))))))</f>
        <v>Not started</v>
      </c>
    </row>
    <row r="52" customFormat="false" ht="22.35" hidden="false" customHeight="false" outlineLevel="0" collapsed="false">
      <c r="A52" s="20" t="s">
        <v>693</v>
      </c>
      <c r="B52" s="16" t="s">
        <v>694</v>
      </c>
      <c r="C52" s="16" t="s">
        <v>57</v>
      </c>
      <c r="D52" s="16"/>
      <c r="E52" s="16"/>
      <c r="F52" s="16"/>
      <c r="G52" s="16"/>
      <c r="H52" s="16"/>
      <c r="I52" s="16"/>
      <c r="J52" s="16"/>
      <c r="K52" s="16"/>
      <c r="L52" s="16"/>
      <c r="M52" s="16"/>
      <c r="N52" s="16"/>
      <c r="O52" s="21" t="str">
        <f aca="false">IF($A52="","",IF($C52="Transactional","10 records, or all if fewer",IF($C52="Artifact","NO record sample. Grade every register row on this pull.",IF($C52="Event","last 3 occurrences, or all if fewer","PICK A SAMPLE CLASS"))))</f>
        <v>last 3 occurrences, or all if fewer</v>
      </c>
      <c r="P52" s="21" t="n">
        <f aca="false">IF(TRIM(G52)="",0,LEN(TRIM(G52))-LEN(SUBSTITUTE(TRIM(G52),";",""))+1)</f>
        <v>0</v>
      </c>
      <c r="Q52" s="21" t="str">
        <f aca="false">IF($A52="","",IF(P52=0,"Unassigned",IF(P52=1,"Single point","Staffed")))</f>
        <v>Unassigned</v>
      </c>
      <c r="R52" s="22" t="str">
        <f aca="false">IF(OR($C52="Artifact",K52="",K52=0),"",L52/K52)</f>
        <v/>
      </c>
      <c r="S52" s="21" t="n">
        <f aca="false">IF($A52="",0,COUNTIF('Full Register'!$J$6:$J$279,$A52))</f>
        <v>0</v>
      </c>
      <c r="T52" s="21" t="n">
        <f aca="false">IF($A52="",0,COUNTIFS('Full Register'!$J$6:$J$279,$A52,'Full Register'!$O$6:$O$279,"&gt;=3"))</f>
        <v>0</v>
      </c>
      <c r="U52" s="22" t="str">
        <f aca="false">IF(OR($A52="",S52=0),"",T52/S52)</f>
        <v/>
      </c>
      <c r="V52" s="21" t="n">
        <f aca="false">IF($A52="",0,S52-COUNTIFS('Full Register'!$J$6:$J$279,$A52,'Full Register'!$K$6:$K$279,"&lt;&gt;"))</f>
        <v>0</v>
      </c>
      <c r="W52" s="21" t="str">
        <f aca="false">IF($A52="","",IF(COUNTIFS('Full Register'!$J$6:$J$279,$A52,'Full Register'!$H$6:$H$279,"Full")&gt;0,"Full","Screen"))</f>
        <v>Screen</v>
      </c>
      <c r="X52" s="21" t="str">
        <f aca="false">IF($A52="","",IF(AND(S52=0,I52="",G52=""),"Not started",IF($C52="","No sample class picked",IF(AND(W52="Full",$C52&lt;&gt;"Artifact",K52=""),"Record sample required, none recorded",IF(AND(I52&lt;&gt;"",V52&gt;0),V52&amp;" register rows on this pull still ungraded",IF(AND($C52="Transactional",K52&lt;&gt;"",K52&lt;10),"Transactional sample below 10 - say why in Notes",IF(AND($C52="Event",K52&lt;&gt;"",K52&lt;3),"Event sample below 3 - say why in Notes",IF(AND($C52&lt;&gt;"Artifact",K52&lt;&gt;"",L52=""),"Sample size with no conforming count",IF(AND($C52="Artifact",K52&lt;&gt;""),"Artifact pull: leave K and L blank, coverage is computed",IF(S52=0,"Worked but no requirement rows point at it","OK"))))))))))</f>
        <v>Not started</v>
      </c>
    </row>
    <row r="53" customFormat="false" ht="22.35" hidden="false" customHeight="false" outlineLevel="0" collapsed="false">
      <c r="A53" s="20" t="s">
        <v>695</v>
      </c>
      <c r="B53" s="16" t="s">
        <v>696</v>
      </c>
      <c r="C53" s="16" t="s">
        <v>57</v>
      </c>
      <c r="D53" s="16"/>
      <c r="E53" s="16"/>
      <c r="F53" s="16"/>
      <c r="G53" s="16"/>
      <c r="H53" s="16"/>
      <c r="I53" s="16"/>
      <c r="J53" s="16"/>
      <c r="K53" s="16"/>
      <c r="L53" s="16"/>
      <c r="M53" s="16"/>
      <c r="N53" s="16"/>
      <c r="O53" s="21" t="str">
        <f aca="false">IF($A53="","",IF($C53="Transactional","10 records, or all if fewer",IF($C53="Artifact","NO record sample. Grade every register row on this pull.",IF($C53="Event","last 3 occurrences, or all if fewer","PICK A SAMPLE CLASS"))))</f>
        <v>last 3 occurrences, or all if fewer</v>
      </c>
      <c r="P53" s="21" t="n">
        <f aca="false">IF(TRIM(G53)="",0,LEN(TRIM(G53))-LEN(SUBSTITUTE(TRIM(G53),";",""))+1)</f>
        <v>0</v>
      </c>
      <c r="Q53" s="21" t="str">
        <f aca="false">IF($A53="","",IF(P53=0,"Unassigned",IF(P53=1,"Single point","Staffed")))</f>
        <v>Unassigned</v>
      </c>
      <c r="R53" s="22" t="str">
        <f aca="false">IF(OR($C53="Artifact",K53="",K53=0),"",L53/K53)</f>
        <v/>
      </c>
      <c r="S53" s="21" t="n">
        <f aca="false">IF($A53="",0,COUNTIF('Full Register'!$J$6:$J$279,$A53))</f>
        <v>0</v>
      </c>
      <c r="T53" s="21" t="n">
        <f aca="false">IF($A53="",0,COUNTIFS('Full Register'!$J$6:$J$279,$A53,'Full Register'!$O$6:$O$279,"&gt;=3"))</f>
        <v>0</v>
      </c>
      <c r="U53" s="22" t="str">
        <f aca="false">IF(OR($A53="",S53=0),"",T53/S53)</f>
        <v/>
      </c>
      <c r="V53" s="21" t="n">
        <f aca="false">IF($A53="",0,S53-COUNTIFS('Full Register'!$J$6:$J$279,$A53,'Full Register'!$K$6:$K$279,"&lt;&gt;"))</f>
        <v>0</v>
      </c>
      <c r="W53" s="21" t="str">
        <f aca="false">IF($A53="","",IF(COUNTIFS('Full Register'!$J$6:$J$279,$A53,'Full Register'!$H$6:$H$279,"Full")&gt;0,"Full","Screen"))</f>
        <v>Screen</v>
      </c>
      <c r="X53" s="21" t="str">
        <f aca="false">IF($A53="","",IF(AND(S53=0,I53="",G53=""),"Not started",IF($C53="","No sample class picked",IF(AND(W53="Full",$C53&lt;&gt;"Artifact",K53=""),"Record sample required, none recorded",IF(AND(I53&lt;&gt;"",V53&gt;0),V53&amp;" register rows on this pull still ungraded",IF(AND($C53="Transactional",K53&lt;&gt;"",K53&lt;10),"Transactional sample below 10 - say why in Notes",IF(AND($C53="Event",K53&lt;&gt;"",K53&lt;3),"Event sample below 3 - say why in Notes",IF(AND($C53&lt;&gt;"Artifact",K53&lt;&gt;"",L53=""),"Sample size with no conforming count",IF(AND($C53="Artifact",K53&lt;&gt;""),"Artifact pull: leave K and L blank, coverage is computed",IF(S53=0,"Worked but no requirement rows point at it","OK"))))))))))</f>
        <v>Not started</v>
      </c>
    </row>
    <row r="54" customFormat="false" ht="15" hidden="false" customHeight="false" outlineLevel="0" collapsed="false">
      <c r="A54" s="20" t="s">
        <v>697</v>
      </c>
      <c r="B54" s="16" t="s">
        <v>698</v>
      </c>
      <c r="C54" s="16" t="s">
        <v>57</v>
      </c>
      <c r="D54" s="16"/>
      <c r="E54" s="16"/>
      <c r="F54" s="16"/>
      <c r="G54" s="16"/>
      <c r="H54" s="16"/>
      <c r="I54" s="16"/>
      <c r="J54" s="16"/>
      <c r="K54" s="16"/>
      <c r="L54" s="16"/>
      <c r="M54" s="16"/>
      <c r="N54" s="16"/>
      <c r="O54" s="21" t="str">
        <f aca="false">IF($A54="","",IF($C54="Transactional","10 records, or all if fewer",IF($C54="Artifact","NO record sample. Grade every register row on this pull.",IF($C54="Event","last 3 occurrences, or all if fewer","PICK A SAMPLE CLASS"))))</f>
        <v>last 3 occurrences, or all if fewer</v>
      </c>
      <c r="P54" s="21" t="n">
        <f aca="false">IF(TRIM(G54)="",0,LEN(TRIM(G54))-LEN(SUBSTITUTE(TRIM(G54),";",""))+1)</f>
        <v>0</v>
      </c>
      <c r="Q54" s="21" t="str">
        <f aca="false">IF($A54="","",IF(P54=0,"Unassigned",IF(P54=1,"Single point","Staffed")))</f>
        <v>Unassigned</v>
      </c>
      <c r="R54" s="22" t="str">
        <f aca="false">IF(OR($C54="Artifact",K54="",K54=0),"",L54/K54)</f>
        <v/>
      </c>
      <c r="S54" s="21" t="n">
        <f aca="false">IF($A54="",0,COUNTIF('Full Register'!$J$6:$J$279,$A54))</f>
        <v>0</v>
      </c>
      <c r="T54" s="21" t="n">
        <f aca="false">IF($A54="",0,COUNTIFS('Full Register'!$J$6:$J$279,$A54,'Full Register'!$O$6:$O$279,"&gt;=3"))</f>
        <v>0</v>
      </c>
      <c r="U54" s="22" t="str">
        <f aca="false">IF(OR($A54="",S54=0),"",T54/S54)</f>
        <v/>
      </c>
      <c r="V54" s="21" t="n">
        <f aca="false">IF($A54="",0,S54-COUNTIFS('Full Register'!$J$6:$J$279,$A54,'Full Register'!$K$6:$K$279,"&lt;&gt;"))</f>
        <v>0</v>
      </c>
      <c r="W54" s="21" t="str">
        <f aca="false">IF($A54="","",IF(COUNTIFS('Full Register'!$J$6:$J$279,$A54,'Full Register'!$H$6:$H$279,"Full")&gt;0,"Full","Screen"))</f>
        <v>Screen</v>
      </c>
      <c r="X54" s="21" t="str">
        <f aca="false">IF($A54="","",IF(AND(S54=0,I54="",G54=""),"Not started",IF($C54="","No sample class picked",IF(AND(W54="Full",$C54&lt;&gt;"Artifact",K54=""),"Record sample required, none recorded",IF(AND(I54&lt;&gt;"",V54&gt;0),V54&amp;" register rows on this pull still ungraded",IF(AND($C54="Transactional",K54&lt;&gt;"",K54&lt;10),"Transactional sample below 10 - say why in Notes",IF(AND($C54="Event",K54&lt;&gt;"",K54&lt;3),"Event sample below 3 - say why in Notes",IF(AND($C54&lt;&gt;"Artifact",K54&lt;&gt;"",L54=""),"Sample size with no conforming count",IF(AND($C54="Artifact",K54&lt;&gt;""),"Artifact pull: leave K and L blank, coverage is computed",IF(S54=0,"Worked but no requirement rows point at it","OK"))))))))))</f>
        <v>Not started</v>
      </c>
    </row>
    <row r="55" customFormat="false" ht="22.35" hidden="false" customHeight="false" outlineLevel="0" collapsed="false">
      <c r="A55" s="20" t="s">
        <v>699</v>
      </c>
      <c r="B55" s="16" t="s">
        <v>700</v>
      </c>
      <c r="C55" s="16" t="s">
        <v>57</v>
      </c>
      <c r="D55" s="16"/>
      <c r="E55" s="16"/>
      <c r="F55" s="16"/>
      <c r="G55" s="16"/>
      <c r="H55" s="16"/>
      <c r="I55" s="16"/>
      <c r="J55" s="16"/>
      <c r="K55" s="16"/>
      <c r="L55" s="16"/>
      <c r="M55" s="16"/>
      <c r="N55" s="16"/>
      <c r="O55" s="21" t="str">
        <f aca="false">IF($A55="","",IF($C55="Transactional","10 records, or all if fewer",IF($C55="Artifact","NO record sample. Grade every register row on this pull.",IF($C55="Event","last 3 occurrences, or all if fewer","PICK A SAMPLE CLASS"))))</f>
        <v>last 3 occurrences, or all if fewer</v>
      </c>
      <c r="P55" s="21" t="n">
        <f aca="false">IF(TRIM(G55)="",0,LEN(TRIM(G55))-LEN(SUBSTITUTE(TRIM(G55),";",""))+1)</f>
        <v>0</v>
      </c>
      <c r="Q55" s="21" t="str">
        <f aca="false">IF($A55="","",IF(P55=0,"Unassigned",IF(P55=1,"Single point","Staffed")))</f>
        <v>Unassigned</v>
      </c>
      <c r="R55" s="22" t="str">
        <f aca="false">IF(OR($C55="Artifact",K55="",K55=0),"",L55/K55)</f>
        <v/>
      </c>
      <c r="S55" s="21" t="n">
        <f aca="false">IF($A55="",0,COUNTIF('Full Register'!$J$6:$J$279,$A55))</f>
        <v>0</v>
      </c>
      <c r="T55" s="21" t="n">
        <f aca="false">IF($A55="",0,COUNTIFS('Full Register'!$J$6:$J$279,$A55,'Full Register'!$O$6:$O$279,"&gt;=3"))</f>
        <v>0</v>
      </c>
      <c r="U55" s="22" t="str">
        <f aca="false">IF(OR($A55="",S55=0),"",T55/S55)</f>
        <v/>
      </c>
      <c r="V55" s="21" t="n">
        <f aca="false">IF($A55="",0,S55-COUNTIFS('Full Register'!$J$6:$J$279,$A55,'Full Register'!$K$6:$K$279,"&lt;&gt;"))</f>
        <v>0</v>
      </c>
      <c r="W55" s="21" t="str">
        <f aca="false">IF($A55="","",IF(COUNTIFS('Full Register'!$J$6:$J$279,$A55,'Full Register'!$H$6:$H$279,"Full")&gt;0,"Full","Screen"))</f>
        <v>Screen</v>
      </c>
      <c r="X55" s="21" t="str">
        <f aca="false">IF($A55="","",IF(AND(S55=0,I55="",G55=""),"Not started",IF($C55="","No sample class picked",IF(AND(W55="Full",$C55&lt;&gt;"Artifact",K55=""),"Record sample required, none recorded",IF(AND(I55&lt;&gt;"",V55&gt;0),V55&amp;" register rows on this pull still ungraded",IF(AND($C55="Transactional",K55&lt;&gt;"",K55&lt;10),"Transactional sample below 10 - say why in Notes",IF(AND($C55="Event",K55&lt;&gt;"",K55&lt;3),"Event sample below 3 - say why in Notes",IF(AND($C55&lt;&gt;"Artifact",K55&lt;&gt;"",L55=""),"Sample size with no conforming count",IF(AND($C55="Artifact",K55&lt;&gt;""),"Artifact pull: leave K and L blank, coverage is computed",IF(S55=0,"Worked but no requirement rows point at it","OK"))))))))))</f>
        <v>Not started</v>
      </c>
    </row>
    <row r="56" customFormat="false" ht="15" hidden="false" customHeight="false" outlineLevel="0" collapsed="false">
      <c r="A56" s="16"/>
      <c r="B56" s="16"/>
      <c r="C56" s="16"/>
      <c r="D56" s="16"/>
      <c r="E56" s="16"/>
      <c r="F56" s="16"/>
      <c r="G56" s="16"/>
      <c r="H56" s="16"/>
      <c r="I56" s="16"/>
      <c r="J56" s="16"/>
      <c r="K56" s="16"/>
      <c r="L56" s="16"/>
      <c r="M56" s="16"/>
      <c r="N56" s="16"/>
      <c r="O56" s="21" t="str">
        <f aca="false">IF($A56="","",IF($C56="Transactional","10 records, or all if fewer",IF($C56="Artifact","NO record sample. Grade every register row on this pull.",IF($C56="Event","last 3 occurrences, or all if fewer","PICK A SAMPLE CLASS"))))</f>
        <v/>
      </c>
      <c r="P56" s="21" t="n">
        <f aca="false">IF(TRIM(G56)="",0,LEN(TRIM(G56))-LEN(SUBSTITUTE(TRIM(G56),";",""))+1)</f>
        <v>0</v>
      </c>
      <c r="Q56" s="21" t="str">
        <f aca="false">IF($A56="","",IF(P56=0,"Unassigned",IF(P56=1,"Single point","Staffed")))</f>
        <v/>
      </c>
      <c r="R56" s="22" t="str">
        <f aca="false">IF(OR($C56="Artifact",K56="",K56=0),"",L56/K56)</f>
        <v/>
      </c>
      <c r="S56" s="21" t="n">
        <f aca="false">IF($A56="",0,COUNTIF('Full Register'!$J$6:$J$279,$A56))</f>
        <v>0</v>
      </c>
      <c r="T56" s="21" t="n">
        <f aca="false">IF($A56="",0,COUNTIFS('Full Register'!$J$6:$J$279,$A56,'Full Register'!$O$6:$O$279,"&gt;=3"))</f>
        <v>0</v>
      </c>
      <c r="U56" s="22" t="str">
        <f aca="false">IF(OR($A56="",S56=0),"",T56/S56)</f>
        <v/>
      </c>
      <c r="V56" s="21" t="n">
        <f aca="false">IF($A56="",0,S56-COUNTIFS('Full Register'!$J$6:$J$279,$A56,'Full Register'!$K$6:$K$279,"&lt;&gt;"))</f>
        <v>0</v>
      </c>
      <c r="W56" s="21" t="str">
        <f aca="false">IF($A56="","",IF(COUNTIFS('Full Register'!$J$6:$J$279,$A56,'Full Register'!$H$6:$H$279,"Full")&gt;0,"Full","Screen"))</f>
        <v/>
      </c>
      <c r="X56" s="21" t="str">
        <f aca="false">IF($A56="","",IF(AND(S56=0,I56="",G56=""),"Not started",IF($C56="","No sample class picked",IF(AND(W56="Full",$C56&lt;&gt;"Artifact",K56=""),"Record sample required, none recorded",IF(AND(I56&lt;&gt;"",V56&gt;0),V56&amp;" register rows on this pull still ungraded",IF(AND($C56="Transactional",K56&lt;&gt;"",K56&lt;10),"Transactional sample below 10 - say why in Notes",IF(AND($C56="Event",K56&lt;&gt;"",K56&lt;3),"Event sample below 3 - say why in Notes",IF(AND($C56&lt;&gt;"Artifact",K56&lt;&gt;"",L56=""),"Sample size with no conforming count",IF(AND($C56="Artifact",K56&lt;&gt;""),"Artifact pull: leave K and L blank, coverage is computed",IF(S56=0,"Worked but no requirement rows point at it","OK"))))))))))</f>
        <v/>
      </c>
    </row>
    <row r="57" customFormat="false" ht="15" hidden="false" customHeight="false" outlineLevel="0" collapsed="false">
      <c r="A57" s="16"/>
      <c r="B57" s="16"/>
      <c r="C57" s="16"/>
      <c r="D57" s="16"/>
      <c r="E57" s="16"/>
      <c r="F57" s="16"/>
      <c r="G57" s="16"/>
      <c r="H57" s="16"/>
      <c r="I57" s="16"/>
      <c r="J57" s="16"/>
      <c r="K57" s="16"/>
      <c r="L57" s="16"/>
      <c r="M57" s="16"/>
      <c r="N57" s="16"/>
      <c r="O57" s="21" t="str">
        <f aca="false">IF($A57="","",IF($C57="Transactional","10 records, or all if fewer",IF($C57="Artifact","NO record sample. Grade every register row on this pull.",IF($C57="Event","last 3 occurrences, or all if fewer","PICK A SAMPLE CLASS"))))</f>
        <v/>
      </c>
      <c r="P57" s="21" t="n">
        <f aca="false">IF(TRIM(G57)="",0,LEN(TRIM(G57))-LEN(SUBSTITUTE(TRIM(G57),";",""))+1)</f>
        <v>0</v>
      </c>
      <c r="Q57" s="21" t="str">
        <f aca="false">IF($A57="","",IF(P57=0,"Unassigned",IF(P57=1,"Single point","Staffed")))</f>
        <v/>
      </c>
      <c r="R57" s="22" t="str">
        <f aca="false">IF(OR($C57="Artifact",K57="",K57=0),"",L57/K57)</f>
        <v/>
      </c>
      <c r="S57" s="21" t="n">
        <f aca="false">IF($A57="",0,COUNTIF('Full Register'!$J$6:$J$279,$A57))</f>
        <v>0</v>
      </c>
      <c r="T57" s="21" t="n">
        <f aca="false">IF($A57="",0,COUNTIFS('Full Register'!$J$6:$J$279,$A57,'Full Register'!$O$6:$O$279,"&gt;=3"))</f>
        <v>0</v>
      </c>
      <c r="U57" s="22" t="str">
        <f aca="false">IF(OR($A57="",S57=0),"",T57/S57)</f>
        <v/>
      </c>
      <c r="V57" s="21" t="n">
        <f aca="false">IF($A57="",0,S57-COUNTIFS('Full Register'!$J$6:$J$279,$A57,'Full Register'!$K$6:$K$279,"&lt;&gt;"))</f>
        <v>0</v>
      </c>
      <c r="W57" s="21" t="str">
        <f aca="false">IF($A57="","",IF(COUNTIFS('Full Register'!$J$6:$J$279,$A57,'Full Register'!$H$6:$H$279,"Full")&gt;0,"Full","Screen"))</f>
        <v/>
      </c>
      <c r="X57" s="21" t="str">
        <f aca="false">IF($A57="","",IF(AND(S57=0,I57="",G57=""),"Not started",IF($C57="","No sample class picked",IF(AND(W57="Full",$C57&lt;&gt;"Artifact",K57=""),"Record sample required, none recorded",IF(AND(I57&lt;&gt;"",V57&gt;0),V57&amp;" register rows on this pull still ungraded",IF(AND($C57="Transactional",K57&lt;&gt;"",K57&lt;10),"Transactional sample below 10 - say why in Notes",IF(AND($C57="Event",K57&lt;&gt;"",K57&lt;3),"Event sample below 3 - say why in Notes",IF(AND($C57&lt;&gt;"Artifact",K57&lt;&gt;"",L57=""),"Sample size with no conforming count",IF(AND($C57="Artifact",K57&lt;&gt;""),"Artifact pull: leave K and L blank, coverage is computed",IF(S57=0,"Worked but no requirement rows point at it","OK"))))))))))</f>
        <v/>
      </c>
    </row>
    <row r="58" customFormat="false" ht="15" hidden="false" customHeight="false" outlineLevel="0" collapsed="false">
      <c r="A58" s="16"/>
      <c r="B58" s="16"/>
      <c r="C58" s="16"/>
      <c r="D58" s="16"/>
      <c r="E58" s="16"/>
      <c r="F58" s="16"/>
      <c r="G58" s="16"/>
      <c r="H58" s="16"/>
      <c r="I58" s="16"/>
      <c r="J58" s="16"/>
      <c r="K58" s="16"/>
      <c r="L58" s="16"/>
      <c r="M58" s="16"/>
      <c r="N58" s="16"/>
      <c r="O58" s="21" t="str">
        <f aca="false">IF($A58="","",IF($C58="Transactional","10 records, or all if fewer",IF($C58="Artifact","NO record sample. Grade every register row on this pull.",IF($C58="Event","last 3 occurrences, or all if fewer","PICK A SAMPLE CLASS"))))</f>
        <v/>
      </c>
      <c r="P58" s="21" t="n">
        <f aca="false">IF(TRIM(G58)="",0,LEN(TRIM(G58))-LEN(SUBSTITUTE(TRIM(G58),";",""))+1)</f>
        <v>0</v>
      </c>
      <c r="Q58" s="21" t="str">
        <f aca="false">IF($A58="","",IF(P58=0,"Unassigned",IF(P58=1,"Single point","Staffed")))</f>
        <v/>
      </c>
      <c r="R58" s="22" t="str">
        <f aca="false">IF(OR($C58="Artifact",K58="",K58=0),"",L58/K58)</f>
        <v/>
      </c>
      <c r="S58" s="21" t="n">
        <f aca="false">IF($A58="",0,COUNTIF('Full Register'!$J$6:$J$279,$A58))</f>
        <v>0</v>
      </c>
      <c r="T58" s="21" t="n">
        <f aca="false">IF($A58="",0,COUNTIFS('Full Register'!$J$6:$J$279,$A58,'Full Register'!$O$6:$O$279,"&gt;=3"))</f>
        <v>0</v>
      </c>
      <c r="U58" s="22" t="str">
        <f aca="false">IF(OR($A58="",S58=0),"",T58/S58)</f>
        <v/>
      </c>
      <c r="V58" s="21" t="n">
        <f aca="false">IF($A58="",0,S58-COUNTIFS('Full Register'!$J$6:$J$279,$A58,'Full Register'!$K$6:$K$279,"&lt;&gt;"))</f>
        <v>0</v>
      </c>
      <c r="W58" s="21" t="str">
        <f aca="false">IF($A58="","",IF(COUNTIFS('Full Register'!$J$6:$J$279,$A58,'Full Register'!$H$6:$H$279,"Full")&gt;0,"Full","Screen"))</f>
        <v/>
      </c>
      <c r="X58" s="21" t="str">
        <f aca="false">IF($A58="","",IF(AND(S58=0,I58="",G58=""),"Not started",IF($C58="","No sample class picked",IF(AND(W58="Full",$C58&lt;&gt;"Artifact",K58=""),"Record sample required, none recorded",IF(AND(I58&lt;&gt;"",V58&gt;0),V58&amp;" register rows on this pull still ungraded",IF(AND($C58="Transactional",K58&lt;&gt;"",K58&lt;10),"Transactional sample below 10 - say why in Notes",IF(AND($C58="Event",K58&lt;&gt;"",K58&lt;3),"Event sample below 3 - say why in Notes",IF(AND($C58&lt;&gt;"Artifact",K58&lt;&gt;"",L58=""),"Sample size with no conforming count",IF(AND($C58="Artifact",K58&lt;&gt;""),"Artifact pull: leave K and L blank, coverage is computed",IF(S58=0,"Worked but no requirement rows point at it","OK"))))))))))</f>
        <v/>
      </c>
    </row>
    <row r="59" customFormat="false" ht="15" hidden="false" customHeight="false" outlineLevel="0" collapsed="false">
      <c r="A59" s="16"/>
      <c r="B59" s="16"/>
      <c r="C59" s="16"/>
      <c r="D59" s="16"/>
      <c r="E59" s="16"/>
      <c r="F59" s="16"/>
      <c r="G59" s="16"/>
      <c r="H59" s="16"/>
      <c r="I59" s="16"/>
      <c r="J59" s="16"/>
      <c r="K59" s="16"/>
      <c r="L59" s="16"/>
      <c r="M59" s="16"/>
      <c r="N59" s="16"/>
      <c r="O59" s="21" t="str">
        <f aca="false">IF($A59="","",IF($C59="Transactional","10 records, or all if fewer",IF($C59="Artifact","NO record sample. Grade every register row on this pull.",IF($C59="Event","last 3 occurrences, or all if fewer","PICK A SAMPLE CLASS"))))</f>
        <v/>
      </c>
      <c r="P59" s="21" t="n">
        <f aca="false">IF(TRIM(G59)="",0,LEN(TRIM(G59))-LEN(SUBSTITUTE(TRIM(G59),";",""))+1)</f>
        <v>0</v>
      </c>
      <c r="Q59" s="21" t="str">
        <f aca="false">IF($A59="","",IF(P59=0,"Unassigned",IF(P59=1,"Single point","Staffed")))</f>
        <v/>
      </c>
      <c r="R59" s="22" t="str">
        <f aca="false">IF(OR($C59="Artifact",K59="",K59=0),"",L59/K59)</f>
        <v/>
      </c>
      <c r="S59" s="21" t="n">
        <f aca="false">IF($A59="",0,COUNTIF('Full Register'!$J$6:$J$279,$A59))</f>
        <v>0</v>
      </c>
      <c r="T59" s="21" t="n">
        <f aca="false">IF($A59="",0,COUNTIFS('Full Register'!$J$6:$J$279,$A59,'Full Register'!$O$6:$O$279,"&gt;=3"))</f>
        <v>0</v>
      </c>
      <c r="U59" s="22" t="str">
        <f aca="false">IF(OR($A59="",S59=0),"",T59/S59)</f>
        <v/>
      </c>
      <c r="V59" s="21" t="n">
        <f aca="false">IF($A59="",0,S59-COUNTIFS('Full Register'!$J$6:$J$279,$A59,'Full Register'!$K$6:$K$279,"&lt;&gt;"))</f>
        <v>0</v>
      </c>
      <c r="W59" s="21" t="str">
        <f aca="false">IF($A59="","",IF(COUNTIFS('Full Register'!$J$6:$J$279,$A59,'Full Register'!$H$6:$H$279,"Full")&gt;0,"Full","Screen"))</f>
        <v/>
      </c>
      <c r="X59" s="21" t="str">
        <f aca="false">IF($A59="","",IF(AND(S59=0,I59="",G59=""),"Not started",IF($C59="","No sample class picked",IF(AND(W59="Full",$C59&lt;&gt;"Artifact",K59=""),"Record sample required, none recorded",IF(AND(I59&lt;&gt;"",V59&gt;0),V59&amp;" register rows on this pull still ungraded",IF(AND($C59="Transactional",K59&lt;&gt;"",K59&lt;10),"Transactional sample below 10 - say why in Notes",IF(AND($C59="Event",K59&lt;&gt;"",K59&lt;3),"Event sample below 3 - say why in Notes",IF(AND($C59&lt;&gt;"Artifact",K59&lt;&gt;"",L59=""),"Sample size with no conforming count",IF(AND($C59="Artifact",K59&lt;&gt;""),"Artifact pull: leave K and L blank, coverage is computed",IF(S59=0,"Worked but no requirement rows point at it","OK"))))))))))</f>
        <v/>
      </c>
    </row>
    <row r="60" customFormat="false" ht="15" hidden="false" customHeight="false" outlineLevel="0" collapsed="false">
      <c r="A60" s="16"/>
      <c r="B60" s="16"/>
      <c r="C60" s="16"/>
      <c r="D60" s="16"/>
      <c r="E60" s="16"/>
      <c r="F60" s="16"/>
      <c r="G60" s="16"/>
      <c r="H60" s="16"/>
      <c r="I60" s="16"/>
      <c r="J60" s="16"/>
      <c r="K60" s="16"/>
      <c r="L60" s="16"/>
      <c r="M60" s="16"/>
      <c r="N60" s="16"/>
      <c r="O60" s="21" t="str">
        <f aca="false">IF($A60="","",IF($C60="Transactional","10 records, or all if fewer",IF($C60="Artifact","NO record sample. Grade every register row on this pull.",IF($C60="Event","last 3 occurrences, or all if fewer","PICK A SAMPLE CLASS"))))</f>
        <v/>
      </c>
      <c r="P60" s="21" t="n">
        <f aca="false">IF(TRIM(G60)="",0,LEN(TRIM(G60))-LEN(SUBSTITUTE(TRIM(G60),";",""))+1)</f>
        <v>0</v>
      </c>
      <c r="Q60" s="21" t="str">
        <f aca="false">IF($A60="","",IF(P60=0,"Unassigned",IF(P60=1,"Single point","Staffed")))</f>
        <v/>
      </c>
      <c r="R60" s="22" t="str">
        <f aca="false">IF(OR($C60="Artifact",K60="",K60=0),"",L60/K60)</f>
        <v/>
      </c>
      <c r="S60" s="21" t="n">
        <f aca="false">IF($A60="",0,COUNTIF('Full Register'!$J$6:$J$279,$A60))</f>
        <v>0</v>
      </c>
      <c r="T60" s="21" t="n">
        <f aca="false">IF($A60="",0,COUNTIFS('Full Register'!$J$6:$J$279,$A60,'Full Register'!$O$6:$O$279,"&gt;=3"))</f>
        <v>0</v>
      </c>
      <c r="U60" s="22" t="str">
        <f aca="false">IF(OR($A60="",S60=0),"",T60/S60)</f>
        <v/>
      </c>
      <c r="V60" s="21" t="n">
        <f aca="false">IF($A60="",0,S60-COUNTIFS('Full Register'!$J$6:$J$279,$A60,'Full Register'!$K$6:$K$279,"&lt;&gt;"))</f>
        <v>0</v>
      </c>
      <c r="W60" s="21" t="str">
        <f aca="false">IF($A60="","",IF(COUNTIFS('Full Register'!$J$6:$J$279,$A60,'Full Register'!$H$6:$H$279,"Full")&gt;0,"Full","Screen"))</f>
        <v/>
      </c>
      <c r="X60" s="21" t="str">
        <f aca="false">IF($A60="","",IF(AND(S60=0,I60="",G60=""),"Not started",IF($C60="","No sample class picked",IF(AND(W60="Full",$C60&lt;&gt;"Artifact",K60=""),"Record sample required, none recorded",IF(AND(I60&lt;&gt;"",V60&gt;0),V60&amp;" register rows on this pull still ungraded",IF(AND($C60="Transactional",K60&lt;&gt;"",K60&lt;10),"Transactional sample below 10 - say why in Notes",IF(AND($C60="Event",K60&lt;&gt;"",K60&lt;3),"Event sample below 3 - say why in Notes",IF(AND($C60&lt;&gt;"Artifact",K60&lt;&gt;"",L60=""),"Sample size with no conforming count",IF(AND($C60="Artifact",K60&lt;&gt;""),"Artifact pull: leave K and L blank, coverage is computed",IF(S60=0,"Worked but no requirement rows point at it","OK"))))))))))</f>
        <v/>
      </c>
    </row>
    <row r="61" customFormat="false" ht="15" hidden="false" customHeight="false" outlineLevel="0" collapsed="false">
      <c r="A61" s="16"/>
      <c r="B61" s="16"/>
      <c r="C61" s="16"/>
      <c r="D61" s="16"/>
      <c r="E61" s="16"/>
      <c r="F61" s="16"/>
      <c r="G61" s="16"/>
      <c r="H61" s="16"/>
      <c r="I61" s="16"/>
      <c r="J61" s="16"/>
      <c r="K61" s="16"/>
      <c r="L61" s="16"/>
      <c r="M61" s="16"/>
      <c r="N61" s="16"/>
      <c r="O61" s="21" t="str">
        <f aca="false">IF($A61="","",IF($C61="Transactional","10 records, or all if fewer",IF($C61="Artifact","NO record sample. Grade every register row on this pull.",IF($C61="Event","last 3 occurrences, or all if fewer","PICK A SAMPLE CLASS"))))</f>
        <v/>
      </c>
      <c r="P61" s="21" t="n">
        <f aca="false">IF(TRIM(G61)="",0,LEN(TRIM(G61))-LEN(SUBSTITUTE(TRIM(G61),";",""))+1)</f>
        <v>0</v>
      </c>
      <c r="Q61" s="21" t="str">
        <f aca="false">IF($A61="","",IF(P61=0,"Unassigned",IF(P61=1,"Single point","Staffed")))</f>
        <v/>
      </c>
      <c r="R61" s="22" t="str">
        <f aca="false">IF(OR($C61="Artifact",K61="",K61=0),"",L61/K61)</f>
        <v/>
      </c>
      <c r="S61" s="21" t="n">
        <f aca="false">IF($A61="",0,COUNTIF('Full Register'!$J$6:$J$279,$A61))</f>
        <v>0</v>
      </c>
      <c r="T61" s="21" t="n">
        <f aca="false">IF($A61="",0,COUNTIFS('Full Register'!$J$6:$J$279,$A61,'Full Register'!$O$6:$O$279,"&gt;=3"))</f>
        <v>0</v>
      </c>
      <c r="U61" s="22" t="str">
        <f aca="false">IF(OR($A61="",S61=0),"",T61/S61)</f>
        <v/>
      </c>
      <c r="V61" s="21" t="n">
        <f aca="false">IF($A61="",0,S61-COUNTIFS('Full Register'!$J$6:$J$279,$A61,'Full Register'!$K$6:$K$279,"&lt;&gt;"))</f>
        <v>0</v>
      </c>
      <c r="W61" s="21" t="str">
        <f aca="false">IF($A61="","",IF(COUNTIFS('Full Register'!$J$6:$J$279,$A61,'Full Register'!$H$6:$H$279,"Full")&gt;0,"Full","Screen"))</f>
        <v/>
      </c>
      <c r="X61" s="21" t="str">
        <f aca="false">IF($A61="","",IF(AND(S61=0,I61="",G61=""),"Not started",IF($C61="","No sample class picked",IF(AND(W61="Full",$C61&lt;&gt;"Artifact",K61=""),"Record sample required, none recorded",IF(AND(I61&lt;&gt;"",V61&gt;0),V61&amp;" register rows on this pull still ungraded",IF(AND($C61="Transactional",K61&lt;&gt;"",K61&lt;10),"Transactional sample below 10 - say why in Notes",IF(AND($C61="Event",K61&lt;&gt;"",K61&lt;3),"Event sample below 3 - say why in Notes",IF(AND($C61&lt;&gt;"Artifact",K61&lt;&gt;"",L61=""),"Sample size with no conforming count",IF(AND($C61="Artifact",K61&lt;&gt;""),"Artifact pull: leave K and L blank, coverage is computed",IF(S61=0,"Worked but no requirement rows point at it","OK"))))))))))</f>
        <v/>
      </c>
    </row>
    <row r="62" customFormat="false" ht="15" hidden="false" customHeight="false" outlineLevel="0" collapsed="false">
      <c r="A62" s="16"/>
      <c r="B62" s="16"/>
      <c r="C62" s="16"/>
      <c r="D62" s="16"/>
      <c r="E62" s="16"/>
      <c r="F62" s="16"/>
      <c r="G62" s="16"/>
      <c r="H62" s="16"/>
      <c r="I62" s="16"/>
      <c r="J62" s="16"/>
      <c r="K62" s="16"/>
      <c r="L62" s="16"/>
      <c r="M62" s="16"/>
      <c r="N62" s="16"/>
      <c r="O62" s="21" t="str">
        <f aca="false">IF($A62="","",IF($C62="Transactional","10 records, or all if fewer",IF($C62="Artifact","NO record sample. Grade every register row on this pull.",IF($C62="Event","last 3 occurrences, or all if fewer","PICK A SAMPLE CLASS"))))</f>
        <v/>
      </c>
      <c r="P62" s="21" t="n">
        <f aca="false">IF(TRIM(G62)="",0,LEN(TRIM(G62))-LEN(SUBSTITUTE(TRIM(G62),";",""))+1)</f>
        <v>0</v>
      </c>
      <c r="Q62" s="21" t="str">
        <f aca="false">IF($A62="","",IF(P62=0,"Unassigned",IF(P62=1,"Single point","Staffed")))</f>
        <v/>
      </c>
      <c r="R62" s="22" t="str">
        <f aca="false">IF(OR($C62="Artifact",K62="",K62=0),"",L62/K62)</f>
        <v/>
      </c>
      <c r="S62" s="21" t="n">
        <f aca="false">IF($A62="",0,COUNTIF('Full Register'!$J$6:$J$279,$A62))</f>
        <v>0</v>
      </c>
      <c r="T62" s="21" t="n">
        <f aca="false">IF($A62="",0,COUNTIFS('Full Register'!$J$6:$J$279,$A62,'Full Register'!$O$6:$O$279,"&gt;=3"))</f>
        <v>0</v>
      </c>
      <c r="U62" s="22" t="str">
        <f aca="false">IF(OR($A62="",S62=0),"",T62/S62)</f>
        <v/>
      </c>
      <c r="V62" s="21" t="n">
        <f aca="false">IF($A62="",0,S62-COUNTIFS('Full Register'!$J$6:$J$279,$A62,'Full Register'!$K$6:$K$279,"&lt;&gt;"))</f>
        <v>0</v>
      </c>
      <c r="W62" s="21" t="str">
        <f aca="false">IF($A62="","",IF(COUNTIFS('Full Register'!$J$6:$J$279,$A62,'Full Register'!$H$6:$H$279,"Full")&gt;0,"Full","Screen"))</f>
        <v/>
      </c>
      <c r="X62" s="21" t="str">
        <f aca="false">IF($A62="","",IF(AND(S62=0,I62="",G62=""),"Not started",IF($C62="","No sample class picked",IF(AND(W62="Full",$C62&lt;&gt;"Artifact",K62=""),"Record sample required, none recorded",IF(AND(I62&lt;&gt;"",V62&gt;0),V62&amp;" register rows on this pull still ungraded",IF(AND($C62="Transactional",K62&lt;&gt;"",K62&lt;10),"Transactional sample below 10 - say why in Notes",IF(AND($C62="Event",K62&lt;&gt;"",K62&lt;3),"Event sample below 3 - say why in Notes",IF(AND($C62&lt;&gt;"Artifact",K62&lt;&gt;"",L62=""),"Sample size with no conforming count",IF(AND($C62="Artifact",K62&lt;&gt;""),"Artifact pull: leave K and L blank, coverage is computed",IF(S62=0,"Worked but no requirement rows point at it","OK"))))))))))</f>
        <v/>
      </c>
    </row>
    <row r="63" customFormat="false" ht="15" hidden="false" customHeight="false" outlineLevel="0" collapsed="false">
      <c r="A63" s="16"/>
      <c r="B63" s="16"/>
      <c r="C63" s="16"/>
      <c r="D63" s="16"/>
      <c r="E63" s="16"/>
      <c r="F63" s="16"/>
      <c r="G63" s="16"/>
      <c r="H63" s="16"/>
      <c r="I63" s="16"/>
      <c r="J63" s="16"/>
      <c r="K63" s="16"/>
      <c r="L63" s="16"/>
      <c r="M63" s="16"/>
      <c r="N63" s="16"/>
      <c r="O63" s="21" t="str">
        <f aca="false">IF($A63="","",IF($C63="Transactional","10 records, or all if fewer",IF($C63="Artifact","NO record sample. Grade every register row on this pull.",IF($C63="Event","last 3 occurrences, or all if fewer","PICK A SAMPLE CLASS"))))</f>
        <v/>
      </c>
      <c r="P63" s="21" t="n">
        <f aca="false">IF(TRIM(G63)="",0,LEN(TRIM(G63))-LEN(SUBSTITUTE(TRIM(G63),";",""))+1)</f>
        <v>0</v>
      </c>
      <c r="Q63" s="21" t="str">
        <f aca="false">IF($A63="","",IF(P63=0,"Unassigned",IF(P63=1,"Single point","Staffed")))</f>
        <v/>
      </c>
      <c r="R63" s="22" t="str">
        <f aca="false">IF(OR($C63="Artifact",K63="",K63=0),"",L63/K63)</f>
        <v/>
      </c>
      <c r="S63" s="21" t="n">
        <f aca="false">IF($A63="",0,COUNTIF('Full Register'!$J$6:$J$279,$A63))</f>
        <v>0</v>
      </c>
      <c r="T63" s="21" t="n">
        <f aca="false">IF($A63="",0,COUNTIFS('Full Register'!$J$6:$J$279,$A63,'Full Register'!$O$6:$O$279,"&gt;=3"))</f>
        <v>0</v>
      </c>
      <c r="U63" s="22" t="str">
        <f aca="false">IF(OR($A63="",S63=0),"",T63/S63)</f>
        <v/>
      </c>
      <c r="V63" s="21" t="n">
        <f aca="false">IF($A63="",0,S63-COUNTIFS('Full Register'!$J$6:$J$279,$A63,'Full Register'!$K$6:$K$279,"&lt;&gt;"))</f>
        <v>0</v>
      </c>
      <c r="W63" s="21" t="str">
        <f aca="false">IF($A63="","",IF(COUNTIFS('Full Register'!$J$6:$J$279,$A63,'Full Register'!$H$6:$H$279,"Full")&gt;0,"Full","Screen"))</f>
        <v/>
      </c>
      <c r="X63" s="21" t="str">
        <f aca="false">IF($A63="","",IF(AND(S63=0,I63="",G63=""),"Not started",IF($C63="","No sample class picked",IF(AND(W63="Full",$C63&lt;&gt;"Artifact",K63=""),"Record sample required, none recorded",IF(AND(I63&lt;&gt;"",V63&gt;0),V63&amp;" register rows on this pull still ungraded",IF(AND($C63="Transactional",K63&lt;&gt;"",K63&lt;10),"Transactional sample below 10 - say why in Notes",IF(AND($C63="Event",K63&lt;&gt;"",K63&lt;3),"Event sample below 3 - say why in Notes",IF(AND($C63&lt;&gt;"Artifact",K63&lt;&gt;"",L63=""),"Sample size with no conforming count",IF(AND($C63="Artifact",K63&lt;&gt;""),"Artifact pull: leave K and L blank, coverage is computed",IF(S63=0,"Worked but no requirement rows point at it","OK"))))))))))</f>
        <v/>
      </c>
    </row>
    <row r="64" customFormat="false" ht="15" hidden="false" customHeight="false" outlineLevel="0" collapsed="false">
      <c r="A64" s="16"/>
      <c r="B64" s="16"/>
      <c r="C64" s="16"/>
      <c r="D64" s="16"/>
      <c r="E64" s="16"/>
      <c r="F64" s="16"/>
      <c r="G64" s="16"/>
      <c r="H64" s="16"/>
      <c r="I64" s="16"/>
      <c r="J64" s="16"/>
      <c r="K64" s="16"/>
      <c r="L64" s="16"/>
      <c r="M64" s="16"/>
      <c r="N64" s="16"/>
      <c r="O64" s="21" t="str">
        <f aca="false">IF($A64="","",IF($C64="Transactional","10 records, or all if fewer",IF($C64="Artifact","NO record sample. Grade every register row on this pull.",IF($C64="Event","last 3 occurrences, or all if fewer","PICK A SAMPLE CLASS"))))</f>
        <v/>
      </c>
      <c r="P64" s="21" t="n">
        <f aca="false">IF(TRIM(G64)="",0,LEN(TRIM(G64))-LEN(SUBSTITUTE(TRIM(G64),";",""))+1)</f>
        <v>0</v>
      </c>
      <c r="Q64" s="21" t="str">
        <f aca="false">IF($A64="","",IF(P64=0,"Unassigned",IF(P64=1,"Single point","Staffed")))</f>
        <v/>
      </c>
      <c r="R64" s="22" t="str">
        <f aca="false">IF(OR($C64="Artifact",K64="",K64=0),"",L64/K64)</f>
        <v/>
      </c>
      <c r="S64" s="21" t="n">
        <f aca="false">IF($A64="",0,COUNTIF('Full Register'!$J$6:$J$279,$A64))</f>
        <v>0</v>
      </c>
      <c r="T64" s="21" t="n">
        <f aca="false">IF($A64="",0,COUNTIFS('Full Register'!$J$6:$J$279,$A64,'Full Register'!$O$6:$O$279,"&gt;=3"))</f>
        <v>0</v>
      </c>
      <c r="U64" s="22" t="str">
        <f aca="false">IF(OR($A64="",S64=0),"",T64/S64)</f>
        <v/>
      </c>
      <c r="V64" s="21" t="n">
        <f aca="false">IF($A64="",0,S64-COUNTIFS('Full Register'!$J$6:$J$279,$A64,'Full Register'!$K$6:$K$279,"&lt;&gt;"))</f>
        <v>0</v>
      </c>
      <c r="W64" s="21" t="str">
        <f aca="false">IF($A64="","",IF(COUNTIFS('Full Register'!$J$6:$J$279,$A64,'Full Register'!$H$6:$H$279,"Full")&gt;0,"Full","Screen"))</f>
        <v/>
      </c>
      <c r="X64" s="21" t="str">
        <f aca="false">IF($A64="","",IF(AND(S64=0,I64="",G64=""),"Not started",IF($C64="","No sample class picked",IF(AND(W64="Full",$C64&lt;&gt;"Artifact",K64=""),"Record sample required, none recorded",IF(AND(I64&lt;&gt;"",V64&gt;0),V64&amp;" register rows on this pull still ungraded",IF(AND($C64="Transactional",K64&lt;&gt;"",K64&lt;10),"Transactional sample below 10 - say why in Notes",IF(AND($C64="Event",K64&lt;&gt;"",K64&lt;3),"Event sample below 3 - say why in Notes",IF(AND($C64&lt;&gt;"Artifact",K64&lt;&gt;"",L64=""),"Sample size with no conforming count",IF(AND($C64="Artifact",K64&lt;&gt;""),"Artifact pull: leave K and L blank, coverage is computed",IF(S64=0,"Worked but no requirement rows point at it","OK"))))))))))</f>
        <v/>
      </c>
    </row>
    <row r="65" customFormat="false" ht="15" hidden="false" customHeight="false" outlineLevel="0" collapsed="false">
      <c r="A65" s="16"/>
      <c r="B65" s="16"/>
      <c r="C65" s="16"/>
      <c r="D65" s="16"/>
      <c r="E65" s="16"/>
      <c r="F65" s="16"/>
      <c r="G65" s="16"/>
      <c r="H65" s="16"/>
      <c r="I65" s="16"/>
      <c r="J65" s="16"/>
      <c r="K65" s="16"/>
      <c r="L65" s="16"/>
      <c r="M65" s="16"/>
      <c r="N65" s="16"/>
      <c r="O65" s="21" t="str">
        <f aca="false">IF($A65="","",IF($C65="Transactional","10 records, or all if fewer",IF($C65="Artifact","NO record sample. Grade every register row on this pull.",IF($C65="Event","last 3 occurrences, or all if fewer","PICK A SAMPLE CLASS"))))</f>
        <v/>
      </c>
      <c r="P65" s="21" t="n">
        <f aca="false">IF(TRIM(G65)="",0,LEN(TRIM(G65))-LEN(SUBSTITUTE(TRIM(G65),";",""))+1)</f>
        <v>0</v>
      </c>
      <c r="Q65" s="21" t="str">
        <f aca="false">IF($A65="","",IF(P65=0,"Unassigned",IF(P65=1,"Single point","Staffed")))</f>
        <v/>
      </c>
      <c r="R65" s="22" t="str">
        <f aca="false">IF(OR($C65="Artifact",K65="",K65=0),"",L65/K65)</f>
        <v/>
      </c>
      <c r="S65" s="21" t="n">
        <f aca="false">IF($A65="",0,COUNTIF('Full Register'!$J$6:$J$279,$A65))</f>
        <v>0</v>
      </c>
      <c r="T65" s="21" t="n">
        <f aca="false">IF($A65="",0,COUNTIFS('Full Register'!$J$6:$J$279,$A65,'Full Register'!$O$6:$O$279,"&gt;=3"))</f>
        <v>0</v>
      </c>
      <c r="U65" s="22" t="str">
        <f aca="false">IF(OR($A65="",S65=0),"",T65/S65)</f>
        <v/>
      </c>
      <c r="V65" s="21" t="n">
        <f aca="false">IF($A65="",0,S65-COUNTIFS('Full Register'!$J$6:$J$279,$A65,'Full Register'!$K$6:$K$279,"&lt;&gt;"))</f>
        <v>0</v>
      </c>
      <c r="W65" s="21" t="str">
        <f aca="false">IF($A65="","",IF(COUNTIFS('Full Register'!$J$6:$J$279,$A65,'Full Register'!$H$6:$H$279,"Full")&gt;0,"Full","Screen"))</f>
        <v/>
      </c>
      <c r="X65" s="21" t="str">
        <f aca="false">IF($A65="","",IF(AND(S65=0,I65="",G65=""),"Not started",IF($C65="","No sample class picked",IF(AND(W65="Full",$C65&lt;&gt;"Artifact",K65=""),"Record sample required, none recorded",IF(AND(I65&lt;&gt;"",V65&gt;0),V65&amp;" register rows on this pull still ungraded",IF(AND($C65="Transactional",K65&lt;&gt;"",K65&lt;10),"Transactional sample below 10 - say why in Notes",IF(AND($C65="Event",K65&lt;&gt;"",K65&lt;3),"Event sample below 3 - say why in Notes",IF(AND($C65&lt;&gt;"Artifact",K65&lt;&gt;"",L65=""),"Sample size with no conforming count",IF(AND($C65="Artifact",K65&lt;&gt;""),"Artifact pull: leave K and L blank, coverage is computed",IF(S65=0,"Worked but no requirement rows point at it","OK"))))))))))</f>
        <v/>
      </c>
    </row>
    <row r="66" customFormat="false" ht="15" hidden="false" customHeight="false" outlineLevel="0" collapsed="false">
      <c r="A66" s="16"/>
      <c r="B66" s="16"/>
      <c r="C66" s="16"/>
      <c r="D66" s="16"/>
      <c r="E66" s="16"/>
      <c r="F66" s="16"/>
      <c r="G66" s="16"/>
      <c r="H66" s="16"/>
      <c r="I66" s="16"/>
      <c r="J66" s="16"/>
      <c r="K66" s="16"/>
      <c r="L66" s="16"/>
      <c r="M66" s="16"/>
      <c r="N66" s="16"/>
      <c r="O66" s="21" t="str">
        <f aca="false">IF($A66="","",IF($C66="Transactional","10 records, or all if fewer",IF($C66="Artifact","NO record sample. Grade every register row on this pull.",IF($C66="Event","last 3 occurrences, or all if fewer","PICK A SAMPLE CLASS"))))</f>
        <v/>
      </c>
      <c r="P66" s="21" t="n">
        <f aca="false">IF(TRIM(G66)="",0,LEN(TRIM(G66))-LEN(SUBSTITUTE(TRIM(G66),";",""))+1)</f>
        <v>0</v>
      </c>
      <c r="Q66" s="21" t="str">
        <f aca="false">IF($A66="","",IF(P66=0,"Unassigned",IF(P66=1,"Single point","Staffed")))</f>
        <v/>
      </c>
      <c r="R66" s="22" t="str">
        <f aca="false">IF(OR($C66="Artifact",K66="",K66=0),"",L66/K66)</f>
        <v/>
      </c>
      <c r="S66" s="21" t="n">
        <f aca="false">IF($A66="",0,COUNTIF('Full Register'!$J$6:$J$279,$A66))</f>
        <v>0</v>
      </c>
      <c r="T66" s="21" t="n">
        <f aca="false">IF($A66="",0,COUNTIFS('Full Register'!$J$6:$J$279,$A66,'Full Register'!$O$6:$O$279,"&gt;=3"))</f>
        <v>0</v>
      </c>
      <c r="U66" s="22" t="str">
        <f aca="false">IF(OR($A66="",S66=0),"",T66/S66)</f>
        <v/>
      </c>
      <c r="V66" s="21" t="n">
        <f aca="false">IF($A66="",0,S66-COUNTIFS('Full Register'!$J$6:$J$279,$A66,'Full Register'!$K$6:$K$279,"&lt;&gt;"))</f>
        <v>0</v>
      </c>
      <c r="W66" s="21" t="str">
        <f aca="false">IF($A66="","",IF(COUNTIFS('Full Register'!$J$6:$J$279,$A66,'Full Register'!$H$6:$H$279,"Full")&gt;0,"Full","Screen"))</f>
        <v/>
      </c>
      <c r="X66" s="21" t="str">
        <f aca="false">IF($A66="","",IF(AND(S66=0,I66="",G66=""),"Not started",IF($C66="","No sample class picked",IF(AND(W66="Full",$C66&lt;&gt;"Artifact",K66=""),"Record sample required, none recorded",IF(AND(I66&lt;&gt;"",V66&gt;0),V66&amp;" register rows on this pull still ungraded",IF(AND($C66="Transactional",K66&lt;&gt;"",K66&lt;10),"Transactional sample below 10 - say why in Notes",IF(AND($C66="Event",K66&lt;&gt;"",K66&lt;3),"Event sample below 3 - say why in Notes",IF(AND($C66&lt;&gt;"Artifact",K66&lt;&gt;"",L66=""),"Sample size with no conforming count",IF(AND($C66="Artifact",K66&lt;&gt;""),"Artifact pull: leave K and L blank, coverage is computed",IF(S66=0,"Worked but no requirement rows point at it","OK"))))))))))</f>
        <v/>
      </c>
    </row>
    <row r="67" customFormat="false" ht="15" hidden="false" customHeight="false" outlineLevel="0" collapsed="false">
      <c r="A67" s="16"/>
      <c r="B67" s="16"/>
      <c r="C67" s="16"/>
      <c r="D67" s="16"/>
      <c r="E67" s="16"/>
      <c r="F67" s="16"/>
      <c r="G67" s="16"/>
      <c r="H67" s="16"/>
      <c r="I67" s="16"/>
      <c r="J67" s="16"/>
      <c r="K67" s="16"/>
      <c r="L67" s="16"/>
      <c r="M67" s="16"/>
      <c r="N67" s="16"/>
      <c r="O67" s="21" t="str">
        <f aca="false">IF($A67="","",IF($C67="Transactional","10 records, or all if fewer",IF($C67="Artifact","NO record sample. Grade every register row on this pull.",IF($C67="Event","last 3 occurrences, or all if fewer","PICK A SAMPLE CLASS"))))</f>
        <v/>
      </c>
      <c r="P67" s="21" t="n">
        <f aca="false">IF(TRIM(G67)="",0,LEN(TRIM(G67))-LEN(SUBSTITUTE(TRIM(G67),";",""))+1)</f>
        <v>0</v>
      </c>
      <c r="Q67" s="21" t="str">
        <f aca="false">IF($A67="","",IF(P67=0,"Unassigned",IF(P67=1,"Single point","Staffed")))</f>
        <v/>
      </c>
      <c r="R67" s="22" t="str">
        <f aca="false">IF(OR($C67="Artifact",K67="",K67=0),"",L67/K67)</f>
        <v/>
      </c>
      <c r="S67" s="21" t="n">
        <f aca="false">IF($A67="",0,COUNTIF('Full Register'!$J$6:$J$279,$A67))</f>
        <v>0</v>
      </c>
      <c r="T67" s="21" t="n">
        <f aca="false">IF($A67="",0,COUNTIFS('Full Register'!$J$6:$J$279,$A67,'Full Register'!$O$6:$O$279,"&gt;=3"))</f>
        <v>0</v>
      </c>
      <c r="U67" s="22" t="str">
        <f aca="false">IF(OR($A67="",S67=0),"",T67/S67)</f>
        <v/>
      </c>
      <c r="V67" s="21" t="n">
        <f aca="false">IF($A67="",0,S67-COUNTIFS('Full Register'!$J$6:$J$279,$A67,'Full Register'!$K$6:$K$279,"&lt;&gt;"))</f>
        <v>0</v>
      </c>
      <c r="W67" s="21" t="str">
        <f aca="false">IF($A67="","",IF(COUNTIFS('Full Register'!$J$6:$J$279,$A67,'Full Register'!$H$6:$H$279,"Full")&gt;0,"Full","Screen"))</f>
        <v/>
      </c>
      <c r="X67" s="21" t="str">
        <f aca="false">IF($A67="","",IF(AND(S67=0,I67="",G67=""),"Not started",IF($C67="","No sample class picked",IF(AND(W67="Full",$C67&lt;&gt;"Artifact",K67=""),"Record sample required, none recorded",IF(AND(I67&lt;&gt;"",V67&gt;0),V67&amp;" register rows on this pull still ungraded",IF(AND($C67="Transactional",K67&lt;&gt;"",K67&lt;10),"Transactional sample below 10 - say why in Notes",IF(AND($C67="Event",K67&lt;&gt;"",K67&lt;3),"Event sample below 3 - say why in Notes",IF(AND($C67&lt;&gt;"Artifact",K67&lt;&gt;"",L67=""),"Sample size with no conforming count",IF(AND($C67="Artifact",K67&lt;&gt;""),"Artifact pull: leave K and L blank, coverage is computed",IF(S67=0,"Worked but no requirement rows point at it","OK"))))))))))</f>
        <v/>
      </c>
    </row>
    <row r="68" customFormat="false" ht="15" hidden="false" customHeight="false" outlineLevel="0" collapsed="false">
      <c r="A68" s="16"/>
      <c r="B68" s="16"/>
      <c r="C68" s="16"/>
      <c r="D68" s="16"/>
      <c r="E68" s="16"/>
      <c r="F68" s="16"/>
      <c r="G68" s="16"/>
      <c r="H68" s="16"/>
      <c r="I68" s="16"/>
      <c r="J68" s="16"/>
      <c r="K68" s="16"/>
      <c r="L68" s="16"/>
      <c r="M68" s="16"/>
      <c r="N68" s="16"/>
      <c r="O68" s="21" t="str">
        <f aca="false">IF($A68="","",IF($C68="Transactional","10 records, or all if fewer",IF($C68="Artifact","NO record sample. Grade every register row on this pull.",IF($C68="Event","last 3 occurrences, or all if fewer","PICK A SAMPLE CLASS"))))</f>
        <v/>
      </c>
      <c r="P68" s="21" t="n">
        <f aca="false">IF(TRIM(G68)="",0,LEN(TRIM(G68))-LEN(SUBSTITUTE(TRIM(G68),";",""))+1)</f>
        <v>0</v>
      </c>
      <c r="Q68" s="21" t="str">
        <f aca="false">IF($A68="","",IF(P68=0,"Unassigned",IF(P68=1,"Single point","Staffed")))</f>
        <v/>
      </c>
      <c r="R68" s="22" t="str">
        <f aca="false">IF(OR($C68="Artifact",K68="",K68=0),"",L68/K68)</f>
        <v/>
      </c>
      <c r="S68" s="21" t="n">
        <f aca="false">IF($A68="",0,COUNTIF('Full Register'!$J$6:$J$279,$A68))</f>
        <v>0</v>
      </c>
      <c r="T68" s="21" t="n">
        <f aca="false">IF($A68="",0,COUNTIFS('Full Register'!$J$6:$J$279,$A68,'Full Register'!$O$6:$O$279,"&gt;=3"))</f>
        <v>0</v>
      </c>
      <c r="U68" s="22" t="str">
        <f aca="false">IF(OR($A68="",S68=0),"",T68/S68)</f>
        <v/>
      </c>
      <c r="V68" s="21" t="n">
        <f aca="false">IF($A68="",0,S68-COUNTIFS('Full Register'!$J$6:$J$279,$A68,'Full Register'!$K$6:$K$279,"&lt;&gt;"))</f>
        <v>0</v>
      </c>
      <c r="W68" s="21" t="str">
        <f aca="false">IF($A68="","",IF(COUNTIFS('Full Register'!$J$6:$J$279,$A68,'Full Register'!$H$6:$H$279,"Full")&gt;0,"Full","Screen"))</f>
        <v/>
      </c>
      <c r="X68" s="21" t="str">
        <f aca="false">IF($A68="","",IF(AND(S68=0,I68="",G68=""),"Not started",IF($C68="","No sample class picked",IF(AND(W68="Full",$C68&lt;&gt;"Artifact",K68=""),"Record sample required, none recorded",IF(AND(I68&lt;&gt;"",V68&gt;0),V68&amp;" register rows on this pull still ungraded",IF(AND($C68="Transactional",K68&lt;&gt;"",K68&lt;10),"Transactional sample below 10 - say why in Notes",IF(AND($C68="Event",K68&lt;&gt;"",K68&lt;3),"Event sample below 3 - say why in Notes",IF(AND($C68&lt;&gt;"Artifact",K68&lt;&gt;"",L68=""),"Sample size with no conforming count",IF(AND($C68="Artifact",K68&lt;&gt;""),"Artifact pull: leave K and L blank, coverage is computed",IF(S68=0,"Worked but no requirement rows point at it","OK"))))))))))</f>
        <v/>
      </c>
    </row>
    <row r="69" customFormat="false" ht="15" hidden="false" customHeight="false" outlineLevel="0" collapsed="false">
      <c r="A69" s="16"/>
      <c r="B69" s="16"/>
      <c r="C69" s="16"/>
      <c r="D69" s="16"/>
      <c r="E69" s="16"/>
      <c r="F69" s="16"/>
      <c r="G69" s="16"/>
      <c r="H69" s="16"/>
      <c r="I69" s="16"/>
      <c r="J69" s="16"/>
      <c r="K69" s="16"/>
      <c r="L69" s="16"/>
      <c r="M69" s="16"/>
      <c r="N69" s="16"/>
      <c r="O69" s="21" t="str">
        <f aca="false">IF($A69="","",IF($C69="Transactional","10 records, or all if fewer",IF($C69="Artifact","NO record sample. Grade every register row on this pull.",IF($C69="Event","last 3 occurrences, or all if fewer","PICK A SAMPLE CLASS"))))</f>
        <v/>
      </c>
      <c r="P69" s="21" t="n">
        <f aca="false">IF(TRIM(G69)="",0,LEN(TRIM(G69))-LEN(SUBSTITUTE(TRIM(G69),";",""))+1)</f>
        <v>0</v>
      </c>
      <c r="Q69" s="21" t="str">
        <f aca="false">IF($A69="","",IF(P69=0,"Unassigned",IF(P69=1,"Single point","Staffed")))</f>
        <v/>
      </c>
      <c r="R69" s="22" t="str">
        <f aca="false">IF(OR($C69="Artifact",K69="",K69=0),"",L69/K69)</f>
        <v/>
      </c>
      <c r="S69" s="21" t="n">
        <f aca="false">IF($A69="",0,COUNTIF('Full Register'!$J$6:$J$279,$A69))</f>
        <v>0</v>
      </c>
      <c r="T69" s="21" t="n">
        <f aca="false">IF($A69="",0,COUNTIFS('Full Register'!$J$6:$J$279,$A69,'Full Register'!$O$6:$O$279,"&gt;=3"))</f>
        <v>0</v>
      </c>
      <c r="U69" s="22" t="str">
        <f aca="false">IF(OR($A69="",S69=0),"",T69/S69)</f>
        <v/>
      </c>
      <c r="V69" s="21" t="n">
        <f aca="false">IF($A69="",0,S69-COUNTIFS('Full Register'!$J$6:$J$279,$A69,'Full Register'!$K$6:$K$279,"&lt;&gt;"))</f>
        <v>0</v>
      </c>
      <c r="W69" s="21" t="str">
        <f aca="false">IF($A69="","",IF(COUNTIFS('Full Register'!$J$6:$J$279,$A69,'Full Register'!$H$6:$H$279,"Full")&gt;0,"Full","Screen"))</f>
        <v/>
      </c>
      <c r="X69" s="21" t="str">
        <f aca="false">IF($A69="","",IF(AND(S69=0,I69="",G69=""),"Not started",IF($C69="","No sample class picked",IF(AND(W69="Full",$C69&lt;&gt;"Artifact",K69=""),"Record sample required, none recorded",IF(AND(I69&lt;&gt;"",V69&gt;0),V69&amp;" register rows on this pull still ungraded",IF(AND($C69="Transactional",K69&lt;&gt;"",K69&lt;10),"Transactional sample below 10 - say why in Notes",IF(AND($C69="Event",K69&lt;&gt;"",K69&lt;3),"Event sample below 3 - say why in Notes",IF(AND($C69&lt;&gt;"Artifact",K69&lt;&gt;"",L69=""),"Sample size with no conforming count",IF(AND($C69="Artifact",K69&lt;&gt;""),"Artifact pull: leave K and L blank, coverage is computed",IF(S69=0,"Worked but no requirement rows point at it","OK"))))))))))</f>
        <v/>
      </c>
    </row>
    <row r="70" customFormat="false" ht="15" hidden="false" customHeight="false" outlineLevel="0" collapsed="false">
      <c r="A70" s="16"/>
      <c r="B70" s="16"/>
      <c r="C70" s="16"/>
      <c r="D70" s="16"/>
      <c r="E70" s="16"/>
      <c r="F70" s="16"/>
      <c r="G70" s="16"/>
      <c r="H70" s="16"/>
      <c r="I70" s="16"/>
      <c r="J70" s="16"/>
      <c r="K70" s="16"/>
      <c r="L70" s="16"/>
      <c r="M70" s="16"/>
      <c r="N70" s="16"/>
      <c r="O70" s="21" t="str">
        <f aca="false">IF($A70="","",IF($C70="Transactional","10 records, or all if fewer",IF($C70="Artifact","NO record sample. Grade every register row on this pull.",IF($C70="Event","last 3 occurrences, or all if fewer","PICK A SAMPLE CLASS"))))</f>
        <v/>
      </c>
      <c r="P70" s="21" t="n">
        <f aca="false">IF(TRIM(G70)="",0,LEN(TRIM(G70))-LEN(SUBSTITUTE(TRIM(G70),";",""))+1)</f>
        <v>0</v>
      </c>
      <c r="Q70" s="21" t="str">
        <f aca="false">IF($A70="","",IF(P70=0,"Unassigned",IF(P70=1,"Single point","Staffed")))</f>
        <v/>
      </c>
      <c r="R70" s="22" t="str">
        <f aca="false">IF(OR($C70="Artifact",K70="",K70=0),"",L70/K70)</f>
        <v/>
      </c>
      <c r="S70" s="21" t="n">
        <f aca="false">IF($A70="",0,COUNTIF('Full Register'!$J$6:$J$279,$A70))</f>
        <v>0</v>
      </c>
      <c r="T70" s="21" t="n">
        <f aca="false">IF($A70="",0,COUNTIFS('Full Register'!$J$6:$J$279,$A70,'Full Register'!$O$6:$O$279,"&gt;=3"))</f>
        <v>0</v>
      </c>
      <c r="U70" s="22" t="str">
        <f aca="false">IF(OR($A70="",S70=0),"",T70/S70)</f>
        <v/>
      </c>
      <c r="V70" s="21" t="n">
        <f aca="false">IF($A70="",0,S70-COUNTIFS('Full Register'!$J$6:$J$279,$A70,'Full Register'!$K$6:$K$279,"&lt;&gt;"))</f>
        <v>0</v>
      </c>
      <c r="W70" s="21" t="str">
        <f aca="false">IF($A70="","",IF(COUNTIFS('Full Register'!$J$6:$J$279,$A70,'Full Register'!$H$6:$H$279,"Full")&gt;0,"Full","Screen"))</f>
        <v/>
      </c>
      <c r="X70" s="21" t="str">
        <f aca="false">IF($A70="","",IF(AND(S70=0,I70="",G70=""),"Not started",IF($C70="","No sample class picked",IF(AND(W70="Full",$C70&lt;&gt;"Artifact",K70=""),"Record sample required, none recorded",IF(AND(I70&lt;&gt;"",V70&gt;0),V70&amp;" register rows on this pull still ungraded",IF(AND($C70="Transactional",K70&lt;&gt;"",K70&lt;10),"Transactional sample below 10 - say why in Notes",IF(AND($C70="Event",K70&lt;&gt;"",K70&lt;3),"Event sample below 3 - say why in Notes",IF(AND($C70&lt;&gt;"Artifact",K70&lt;&gt;"",L70=""),"Sample size with no conforming count",IF(AND($C70="Artifact",K70&lt;&gt;""),"Artifact pull: leave K and L blank, coverage is computed",IF(S70=0,"Worked but no requirement rows point at it","OK"))))))))))</f>
        <v/>
      </c>
    </row>
    <row r="71" customFormat="false" ht="15" hidden="false" customHeight="false" outlineLevel="0" collapsed="false">
      <c r="A71" s="16"/>
      <c r="B71" s="16"/>
      <c r="C71" s="16"/>
      <c r="D71" s="16"/>
      <c r="E71" s="16"/>
      <c r="F71" s="16"/>
      <c r="G71" s="16"/>
      <c r="H71" s="16"/>
      <c r="I71" s="16"/>
      <c r="J71" s="16"/>
      <c r="K71" s="16"/>
      <c r="L71" s="16"/>
      <c r="M71" s="16"/>
      <c r="N71" s="16"/>
      <c r="O71" s="21" t="str">
        <f aca="false">IF($A71="","",IF($C71="Transactional","10 records, or all if fewer",IF($C71="Artifact","NO record sample. Grade every register row on this pull.",IF($C71="Event","last 3 occurrences, or all if fewer","PICK A SAMPLE CLASS"))))</f>
        <v/>
      </c>
      <c r="P71" s="21" t="n">
        <f aca="false">IF(TRIM(G71)="",0,LEN(TRIM(G71))-LEN(SUBSTITUTE(TRIM(G71),";",""))+1)</f>
        <v>0</v>
      </c>
      <c r="Q71" s="21" t="str">
        <f aca="false">IF($A71="","",IF(P71=0,"Unassigned",IF(P71=1,"Single point","Staffed")))</f>
        <v/>
      </c>
      <c r="R71" s="22" t="str">
        <f aca="false">IF(OR($C71="Artifact",K71="",K71=0),"",L71/K71)</f>
        <v/>
      </c>
      <c r="S71" s="21" t="n">
        <f aca="false">IF($A71="",0,COUNTIF('Full Register'!$J$6:$J$279,$A71))</f>
        <v>0</v>
      </c>
      <c r="T71" s="21" t="n">
        <f aca="false">IF($A71="",0,COUNTIFS('Full Register'!$J$6:$J$279,$A71,'Full Register'!$O$6:$O$279,"&gt;=3"))</f>
        <v>0</v>
      </c>
      <c r="U71" s="22" t="str">
        <f aca="false">IF(OR($A71="",S71=0),"",T71/S71)</f>
        <v/>
      </c>
      <c r="V71" s="21" t="n">
        <f aca="false">IF($A71="",0,S71-COUNTIFS('Full Register'!$J$6:$J$279,$A71,'Full Register'!$K$6:$K$279,"&lt;&gt;"))</f>
        <v>0</v>
      </c>
      <c r="W71" s="21" t="str">
        <f aca="false">IF($A71="","",IF(COUNTIFS('Full Register'!$J$6:$J$279,$A71,'Full Register'!$H$6:$H$279,"Full")&gt;0,"Full","Screen"))</f>
        <v/>
      </c>
      <c r="X71" s="21" t="str">
        <f aca="false">IF($A71="","",IF(AND(S71=0,I71="",G71=""),"Not started",IF($C71="","No sample class picked",IF(AND(W71="Full",$C71&lt;&gt;"Artifact",K71=""),"Record sample required, none recorded",IF(AND(I71&lt;&gt;"",V71&gt;0),V71&amp;" register rows on this pull still ungraded",IF(AND($C71="Transactional",K71&lt;&gt;"",K71&lt;10),"Transactional sample below 10 - say why in Notes",IF(AND($C71="Event",K71&lt;&gt;"",K71&lt;3),"Event sample below 3 - say why in Notes",IF(AND($C71&lt;&gt;"Artifact",K71&lt;&gt;"",L71=""),"Sample size with no conforming count",IF(AND($C71="Artifact",K71&lt;&gt;""),"Artifact pull: leave K and L blank, coverage is computed",IF(S71=0,"Worked but no requirement rows point at it","OK"))))))))))</f>
        <v/>
      </c>
    </row>
    <row r="72" customFormat="false" ht="15" hidden="false" customHeight="false" outlineLevel="0" collapsed="false">
      <c r="A72" s="16"/>
      <c r="B72" s="16"/>
      <c r="C72" s="16"/>
      <c r="D72" s="16"/>
      <c r="E72" s="16"/>
      <c r="F72" s="16"/>
      <c r="G72" s="16"/>
      <c r="H72" s="16"/>
      <c r="I72" s="16"/>
      <c r="J72" s="16"/>
      <c r="K72" s="16"/>
      <c r="L72" s="16"/>
      <c r="M72" s="16"/>
      <c r="N72" s="16"/>
      <c r="O72" s="21" t="str">
        <f aca="false">IF($A72="","",IF($C72="Transactional","10 records, or all if fewer",IF($C72="Artifact","NO record sample. Grade every register row on this pull.",IF($C72="Event","last 3 occurrences, or all if fewer","PICK A SAMPLE CLASS"))))</f>
        <v/>
      </c>
      <c r="P72" s="21" t="n">
        <f aca="false">IF(TRIM(G72)="",0,LEN(TRIM(G72))-LEN(SUBSTITUTE(TRIM(G72),";",""))+1)</f>
        <v>0</v>
      </c>
      <c r="Q72" s="21" t="str">
        <f aca="false">IF($A72="","",IF(P72=0,"Unassigned",IF(P72=1,"Single point","Staffed")))</f>
        <v/>
      </c>
      <c r="R72" s="22" t="str">
        <f aca="false">IF(OR($C72="Artifact",K72="",K72=0),"",L72/K72)</f>
        <v/>
      </c>
      <c r="S72" s="21" t="n">
        <f aca="false">IF($A72="",0,COUNTIF('Full Register'!$J$6:$J$279,$A72))</f>
        <v>0</v>
      </c>
      <c r="T72" s="21" t="n">
        <f aca="false">IF($A72="",0,COUNTIFS('Full Register'!$J$6:$J$279,$A72,'Full Register'!$O$6:$O$279,"&gt;=3"))</f>
        <v>0</v>
      </c>
      <c r="U72" s="22" t="str">
        <f aca="false">IF(OR($A72="",S72=0),"",T72/S72)</f>
        <v/>
      </c>
      <c r="V72" s="21" t="n">
        <f aca="false">IF($A72="",0,S72-COUNTIFS('Full Register'!$J$6:$J$279,$A72,'Full Register'!$K$6:$K$279,"&lt;&gt;"))</f>
        <v>0</v>
      </c>
      <c r="W72" s="21" t="str">
        <f aca="false">IF($A72="","",IF(COUNTIFS('Full Register'!$J$6:$J$279,$A72,'Full Register'!$H$6:$H$279,"Full")&gt;0,"Full","Screen"))</f>
        <v/>
      </c>
      <c r="X72" s="21" t="str">
        <f aca="false">IF($A72="","",IF(AND(S72=0,I72="",G72=""),"Not started",IF($C72="","No sample class picked",IF(AND(W72="Full",$C72&lt;&gt;"Artifact",K72=""),"Record sample required, none recorded",IF(AND(I72&lt;&gt;"",V72&gt;0),V72&amp;" register rows on this pull still ungraded",IF(AND($C72="Transactional",K72&lt;&gt;"",K72&lt;10),"Transactional sample below 10 - say why in Notes",IF(AND($C72="Event",K72&lt;&gt;"",K72&lt;3),"Event sample below 3 - say why in Notes",IF(AND($C72&lt;&gt;"Artifact",K72&lt;&gt;"",L72=""),"Sample size with no conforming count",IF(AND($C72="Artifact",K72&lt;&gt;""),"Artifact pull: leave K and L blank, coverage is computed",IF(S72=0,"Worked but no requirement rows point at it","OK"))))))))))</f>
        <v/>
      </c>
    </row>
    <row r="73" customFormat="false" ht="15" hidden="false" customHeight="false" outlineLevel="0" collapsed="false">
      <c r="A73" s="16"/>
      <c r="B73" s="16"/>
      <c r="C73" s="16"/>
      <c r="D73" s="16"/>
      <c r="E73" s="16"/>
      <c r="F73" s="16"/>
      <c r="G73" s="16"/>
      <c r="H73" s="16"/>
      <c r="I73" s="16"/>
      <c r="J73" s="16"/>
      <c r="K73" s="16"/>
      <c r="L73" s="16"/>
      <c r="M73" s="16"/>
      <c r="N73" s="16"/>
      <c r="O73" s="21" t="str">
        <f aca="false">IF($A73="","",IF($C73="Transactional","10 records, or all if fewer",IF($C73="Artifact","NO record sample. Grade every register row on this pull.",IF($C73="Event","last 3 occurrences, or all if fewer","PICK A SAMPLE CLASS"))))</f>
        <v/>
      </c>
      <c r="P73" s="21" t="n">
        <f aca="false">IF(TRIM(G73)="",0,LEN(TRIM(G73))-LEN(SUBSTITUTE(TRIM(G73),";",""))+1)</f>
        <v>0</v>
      </c>
      <c r="Q73" s="21" t="str">
        <f aca="false">IF($A73="","",IF(P73=0,"Unassigned",IF(P73=1,"Single point","Staffed")))</f>
        <v/>
      </c>
      <c r="R73" s="22" t="str">
        <f aca="false">IF(OR($C73="Artifact",K73="",K73=0),"",L73/K73)</f>
        <v/>
      </c>
      <c r="S73" s="21" t="n">
        <f aca="false">IF($A73="",0,COUNTIF('Full Register'!$J$6:$J$279,$A73))</f>
        <v>0</v>
      </c>
      <c r="T73" s="21" t="n">
        <f aca="false">IF($A73="",0,COUNTIFS('Full Register'!$J$6:$J$279,$A73,'Full Register'!$O$6:$O$279,"&gt;=3"))</f>
        <v>0</v>
      </c>
      <c r="U73" s="22" t="str">
        <f aca="false">IF(OR($A73="",S73=0),"",T73/S73)</f>
        <v/>
      </c>
      <c r="V73" s="21" t="n">
        <f aca="false">IF($A73="",0,S73-COUNTIFS('Full Register'!$J$6:$J$279,$A73,'Full Register'!$K$6:$K$279,"&lt;&gt;"))</f>
        <v>0</v>
      </c>
      <c r="W73" s="21" t="str">
        <f aca="false">IF($A73="","",IF(COUNTIFS('Full Register'!$J$6:$J$279,$A73,'Full Register'!$H$6:$H$279,"Full")&gt;0,"Full","Screen"))</f>
        <v/>
      </c>
      <c r="X73" s="21" t="str">
        <f aca="false">IF($A73="","",IF(AND(S73=0,I73="",G73=""),"Not started",IF($C73="","No sample class picked",IF(AND(W73="Full",$C73&lt;&gt;"Artifact",K73=""),"Record sample required, none recorded",IF(AND(I73&lt;&gt;"",V73&gt;0),V73&amp;" register rows on this pull still ungraded",IF(AND($C73="Transactional",K73&lt;&gt;"",K73&lt;10),"Transactional sample below 10 - say why in Notes",IF(AND($C73="Event",K73&lt;&gt;"",K73&lt;3),"Event sample below 3 - say why in Notes",IF(AND($C73&lt;&gt;"Artifact",K73&lt;&gt;"",L73=""),"Sample size with no conforming count",IF(AND($C73="Artifact",K73&lt;&gt;""),"Artifact pull: leave K and L blank, coverage is computed",IF(S73=0,"Worked but no requirement rows point at it","OK"))))))))))</f>
        <v/>
      </c>
    </row>
    <row r="74" customFormat="false" ht="15" hidden="false" customHeight="false" outlineLevel="0" collapsed="false">
      <c r="A74" s="16"/>
      <c r="B74" s="16"/>
      <c r="C74" s="16"/>
      <c r="D74" s="16"/>
      <c r="E74" s="16"/>
      <c r="F74" s="16"/>
      <c r="G74" s="16"/>
      <c r="H74" s="16"/>
      <c r="I74" s="16"/>
      <c r="J74" s="16"/>
      <c r="K74" s="16"/>
      <c r="L74" s="16"/>
      <c r="M74" s="16"/>
      <c r="N74" s="16"/>
      <c r="O74" s="21" t="str">
        <f aca="false">IF($A74="","",IF($C74="Transactional","10 records, or all if fewer",IF($C74="Artifact","NO record sample. Grade every register row on this pull.",IF($C74="Event","last 3 occurrences, or all if fewer","PICK A SAMPLE CLASS"))))</f>
        <v/>
      </c>
      <c r="P74" s="21" t="n">
        <f aca="false">IF(TRIM(G74)="",0,LEN(TRIM(G74))-LEN(SUBSTITUTE(TRIM(G74),";",""))+1)</f>
        <v>0</v>
      </c>
      <c r="Q74" s="21" t="str">
        <f aca="false">IF($A74="","",IF(P74=0,"Unassigned",IF(P74=1,"Single point","Staffed")))</f>
        <v/>
      </c>
      <c r="R74" s="22" t="str">
        <f aca="false">IF(OR($C74="Artifact",K74="",K74=0),"",L74/K74)</f>
        <v/>
      </c>
      <c r="S74" s="21" t="n">
        <f aca="false">IF($A74="",0,COUNTIF('Full Register'!$J$6:$J$279,$A74))</f>
        <v>0</v>
      </c>
      <c r="T74" s="21" t="n">
        <f aca="false">IF($A74="",0,COUNTIFS('Full Register'!$J$6:$J$279,$A74,'Full Register'!$O$6:$O$279,"&gt;=3"))</f>
        <v>0</v>
      </c>
      <c r="U74" s="22" t="str">
        <f aca="false">IF(OR($A74="",S74=0),"",T74/S74)</f>
        <v/>
      </c>
      <c r="V74" s="21" t="n">
        <f aca="false">IF($A74="",0,S74-COUNTIFS('Full Register'!$J$6:$J$279,$A74,'Full Register'!$K$6:$K$279,"&lt;&gt;"))</f>
        <v>0</v>
      </c>
      <c r="W74" s="21" t="str">
        <f aca="false">IF($A74="","",IF(COUNTIFS('Full Register'!$J$6:$J$279,$A74,'Full Register'!$H$6:$H$279,"Full")&gt;0,"Full","Screen"))</f>
        <v/>
      </c>
      <c r="X74" s="21" t="str">
        <f aca="false">IF($A74="","",IF(AND(S74=0,I74="",G74=""),"Not started",IF($C74="","No sample class picked",IF(AND(W74="Full",$C74&lt;&gt;"Artifact",K74=""),"Record sample required, none recorded",IF(AND(I74&lt;&gt;"",V74&gt;0),V74&amp;" register rows on this pull still ungraded",IF(AND($C74="Transactional",K74&lt;&gt;"",K74&lt;10),"Transactional sample below 10 - say why in Notes",IF(AND($C74="Event",K74&lt;&gt;"",K74&lt;3),"Event sample below 3 - say why in Notes",IF(AND($C74&lt;&gt;"Artifact",K74&lt;&gt;"",L74=""),"Sample size with no conforming count",IF(AND($C74="Artifact",K74&lt;&gt;""),"Artifact pull: leave K and L blank, coverage is computed",IF(S74=0,"Worked but no requirement rows point at it","OK"))))))))))</f>
        <v/>
      </c>
    </row>
    <row r="75" customFormat="false" ht="15" hidden="false" customHeight="false" outlineLevel="0" collapsed="false">
      <c r="A75" s="16"/>
      <c r="B75" s="16"/>
      <c r="C75" s="16"/>
      <c r="D75" s="16"/>
      <c r="E75" s="16"/>
      <c r="F75" s="16"/>
      <c r="G75" s="16"/>
      <c r="H75" s="16"/>
      <c r="I75" s="16"/>
      <c r="J75" s="16"/>
      <c r="K75" s="16"/>
      <c r="L75" s="16"/>
      <c r="M75" s="16"/>
      <c r="N75" s="16"/>
      <c r="O75" s="21" t="str">
        <f aca="false">IF($A75="","",IF($C75="Transactional","10 records, or all if fewer",IF($C75="Artifact","NO record sample. Grade every register row on this pull.",IF($C75="Event","last 3 occurrences, or all if fewer","PICK A SAMPLE CLASS"))))</f>
        <v/>
      </c>
      <c r="P75" s="21" t="n">
        <f aca="false">IF(TRIM(G75)="",0,LEN(TRIM(G75))-LEN(SUBSTITUTE(TRIM(G75),";",""))+1)</f>
        <v>0</v>
      </c>
      <c r="Q75" s="21" t="str">
        <f aca="false">IF($A75="","",IF(P75=0,"Unassigned",IF(P75=1,"Single point","Staffed")))</f>
        <v/>
      </c>
      <c r="R75" s="22" t="str">
        <f aca="false">IF(OR($C75="Artifact",K75="",K75=0),"",L75/K75)</f>
        <v/>
      </c>
      <c r="S75" s="21" t="n">
        <f aca="false">IF($A75="",0,COUNTIF('Full Register'!$J$6:$J$279,$A75))</f>
        <v>0</v>
      </c>
      <c r="T75" s="21" t="n">
        <f aca="false">IF($A75="",0,COUNTIFS('Full Register'!$J$6:$J$279,$A75,'Full Register'!$O$6:$O$279,"&gt;=3"))</f>
        <v>0</v>
      </c>
      <c r="U75" s="22" t="str">
        <f aca="false">IF(OR($A75="",S75=0),"",T75/S75)</f>
        <v/>
      </c>
      <c r="V75" s="21" t="n">
        <f aca="false">IF($A75="",0,S75-COUNTIFS('Full Register'!$J$6:$J$279,$A75,'Full Register'!$K$6:$K$279,"&lt;&gt;"))</f>
        <v>0</v>
      </c>
      <c r="W75" s="21" t="str">
        <f aca="false">IF($A75="","",IF(COUNTIFS('Full Register'!$J$6:$J$279,$A75,'Full Register'!$H$6:$H$279,"Full")&gt;0,"Full","Screen"))</f>
        <v/>
      </c>
      <c r="X75" s="21" t="str">
        <f aca="false">IF($A75="","",IF(AND(S75=0,I75="",G75=""),"Not started",IF($C75="","No sample class picked",IF(AND(W75="Full",$C75&lt;&gt;"Artifact",K75=""),"Record sample required, none recorded",IF(AND(I75&lt;&gt;"",V75&gt;0),V75&amp;" register rows on this pull still ungraded",IF(AND($C75="Transactional",K75&lt;&gt;"",K75&lt;10),"Transactional sample below 10 - say why in Notes",IF(AND($C75="Event",K75&lt;&gt;"",K75&lt;3),"Event sample below 3 - say why in Notes",IF(AND($C75&lt;&gt;"Artifact",K75&lt;&gt;"",L75=""),"Sample size with no conforming count",IF(AND($C75="Artifact",K75&lt;&gt;""),"Artifact pull: leave K and L blank, coverage is computed",IF(S75=0,"Worked but no requirement rows point at it","OK"))))))))))</f>
        <v/>
      </c>
    </row>
    <row r="76" customFormat="false" ht="15" hidden="false" customHeight="false" outlineLevel="0" collapsed="false">
      <c r="A76" s="16"/>
      <c r="B76" s="16"/>
      <c r="C76" s="16"/>
      <c r="D76" s="16"/>
      <c r="E76" s="16"/>
      <c r="F76" s="16"/>
      <c r="G76" s="16"/>
      <c r="H76" s="16"/>
      <c r="I76" s="16"/>
      <c r="J76" s="16"/>
      <c r="K76" s="16"/>
      <c r="L76" s="16"/>
      <c r="M76" s="16"/>
      <c r="N76" s="16"/>
      <c r="O76" s="21" t="str">
        <f aca="false">IF($A76="","",IF($C76="Transactional","10 records, or all if fewer",IF($C76="Artifact","NO record sample. Grade every register row on this pull.",IF($C76="Event","last 3 occurrences, or all if fewer","PICK A SAMPLE CLASS"))))</f>
        <v/>
      </c>
      <c r="P76" s="21" t="n">
        <f aca="false">IF(TRIM(G76)="",0,LEN(TRIM(G76))-LEN(SUBSTITUTE(TRIM(G76),";",""))+1)</f>
        <v>0</v>
      </c>
      <c r="Q76" s="21" t="str">
        <f aca="false">IF($A76="","",IF(P76=0,"Unassigned",IF(P76=1,"Single point","Staffed")))</f>
        <v/>
      </c>
      <c r="R76" s="22" t="str">
        <f aca="false">IF(OR($C76="Artifact",K76="",K76=0),"",L76/K76)</f>
        <v/>
      </c>
      <c r="S76" s="21" t="n">
        <f aca="false">IF($A76="",0,COUNTIF('Full Register'!$J$6:$J$279,$A76))</f>
        <v>0</v>
      </c>
      <c r="T76" s="21" t="n">
        <f aca="false">IF($A76="",0,COUNTIFS('Full Register'!$J$6:$J$279,$A76,'Full Register'!$O$6:$O$279,"&gt;=3"))</f>
        <v>0</v>
      </c>
      <c r="U76" s="22" t="str">
        <f aca="false">IF(OR($A76="",S76=0),"",T76/S76)</f>
        <v/>
      </c>
      <c r="V76" s="21" t="n">
        <f aca="false">IF($A76="",0,S76-COUNTIFS('Full Register'!$J$6:$J$279,$A76,'Full Register'!$K$6:$K$279,"&lt;&gt;"))</f>
        <v>0</v>
      </c>
      <c r="W76" s="21" t="str">
        <f aca="false">IF($A76="","",IF(COUNTIFS('Full Register'!$J$6:$J$279,$A76,'Full Register'!$H$6:$H$279,"Full")&gt;0,"Full","Screen"))</f>
        <v/>
      </c>
      <c r="X76" s="21" t="str">
        <f aca="false">IF($A76="","",IF(AND(S76=0,I76="",G76=""),"Not started",IF($C76="","No sample class picked",IF(AND(W76="Full",$C76&lt;&gt;"Artifact",K76=""),"Record sample required, none recorded",IF(AND(I76&lt;&gt;"",V76&gt;0),V76&amp;" register rows on this pull still ungraded",IF(AND($C76="Transactional",K76&lt;&gt;"",K76&lt;10),"Transactional sample below 10 - say why in Notes",IF(AND($C76="Event",K76&lt;&gt;"",K76&lt;3),"Event sample below 3 - say why in Notes",IF(AND($C76&lt;&gt;"Artifact",K76&lt;&gt;"",L76=""),"Sample size with no conforming count",IF(AND($C76="Artifact",K76&lt;&gt;""),"Artifact pull: leave K and L blank, coverage is computed",IF(S76=0,"Worked but no requirement rows point at it","OK"))))))))))</f>
        <v/>
      </c>
    </row>
    <row r="77" customFormat="false" ht="15" hidden="false" customHeight="false" outlineLevel="0" collapsed="false">
      <c r="A77" s="16"/>
      <c r="B77" s="16"/>
      <c r="C77" s="16"/>
      <c r="D77" s="16"/>
      <c r="E77" s="16"/>
      <c r="F77" s="16"/>
      <c r="G77" s="16"/>
      <c r="H77" s="16"/>
      <c r="I77" s="16"/>
      <c r="J77" s="16"/>
      <c r="K77" s="16"/>
      <c r="L77" s="16"/>
      <c r="M77" s="16"/>
      <c r="N77" s="16"/>
      <c r="O77" s="21" t="str">
        <f aca="false">IF($A77="","",IF($C77="Transactional","10 records, or all if fewer",IF($C77="Artifact","NO record sample. Grade every register row on this pull.",IF($C77="Event","last 3 occurrences, or all if fewer","PICK A SAMPLE CLASS"))))</f>
        <v/>
      </c>
      <c r="P77" s="21" t="n">
        <f aca="false">IF(TRIM(G77)="",0,LEN(TRIM(G77))-LEN(SUBSTITUTE(TRIM(G77),";",""))+1)</f>
        <v>0</v>
      </c>
      <c r="Q77" s="21" t="str">
        <f aca="false">IF($A77="","",IF(P77=0,"Unassigned",IF(P77=1,"Single point","Staffed")))</f>
        <v/>
      </c>
      <c r="R77" s="22" t="str">
        <f aca="false">IF(OR($C77="Artifact",K77="",K77=0),"",L77/K77)</f>
        <v/>
      </c>
      <c r="S77" s="21" t="n">
        <f aca="false">IF($A77="",0,COUNTIF('Full Register'!$J$6:$J$279,$A77))</f>
        <v>0</v>
      </c>
      <c r="T77" s="21" t="n">
        <f aca="false">IF($A77="",0,COUNTIFS('Full Register'!$J$6:$J$279,$A77,'Full Register'!$O$6:$O$279,"&gt;=3"))</f>
        <v>0</v>
      </c>
      <c r="U77" s="22" t="str">
        <f aca="false">IF(OR($A77="",S77=0),"",T77/S77)</f>
        <v/>
      </c>
      <c r="V77" s="21" t="n">
        <f aca="false">IF($A77="",0,S77-COUNTIFS('Full Register'!$J$6:$J$279,$A77,'Full Register'!$K$6:$K$279,"&lt;&gt;"))</f>
        <v>0</v>
      </c>
      <c r="W77" s="21" t="str">
        <f aca="false">IF($A77="","",IF(COUNTIFS('Full Register'!$J$6:$J$279,$A77,'Full Register'!$H$6:$H$279,"Full")&gt;0,"Full","Screen"))</f>
        <v/>
      </c>
      <c r="X77" s="21" t="str">
        <f aca="false">IF($A77="","",IF(AND(S77=0,I77="",G77=""),"Not started",IF($C77="","No sample class picked",IF(AND(W77="Full",$C77&lt;&gt;"Artifact",K77=""),"Record sample required, none recorded",IF(AND(I77&lt;&gt;"",V77&gt;0),V77&amp;" register rows on this pull still ungraded",IF(AND($C77="Transactional",K77&lt;&gt;"",K77&lt;10),"Transactional sample below 10 - say why in Notes",IF(AND($C77="Event",K77&lt;&gt;"",K77&lt;3),"Event sample below 3 - say why in Notes",IF(AND($C77&lt;&gt;"Artifact",K77&lt;&gt;"",L77=""),"Sample size with no conforming count",IF(AND($C77="Artifact",K77&lt;&gt;""),"Artifact pull: leave K and L blank, coverage is computed",IF(S77=0,"Worked but no requirement rows point at it","OK"))))))))))</f>
        <v/>
      </c>
    </row>
    <row r="78" customFormat="false" ht="15" hidden="false" customHeight="false" outlineLevel="0" collapsed="false">
      <c r="A78" s="16"/>
      <c r="B78" s="16"/>
      <c r="C78" s="16"/>
      <c r="D78" s="16"/>
      <c r="E78" s="16"/>
      <c r="F78" s="16"/>
      <c r="G78" s="16"/>
      <c r="H78" s="16"/>
      <c r="I78" s="16"/>
      <c r="J78" s="16"/>
      <c r="K78" s="16"/>
      <c r="L78" s="16"/>
      <c r="M78" s="16"/>
      <c r="N78" s="16"/>
      <c r="O78" s="21" t="str">
        <f aca="false">IF($A78="","",IF($C78="Transactional","10 records, or all if fewer",IF($C78="Artifact","NO record sample. Grade every register row on this pull.",IF($C78="Event","last 3 occurrences, or all if fewer","PICK A SAMPLE CLASS"))))</f>
        <v/>
      </c>
      <c r="P78" s="21" t="n">
        <f aca="false">IF(TRIM(G78)="",0,LEN(TRIM(G78))-LEN(SUBSTITUTE(TRIM(G78),";",""))+1)</f>
        <v>0</v>
      </c>
      <c r="Q78" s="21" t="str">
        <f aca="false">IF($A78="","",IF(P78=0,"Unassigned",IF(P78=1,"Single point","Staffed")))</f>
        <v/>
      </c>
      <c r="R78" s="22" t="str">
        <f aca="false">IF(OR($C78="Artifact",K78="",K78=0),"",L78/K78)</f>
        <v/>
      </c>
      <c r="S78" s="21" t="n">
        <f aca="false">IF($A78="",0,COUNTIF('Full Register'!$J$6:$J$279,$A78))</f>
        <v>0</v>
      </c>
      <c r="T78" s="21" t="n">
        <f aca="false">IF($A78="",0,COUNTIFS('Full Register'!$J$6:$J$279,$A78,'Full Register'!$O$6:$O$279,"&gt;=3"))</f>
        <v>0</v>
      </c>
      <c r="U78" s="22" t="str">
        <f aca="false">IF(OR($A78="",S78=0),"",T78/S78)</f>
        <v/>
      </c>
      <c r="V78" s="21" t="n">
        <f aca="false">IF($A78="",0,S78-COUNTIFS('Full Register'!$J$6:$J$279,$A78,'Full Register'!$K$6:$K$279,"&lt;&gt;"))</f>
        <v>0</v>
      </c>
      <c r="W78" s="21" t="str">
        <f aca="false">IF($A78="","",IF(COUNTIFS('Full Register'!$J$6:$J$279,$A78,'Full Register'!$H$6:$H$279,"Full")&gt;0,"Full","Screen"))</f>
        <v/>
      </c>
      <c r="X78" s="21" t="str">
        <f aca="false">IF($A78="","",IF(AND(S78=0,I78="",G78=""),"Not started",IF($C78="","No sample class picked",IF(AND(W78="Full",$C78&lt;&gt;"Artifact",K78=""),"Record sample required, none recorded",IF(AND(I78&lt;&gt;"",V78&gt;0),V78&amp;" register rows on this pull still ungraded",IF(AND($C78="Transactional",K78&lt;&gt;"",K78&lt;10),"Transactional sample below 10 - say why in Notes",IF(AND($C78="Event",K78&lt;&gt;"",K78&lt;3),"Event sample below 3 - say why in Notes",IF(AND($C78&lt;&gt;"Artifact",K78&lt;&gt;"",L78=""),"Sample size with no conforming count",IF(AND($C78="Artifact",K78&lt;&gt;""),"Artifact pull: leave K and L blank, coverage is computed",IF(S78=0,"Worked but no requirement rows point at it","OK"))))))))))</f>
        <v/>
      </c>
    </row>
    <row r="79" customFormat="false" ht="15" hidden="false" customHeight="false" outlineLevel="0" collapsed="false">
      <c r="A79" s="16"/>
      <c r="B79" s="16"/>
      <c r="C79" s="16"/>
      <c r="D79" s="16"/>
      <c r="E79" s="16"/>
      <c r="F79" s="16"/>
      <c r="G79" s="16"/>
      <c r="H79" s="16"/>
      <c r="I79" s="16"/>
      <c r="J79" s="16"/>
      <c r="K79" s="16"/>
      <c r="L79" s="16"/>
      <c r="M79" s="16"/>
      <c r="N79" s="16"/>
      <c r="O79" s="21" t="str">
        <f aca="false">IF($A79="","",IF($C79="Transactional","10 records, or all if fewer",IF($C79="Artifact","NO record sample. Grade every register row on this pull.",IF($C79="Event","last 3 occurrences, or all if fewer","PICK A SAMPLE CLASS"))))</f>
        <v/>
      </c>
      <c r="P79" s="21" t="n">
        <f aca="false">IF(TRIM(G79)="",0,LEN(TRIM(G79))-LEN(SUBSTITUTE(TRIM(G79),";",""))+1)</f>
        <v>0</v>
      </c>
      <c r="Q79" s="21" t="str">
        <f aca="false">IF($A79="","",IF(P79=0,"Unassigned",IF(P79=1,"Single point","Staffed")))</f>
        <v/>
      </c>
      <c r="R79" s="22" t="str">
        <f aca="false">IF(OR($C79="Artifact",K79="",K79=0),"",L79/K79)</f>
        <v/>
      </c>
      <c r="S79" s="21" t="n">
        <f aca="false">IF($A79="",0,COUNTIF('Full Register'!$J$6:$J$279,$A79))</f>
        <v>0</v>
      </c>
      <c r="T79" s="21" t="n">
        <f aca="false">IF($A79="",0,COUNTIFS('Full Register'!$J$6:$J$279,$A79,'Full Register'!$O$6:$O$279,"&gt;=3"))</f>
        <v>0</v>
      </c>
      <c r="U79" s="22" t="str">
        <f aca="false">IF(OR($A79="",S79=0),"",T79/S79)</f>
        <v/>
      </c>
      <c r="V79" s="21" t="n">
        <f aca="false">IF($A79="",0,S79-COUNTIFS('Full Register'!$J$6:$J$279,$A79,'Full Register'!$K$6:$K$279,"&lt;&gt;"))</f>
        <v>0</v>
      </c>
      <c r="W79" s="21" t="str">
        <f aca="false">IF($A79="","",IF(COUNTIFS('Full Register'!$J$6:$J$279,$A79,'Full Register'!$H$6:$H$279,"Full")&gt;0,"Full","Screen"))</f>
        <v/>
      </c>
      <c r="X79" s="21" t="str">
        <f aca="false">IF($A79="","",IF(AND(S79=0,I79="",G79=""),"Not started",IF($C79="","No sample class picked",IF(AND(W79="Full",$C79&lt;&gt;"Artifact",K79=""),"Record sample required, none recorded",IF(AND(I79&lt;&gt;"",V79&gt;0),V79&amp;" register rows on this pull still ungraded",IF(AND($C79="Transactional",K79&lt;&gt;"",K79&lt;10),"Transactional sample below 10 - say why in Notes",IF(AND($C79="Event",K79&lt;&gt;"",K79&lt;3),"Event sample below 3 - say why in Notes",IF(AND($C79&lt;&gt;"Artifact",K79&lt;&gt;"",L79=""),"Sample size with no conforming count",IF(AND($C79="Artifact",K79&lt;&gt;""),"Artifact pull: leave K and L blank, coverage is computed",IF(S79=0,"Worked but no requirement rows point at it","OK"))))))))))</f>
        <v/>
      </c>
    </row>
    <row r="80" customFormat="false" ht="15" hidden="false" customHeight="false" outlineLevel="0" collapsed="false">
      <c r="A80" s="16"/>
      <c r="B80" s="16"/>
      <c r="C80" s="16"/>
      <c r="D80" s="16"/>
      <c r="E80" s="16"/>
      <c r="F80" s="16"/>
      <c r="G80" s="16"/>
      <c r="H80" s="16"/>
      <c r="I80" s="16"/>
      <c r="J80" s="16"/>
      <c r="K80" s="16"/>
      <c r="L80" s="16"/>
      <c r="M80" s="16"/>
      <c r="N80" s="16"/>
      <c r="O80" s="21" t="str">
        <f aca="false">IF($A80="","",IF($C80="Transactional","10 records, or all if fewer",IF($C80="Artifact","NO record sample. Grade every register row on this pull.",IF($C80="Event","last 3 occurrences, or all if fewer","PICK A SAMPLE CLASS"))))</f>
        <v/>
      </c>
      <c r="P80" s="21" t="n">
        <f aca="false">IF(TRIM(G80)="",0,LEN(TRIM(G80))-LEN(SUBSTITUTE(TRIM(G80),";",""))+1)</f>
        <v>0</v>
      </c>
      <c r="Q80" s="21" t="str">
        <f aca="false">IF($A80="","",IF(P80=0,"Unassigned",IF(P80=1,"Single point","Staffed")))</f>
        <v/>
      </c>
      <c r="R80" s="22" t="str">
        <f aca="false">IF(OR($C80="Artifact",K80="",K80=0),"",L80/K80)</f>
        <v/>
      </c>
      <c r="S80" s="21" t="n">
        <f aca="false">IF($A80="",0,COUNTIF('Full Register'!$J$6:$J$279,$A80))</f>
        <v>0</v>
      </c>
      <c r="T80" s="21" t="n">
        <f aca="false">IF($A80="",0,COUNTIFS('Full Register'!$J$6:$J$279,$A80,'Full Register'!$O$6:$O$279,"&gt;=3"))</f>
        <v>0</v>
      </c>
      <c r="U80" s="22" t="str">
        <f aca="false">IF(OR($A80="",S80=0),"",T80/S80)</f>
        <v/>
      </c>
      <c r="V80" s="21" t="n">
        <f aca="false">IF($A80="",0,S80-COUNTIFS('Full Register'!$J$6:$J$279,$A80,'Full Register'!$K$6:$K$279,"&lt;&gt;"))</f>
        <v>0</v>
      </c>
      <c r="W80" s="21" t="str">
        <f aca="false">IF($A80="","",IF(COUNTIFS('Full Register'!$J$6:$J$279,$A80,'Full Register'!$H$6:$H$279,"Full")&gt;0,"Full","Screen"))</f>
        <v/>
      </c>
      <c r="X80" s="21" t="str">
        <f aca="false">IF($A80="","",IF(AND(S80=0,I80="",G80=""),"Not started",IF($C80="","No sample class picked",IF(AND(W80="Full",$C80&lt;&gt;"Artifact",K80=""),"Record sample required, none recorded",IF(AND(I80&lt;&gt;"",V80&gt;0),V80&amp;" register rows on this pull still ungraded",IF(AND($C80="Transactional",K80&lt;&gt;"",K80&lt;10),"Transactional sample below 10 - say why in Notes",IF(AND($C80="Event",K80&lt;&gt;"",K80&lt;3),"Event sample below 3 - say why in Notes",IF(AND($C80&lt;&gt;"Artifact",K80&lt;&gt;"",L80=""),"Sample size with no conforming count",IF(AND($C80="Artifact",K80&lt;&gt;""),"Artifact pull: leave K and L blank, coverage is computed",IF(S80=0,"Worked but no requirement rows point at it","OK"))))))))))</f>
        <v/>
      </c>
    </row>
    <row r="81" customFormat="false" ht="15" hidden="false" customHeight="false" outlineLevel="0" collapsed="false">
      <c r="A81" s="16"/>
      <c r="B81" s="16"/>
      <c r="C81" s="16"/>
      <c r="D81" s="16"/>
      <c r="E81" s="16"/>
      <c r="F81" s="16"/>
      <c r="G81" s="16"/>
      <c r="H81" s="16"/>
      <c r="I81" s="16"/>
      <c r="J81" s="16"/>
      <c r="K81" s="16"/>
      <c r="L81" s="16"/>
      <c r="M81" s="16"/>
      <c r="N81" s="16"/>
      <c r="O81" s="21" t="str">
        <f aca="false">IF($A81="","",IF($C81="Transactional","10 records, or all if fewer",IF($C81="Artifact","NO record sample. Grade every register row on this pull.",IF($C81="Event","last 3 occurrences, or all if fewer","PICK A SAMPLE CLASS"))))</f>
        <v/>
      </c>
      <c r="P81" s="21" t="n">
        <f aca="false">IF(TRIM(G81)="",0,LEN(TRIM(G81))-LEN(SUBSTITUTE(TRIM(G81),";",""))+1)</f>
        <v>0</v>
      </c>
      <c r="Q81" s="21" t="str">
        <f aca="false">IF($A81="","",IF(P81=0,"Unassigned",IF(P81=1,"Single point","Staffed")))</f>
        <v/>
      </c>
      <c r="R81" s="22" t="str">
        <f aca="false">IF(OR($C81="Artifact",K81="",K81=0),"",L81/K81)</f>
        <v/>
      </c>
      <c r="S81" s="21" t="n">
        <f aca="false">IF($A81="",0,COUNTIF('Full Register'!$J$6:$J$279,$A81))</f>
        <v>0</v>
      </c>
      <c r="T81" s="21" t="n">
        <f aca="false">IF($A81="",0,COUNTIFS('Full Register'!$J$6:$J$279,$A81,'Full Register'!$O$6:$O$279,"&gt;=3"))</f>
        <v>0</v>
      </c>
      <c r="U81" s="22" t="str">
        <f aca="false">IF(OR($A81="",S81=0),"",T81/S81)</f>
        <v/>
      </c>
      <c r="V81" s="21" t="n">
        <f aca="false">IF($A81="",0,S81-COUNTIFS('Full Register'!$J$6:$J$279,$A81,'Full Register'!$K$6:$K$279,"&lt;&gt;"))</f>
        <v>0</v>
      </c>
      <c r="W81" s="21" t="str">
        <f aca="false">IF($A81="","",IF(COUNTIFS('Full Register'!$J$6:$J$279,$A81,'Full Register'!$H$6:$H$279,"Full")&gt;0,"Full","Screen"))</f>
        <v/>
      </c>
      <c r="X81" s="21" t="str">
        <f aca="false">IF($A81="","",IF(AND(S81=0,I81="",G81=""),"Not started",IF($C81="","No sample class picked",IF(AND(W81="Full",$C81&lt;&gt;"Artifact",K81=""),"Record sample required, none recorded",IF(AND(I81&lt;&gt;"",V81&gt;0),V81&amp;" register rows on this pull still ungraded",IF(AND($C81="Transactional",K81&lt;&gt;"",K81&lt;10),"Transactional sample below 10 - say why in Notes",IF(AND($C81="Event",K81&lt;&gt;"",K81&lt;3),"Event sample below 3 - say why in Notes",IF(AND($C81&lt;&gt;"Artifact",K81&lt;&gt;"",L81=""),"Sample size with no conforming count",IF(AND($C81="Artifact",K81&lt;&gt;""),"Artifact pull: leave K and L blank, coverage is computed",IF(S81=0,"Worked but no requirement rows point at it","OK"))))))))))</f>
        <v/>
      </c>
    </row>
    <row r="82" customFormat="false" ht="15" hidden="false" customHeight="false" outlineLevel="0" collapsed="false">
      <c r="A82" s="16"/>
      <c r="B82" s="16"/>
      <c r="C82" s="16"/>
      <c r="D82" s="16"/>
      <c r="E82" s="16"/>
      <c r="F82" s="16"/>
      <c r="G82" s="16"/>
      <c r="H82" s="16"/>
      <c r="I82" s="16"/>
      <c r="J82" s="16"/>
      <c r="K82" s="16"/>
      <c r="L82" s="16"/>
      <c r="M82" s="16"/>
      <c r="N82" s="16"/>
      <c r="O82" s="21" t="str">
        <f aca="false">IF($A82="","",IF($C82="Transactional","10 records, or all if fewer",IF($C82="Artifact","NO record sample. Grade every register row on this pull.",IF($C82="Event","last 3 occurrences, or all if fewer","PICK A SAMPLE CLASS"))))</f>
        <v/>
      </c>
      <c r="P82" s="21" t="n">
        <f aca="false">IF(TRIM(G82)="",0,LEN(TRIM(G82))-LEN(SUBSTITUTE(TRIM(G82),";",""))+1)</f>
        <v>0</v>
      </c>
      <c r="Q82" s="21" t="str">
        <f aca="false">IF($A82="","",IF(P82=0,"Unassigned",IF(P82=1,"Single point","Staffed")))</f>
        <v/>
      </c>
      <c r="R82" s="22" t="str">
        <f aca="false">IF(OR($C82="Artifact",K82="",K82=0),"",L82/K82)</f>
        <v/>
      </c>
      <c r="S82" s="21" t="n">
        <f aca="false">IF($A82="",0,COUNTIF('Full Register'!$J$6:$J$279,$A82))</f>
        <v>0</v>
      </c>
      <c r="T82" s="21" t="n">
        <f aca="false">IF($A82="",0,COUNTIFS('Full Register'!$J$6:$J$279,$A82,'Full Register'!$O$6:$O$279,"&gt;=3"))</f>
        <v>0</v>
      </c>
      <c r="U82" s="22" t="str">
        <f aca="false">IF(OR($A82="",S82=0),"",T82/S82)</f>
        <v/>
      </c>
      <c r="V82" s="21" t="n">
        <f aca="false">IF($A82="",0,S82-COUNTIFS('Full Register'!$J$6:$J$279,$A82,'Full Register'!$K$6:$K$279,"&lt;&gt;"))</f>
        <v>0</v>
      </c>
      <c r="W82" s="21" t="str">
        <f aca="false">IF($A82="","",IF(COUNTIFS('Full Register'!$J$6:$J$279,$A82,'Full Register'!$H$6:$H$279,"Full")&gt;0,"Full","Screen"))</f>
        <v/>
      </c>
      <c r="X82" s="21" t="str">
        <f aca="false">IF($A82="","",IF(AND(S82=0,I82="",G82=""),"Not started",IF($C82="","No sample class picked",IF(AND(W82="Full",$C82&lt;&gt;"Artifact",K82=""),"Record sample required, none recorded",IF(AND(I82&lt;&gt;"",V82&gt;0),V82&amp;" register rows on this pull still ungraded",IF(AND($C82="Transactional",K82&lt;&gt;"",K82&lt;10),"Transactional sample below 10 - say why in Notes",IF(AND($C82="Event",K82&lt;&gt;"",K82&lt;3),"Event sample below 3 - say why in Notes",IF(AND($C82&lt;&gt;"Artifact",K82&lt;&gt;"",L82=""),"Sample size with no conforming count",IF(AND($C82="Artifact",K82&lt;&gt;""),"Artifact pull: leave K and L blank, coverage is computed",IF(S82=0,"Worked but no requirement rows point at it","OK"))))))))))</f>
        <v/>
      </c>
    </row>
    <row r="83" customFormat="false" ht="15" hidden="false" customHeight="false" outlineLevel="0" collapsed="false">
      <c r="A83" s="16"/>
      <c r="B83" s="16"/>
      <c r="C83" s="16"/>
      <c r="D83" s="16"/>
      <c r="E83" s="16"/>
      <c r="F83" s="16"/>
      <c r="G83" s="16"/>
      <c r="H83" s="16"/>
      <c r="I83" s="16"/>
      <c r="J83" s="16"/>
      <c r="K83" s="16"/>
      <c r="L83" s="16"/>
      <c r="M83" s="16"/>
      <c r="N83" s="16"/>
      <c r="O83" s="21" t="str">
        <f aca="false">IF($A83="","",IF($C83="Transactional","10 records, or all if fewer",IF($C83="Artifact","NO record sample. Grade every register row on this pull.",IF($C83="Event","last 3 occurrences, or all if fewer","PICK A SAMPLE CLASS"))))</f>
        <v/>
      </c>
      <c r="P83" s="21" t="n">
        <f aca="false">IF(TRIM(G83)="",0,LEN(TRIM(G83))-LEN(SUBSTITUTE(TRIM(G83),";",""))+1)</f>
        <v>0</v>
      </c>
      <c r="Q83" s="21" t="str">
        <f aca="false">IF($A83="","",IF(P83=0,"Unassigned",IF(P83=1,"Single point","Staffed")))</f>
        <v/>
      </c>
      <c r="R83" s="22" t="str">
        <f aca="false">IF(OR($C83="Artifact",K83="",K83=0),"",L83/K83)</f>
        <v/>
      </c>
      <c r="S83" s="21" t="n">
        <f aca="false">IF($A83="",0,COUNTIF('Full Register'!$J$6:$J$279,$A83))</f>
        <v>0</v>
      </c>
      <c r="T83" s="21" t="n">
        <f aca="false">IF($A83="",0,COUNTIFS('Full Register'!$J$6:$J$279,$A83,'Full Register'!$O$6:$O$279,"&gt;=3"))</f>
        <v>0</v>
      </c>
      <c r="U83" s="22" t="str">
        <f aca="false">IF(OR($A83="",S83=0),"",T83/S83)</f>
        <v/>
      </c>
      <c r="V83" s="21" t="n">
        <f aca="false">IF($A83="",0,S83-COUNTIFS('Full Register'!$J$6:$J$279,$A83,'Full Register'!$K$6:$K$279,"&lt;&gt;"))</f>
        <v>0</v>
      </c>
      <c r="W83" s="21" t="str">
        <f aca="false">IF($A83="","",IF(COUNTIFS('Full Register'!$J$6:$J$279,$A83,'Full Register'!$H$6:$H$279,"Full")&gt;0,"Full","Screen"))</f>
        <v/>
      </c>
      <c r="X83" s="21" t="str">
        <f aca="false">IF($A83="","",IF(AND(S83=0,I83="",G83=""),"Not started",IF($C83="","No sample class picked",IF(AND(W83="Full",$C83&lt;&gt;"Artifact",K83=""),"Record sample required, none recorded",IF(AND(I83&lt;&gt;"",V83&gt;0),V83&amp;" register rows on this pull still ungraded",IF(AND($C83="Transactional",K83&lt;&gt;"",K83&lt;10),"Transactional sample below 10 - say why in Notes",IF(AND($C83="Event",K83&lt;&gt;"",K83&lt;3),"Event sample below 3 - say why in Notes",IF(AND($C83&lt;&gt;"Artifact",K83&lt;&gt;"",L83=""),"Sample size with no conforming count",IF(AND($C83="Artifact",K83&lt;&gt;""),"Artifact pull: leave K and L blank, coverage is computed",IF(S83=0,"Worked but no requirement rows point at it","OK"))))))))))</f>
        <v/>
      </c>
    </row>
    <row r="84" customFormat="false" ht="15" hidden="false" customHeight="false" outlineLevel="0" collapsed="false">
      <c r="A84" s="16"/>
      <c r="B84" s="16"/>
      <c r="C84" s="16"/>
      <c r="D84" s="16"/>
      <c r="E84" s="16"/>
      <c r="F84" s="16"/>
      <c r="G84" s="16"/>
      <c r="H84" s="16"/>
      <c r="I84" s="16"/>
      <c r="J84" s="16"/>
      <c r="K84" s="16"/>
      <c r="L84" s="16"/>
      <c r="M84" s="16"/>
      <c r="N84" s="16"/>
      <c r="O84" s="21" t="str">
        <f aca="false">IF($A84="","",IF($C84="Transactional","10 records, or all if fewer",IF($C84="Artifact","NO record sample. Grade every register row on this pull.",IF($C84="Event","last 3 occurrences, or all if fewer","PICK A SAMPLE CLASS"))))</f>
        <v/>
      </c>
      <c r="P84" s="21" t="n">
        <f aca="false">IF(TRIM(G84)="",0,LEN(TRIM(G84))-LEN(SUBSTITUTE(TRIM(G84),";",""))+1)</f>
        <v>0</v>
      </c>
      <c r="Q84" s="21" t="str">
        <f aca="false">IF($A84="","",IF(P84=0,"Unassigned",IF(P84=1,"Single point","Staffed")))</f>
        <v/>
      </c>
      <c r="R84" s="22" t="str">
        <f aca="false">IF(OR($C84="Artifact",K84="",K84=0),"",L84/K84)</f>
        <v/>
      </c>
      <c r="S84" s="21" t="n">
        <f aca="false">IF($A84="",0,COUNTIF('Full Register'!$J$6:$J$279,$A84))</f>
        <v>0</v>
      </c>
      <c r="T84" s="21" t="n">
        <f aca="false">IF($A84="",0,COUNTIFS('Full Register'!$J$6:$J$279,$A84,'Full Register'!$O$6:$O$279,"&gt;=3"))</f>
        <v>0</v>
      </c>
      <c r="U84" s="22" t="str">
        <f aca="false">IF(OR($A84="",S84=0),"",T84/S84)</f>
        <v/>
      </c>
      <c r="V84" s="21" t="n">
        <f aca="false">IF($A84="",0,S84-COUNTIFS('Full Register'!$J$6:$J$279,$A84,'Full Register'!$K$6:$K$279,"&lt;&gt;"))</f>
        <v>0</v>
      </c>
      <c r="W84" s="21" t="str">
        <f aca="false">IF($A84="","",IF(COUNTIFS('Full Register'!$J$6:$J$279,$A84,'Full Register'!$H$6:$H$279,"Full")&gt;0,"Full","Screen"))</f>
        <v/>
      </c>
      <c r="X84" s="21" t="str">
        <f aca="false">IF($A84="","",IF(AND(S84=0,I84="",G84=""),"Not started",IF($C84="","No sample class picked",IF(AND(W84="Full",$C84&lt;&gt;"Artifact",K84=""),"Record sample required, none recorded",IF(AND(I84&lt;&gt;"",V84&gt;0),V84&amp;" register rows on this pull still ungraded",IF(AND($C84="Transactional",K84&lt;&gt;"",K84&lt;10),"Transactional sample below 10 - say why in Notes",IF(AND($C84="Event",K84&lt;&gt;"",K84&lt;3),"Event sample below 3 - say why in Notes",IF(AND($C84&lt;&gt;"Artifact",K84&lt;&gt;"",L84=""),"Sample size with no conforming count",IF(AND($C84="Artifact",K84&lt;&gt;""),"Artifact pull: leave K and L blank, coverage is computed",IF(S84=0,"Worked but no requirement rows point at it","OK"))))))))))</f>
        <v/>
      </c>
    </row>
    <row r="85" customFormat="false" ht="15" hidden="false" customHeight="false" outlineLevel="0" collapsed="false">
      <c r="A85" s="16"/>
      <c r="B85" s="16"/>
      <c r="C85" s="16"/>
      <c r="D85" s="16"/>
      <c r="E85" s="16"/>
      <c r="F85" s="16"/>
      <c r="G85" s="16"/>
      <c r="H85" s="16"/>
      <c r="I85" s="16"/>
      <c r="J85" s="16"/>
      <c r="K85" s="16"/>
      <c r="L85" s="16"/>
      <c r="M85" s="16"/>
      <c r="N85" s="16"/>
      <c r="O85" s="21" t="str">
        <f aca="false">IF($A85="","",IF($C85="Transactional","10 records, or all if fewer",IF($C85="Artifact","NO record sample. Grade every register row on this pull.",IF($C85="Event","last 3 occurrences, or all if fewer","PICK A SAMPLE CLASS"))))</f>
        <v/>
      </c>
      <c r="P85" s="21" t="n">
        <f aca="false">IF(TRIM(G85)="",0,LEN(TRIM(G85))-LEN(SUBSTITUTE(TRIM(G85),";",""))+1)</f>
        <v>0</v>
      </c>
      <c r="Q85" s="21" t="str">
        <f aca="false">IF($A85="","",IF(P85=0,"Unassigned",IF(P85=1,"Single point","Staffed")))</f>
        <v/>
      </c>
      <c r="R85" s="22" t="str">
        <f aca="false">IF(OR($C85="Artifact",K85="",K85=0),"",L85/K85)</f>
        <v/>
      </c>
      <c r="S85" s="21" t="n">
        <f aca="false">IF($A85="",0,COUNTIF('Full Register'!$J$6:$J$279,$A85))</f>
        <v>0</v>
      </c>
      <c r="T85" s="21" t="n">
        <f aca="false">IF($A85="",0,COUNTIFS('Full Register'!$J$6:$J$279,$A85,'Full Register'!$O$6:$O$279,"&gt;=3"))</f>
        <v>0</v>
      </c>
      <c r="U85" s="22" t="str">
        <f aca="false">IF(OR($A85="",S85=0),"",T85/S85)</f>
        <v/>
      </c>
      <c r="V85" s="21" t="n">
        <f aca="false">IF($A85="",0,S85-COUNTIFS('Full Register'!$J$6:$J$279,$A85,'Full Register'!$K$6:$K$279,"&lt;&gt;"))</f>
        <v>0</v>
      </c>
      <c r="W85" s="21" t="str">
        <f aca="false">IF($A85="","",IF(COUNTIFS('Full Register'!$J$6:$J$279,$A85,'Full Register'!$H$6:$H$279,"Full")&gt;0,"Full","Screen"))</f>
        <v/>
      </c>
      <c r="X85" s="21" t="str">
        <f aca="false">IF($A85="","",IF(AND(S85=0,I85="",G85=""),"Not started",IF($C85="","No sample class picked",IF(AND(W85="Full",$C85&lt;&gt;"Artifact",K85=""),"Record sample required, none recorded",IF(AND(I85&lt;&gt;"",V85&gt;0),V85&amp;" register rows on this pull still ungraded",IF(AND($C85="Transactional",K85&lt;&gt;"",K85&lt;10),"Transactional sample below 10 - say why in Notes",IF(AND($C85="Event",K85&lt;&gt;"",K85&lt;3),"Event sample below 3 - say why in Notes",IF(AND($C85&lt;&gt;"Artifact",K85&lt;&gt;"",L85=""),"Sample size with no conforming count",IF(AND($C85="Artifact",K85&lt;&gt;""),"Artifact pull: leave K and L blank, coverage is computed",IF(S85=0,"Worked but no requirement rows point at it","OK"))))))))))</f>
        <v/>
      </c>
    </row>
    <row r="86" customFormat="false" ht="15" hidden="false" customHeight="false" outlineLevel="0" collapsed="false">
      <c r="A86" s="16"/>
      <c r="B86" s="16"/>
      <c r="C86" s="16"/>
      <c r="D86" s="16"/>
      <c r="E86" s="16"/>
      <c r="F86" s="16"/>
      <c r="G86" s="16"/>
      <c r="H86" s="16"/>
      <c r="I86" s="16"/>
      <c r="J86" s="16"/>
      <c r="K86" s="16"/>
      <c r="L86" s="16"/>
      <c r="M86" s="16"/>
      <c r="N86" s="16"/>
      <c r="O86" s="21" t="str">
        <f aca="false">IF($A86="","",IF($C86="Transactional","10 records, or all if fewer",IF($C86="Artifact","NO record sample. Grade every register row on this pull.",IF($C86="Event","last 3 occurrences, or all if fewer","PICK A SAMPLE CLASS"))))</f>
        <v/>
      </c>
      <c r="P86" s="21" t="n">
        <f aca="false">IF(TRIM(G86)="",0,LEN(TRIM(G86))-LEN(SUBSTITUTE(TRIM(G86),";",""))+1)</f>
        <v>0</v>
      </c>
      <c r="Q86" s="21" t="str">
        <f aca="false">IF($A86="","",IF(P86=0,"Unassigned",IF(P86=1,"Single point","Staffed")))</f>
        <v/>
      </c>
      <c r="R86" s="22" t="str">
        <f aca="false">IF(OR($C86="Artifact",K86="",K86=0),"",L86/K86)</f>
        <v/>
      </c>
      <c r="S86" s="21" t="n">
        <f aca="false">IF($A86="",0,COUNTIF('Full Register'!$J$6:$J$279,$A86))</f>
        <v>0</v>
      </c>
      <c r="T86" s="21" t="n">
        <f aca="false">IF($A86="",0,COUNTIFS('Full Register'!$J$6:$J$279,$A86,'Full Register'!$O$6:$O$279,"&gt;=3"))</f>
        <v>0</v>
      </c>
      <c r="U86" s="22" t="str">
        <f aca="false">IF(OR($A86="",S86=0),"",T86/S86)</f>
        <v/>
      </c>
      <c r="V86" s="21" t="n">
        <f aca="false">IF($A86="",0,S86-COUNTIFS('Full Register'!$J$6:$J$279,$A86,'Full Register'!$K$6:$K$279,"&lt;&gt;"))</f>
        <v>0</v>
      </c>
      <c r="W86" s="21" t="str">
        <f aca="false">IF($A86="","",IF(COUNTIFS('Full Register'!$J$6:$J$279,$A86,'Full Register'!$H$6:$H$279,"Full")&gt;0,"Full","Screen"))</f>
        <v/>
      </c>
      <c r="X86" s="21" t="str">
        <f aca="false">IF($A86="","",IF(AND(S86=0,I86="",G86=""),"Not started",IF($C86="","No sample class picked",IF(AND(W86="Full",$C86&lt;&gt;"Artifact",K86=""),"Record sample required, none recorded",IF(AND(I86&lt;&gt;"",V86&gt;0),V86&amp;" register rows on this pull still ungraded",IF(AND($C86="Transactional",K86&lt;&gt;"",K86&lt;10),"Transactional sample below 10 - say why in Notes",IF(AND($C86="Event",K86&lt;&gt;"",K86&lt;3),"Event sample below 3 - say why in Notes",IF(AND($C86&lt;&gt;"Artifact",K86&lt;&gt;"",L86=""),"Sample size with no conforming count",IF(AND($C86="Artifact",K86&lt;&gt;""),"Artifact pull: leave K and L blank, coverage is computed",IF(S86=0,"Worked but no requirement rows point at it","OK"))))))))))</f>
        <v/>
      </c>
    </row>
    <row r="87" customFormat="false" ht="15" hidden="false" customHeight="false" outlineLevel="0" collapsed="false">
      <c r="A87" s="16"/>
      <c r="B87" s="16"/>
      <c r="C87" s="16"/>
      <c r="D87" s="16"/>
      <c r="E87" s="16"/>
      <c r="F87" s="16"/>
      <c r="G87" s="16"/>
      <c r="H87" s="16"/>
      <c r="I87" s="16"/>
      <c r="J87" s="16"/>
      <c r="K87" s="16"/>
      <c r="L87" s="16"/>
      <c r="M87" s="16"/>
      <c r="N87" s="16"/>
      <c r="O87" s="21" t="str">
        <f aca="false">IF($A87="","",IF($C87="Transactional","10 records, or all if fewer",IF($C87="Artifact","NO record sample. Grade every register row on this pull.",IF($C87="Event","last 3 occurrences, or all if fewer","PICK A SAMPLE CLASS"))))</f>
        <v/>
      </c>
      <c r="P87" s="21" t="n">
        <f aca="false">IF(TRIM(G87)="",0,LEN(TRIM(G87))-LEN(SUBSTITUTE(TRIM(G87),";",""))+1)</f>
        <v>0</v>
      </c>
      <c r="Q87" s="21" t="str">
        <f aca="false">IF($A87="","",IF(P87=0,"Unassigned",IF(P87=1,"Single point","Staffed")))</f>
        <v/>
      </c>
      <c r="R87" s="22" t="str">
        <f aca="false">IF(OR($C87="Artifact",K87="",K87=0),"",L87/K87)</f>
        <v/>
      </c>
      <c r="S87" s="21" t="n">
        <f aca="false">IF($A87="",0,COUNTIF('Full Register'!$J$6:$J$279,$A87))</f>
        <v>0</v>
      </c>
      <c r="T87" s="21" t="n">
        <f aca="false">IF($A87="",0,COUNTIFS('Full Register'!$J$6:$J$279,$A87,'Full Register'!$O$6:$O$279,"&gt;=3"))</f>
        <v>0</v>
      </c>
      <c r="U87" s="22" t="str">
        <f aca="false">IF(OR($A87="",S87=0),"",T87/S87)</f>
        <v/>
      </c>
      <c r="V87" s="21" t="n">
        <f aca="false">IF($A87="",0,S87-COUNTIFS('Full Register'!$J$6:$J$279,$A87,'Full Register'!$K$6:$K$279,"&lt;&gt;"))</f>
        <v>0</v>
      </c>
      <c r="W87" s="21" t="str">
        <f aca="false">IF($A87="","",IF(COUNTIFS('Full Register'!$J$6:$J$279,$A87,'Full Register'!$H$6:$H$279,"Full")&gt;0,"Full","Screen"))</f>
        <v/>
      </c>
      <c r="X87" s="21" t="str">
        <f aca="false">IF($A87="","",IF(AND(S87=0,I87="",G87=""),"Not started",IF($C87="","No sample class picked",IF(AND(W87="Full",$C87&lt;&gt;"Artifact",K87=""),"Record sample required, none recorded",IF(AND(I87&lt;&gt;"",V87&gt;0),V87&amp;" register rows on this pull still ungraded",IF(AND($C87="Transactional",K87&lt;&gt;"",K87&lt;10),"Transactional sample below 10 - say why in Notes",IF(AND($C87="Event",K87&lt;&gt;"",K87&lt;3),"Event sample below 3 - say why in Notes",IF(AND($C87&lt;&gt;"Artifact",K87&lt;&gt;"",L87=""),"Sample size with no conforming count",IF(AND($C87="Artifact",K87&lt;&gt;""),"Artifact pull: leave K and L blank, coverage is computed",IF(S87=0,"Worked but no requirement rows point at it","OK"))))))))))</f>
        <v/>
      </c>
    </row>
    <row r="88" customFormat="false" ht="15" hidden="false" customHeight="false" outlineLevel="0" collapsed="false">
      <c r="A88" s="16"/>
      <c r="B88" s="16"/>
      <c r="C88" s="16"/>
      <c r="D88" s="16"/>
      <c r="E88" s="16"/>
      <c r="F88" s="16"/>
      <c r="G88" s="16"/>
      <c r="H88" s="16"/>
      <c r="I88" s="16"/>
      <c r="J88" s="16"/>
      <c r="K88" s="16"/>
      <c r="L88" s="16"/>
      <c r="M88" s="16"/>
      <c r="N88" s="16"/>
      <c r="O88" s="21" t="str">
        <f aca="false">IF($A88="","",IF($C88="Transactional","10 records, or all if fewer",IF($C88="Artifact","NO record sample. Grade every register row on this pull.",IF($C88="Event","last 3 occurrences, or all if fewer","PICK A SAMPLE CLASS"))))</f>
        <v/>
      </c>
      <c r="P88" s="21" t="n">
        <f aca="false">IF(TRIM(G88)="",0,LEN(TRIM(G88))-LEN(SUBSTITUTE(TRIM(G88),";",""))+1)</f>
        <v>0</v>
      </c>
      <c r="Q88" s="21" t="str">
        <f aca="false">IF($A88="","",IF(P88=0,"Unassigned",IF(P88=1,"Single point","Staffed")))</f>
        <v/>
      </c>
      <c r="R88" s="22" t="str">
        <f aca="false">IF(OR($C88="Artifact",K88="",K88=0),"",L88/K88)</f>
        <v/>
      </c>
      <c r="S88" s="21" t="n">
        <f aca="false">IF($A88="",0,COUNTIF('Full Register'!$J$6:$J$279,$A88))</f>
        <v>0</v>
      </c>
      <c r="T88" s="21" t="n">
        <f aca="false">IF($A88="",0,COUNTIFS('Full Register'!$J$6:$J$279,$A88,'Full Register'!$O$6:$O$279,"&gt;=3"))</f>
        <v>0</v>
      </c>
      <c r="U88" s="22" t="str">
        <f aca="false">IF(OR($A88="",S88=0),"",T88/S88)</f>
        <v/>
      </c>
      <c r="V88" s="21" t="n">
        <f aca="false">IF($A88="",0,S88-COUNTIFS('Full Register'!$J$6:$J$279,$A88,'Full Register'!$K$6:$K$279,"&lt;&gt;"))</f>
        <v>0</v>
      </c>
      <c r="W88" s="21" t="str">
        <f aca="false">IF($A88="","",IF(COUNTIFS('Full Register'!$J$6:$J$279,$A88,'Full Register'!$H$6:$H$279,"Full")&gt;0,"Full","Screen"))</f>
        <v/>
      </c>
      <c r="X88" s="21" t="str">
        <f aca="false">IF($A88="","",IF(AND(S88=0,I88="",G88=""),"Not started",IF($C88="","No sample class picked",IF(AND(W88="Full",$C88&lt;&gt;"Artifact",K88=""),"Record sample required, none recorded",IF(AND(I88&lt;&gt;"",V88&gt;0),V88&amp;" register rows on this pull still ungraded",IF(AND($C88="Transactional",K88&lt;&gt;"",K88&lt;10),"Transactional sample below 10 - say why in Notes",IF(AND($C88="Event",K88&lt;&gt;"",K88&lt;3),"Event sample below 3 - say why in Notes",IF(AND($C88&lt;&gt;"Artifact",K88&lt;&gt;"",L88=""),"Sample size with no conforming count",IF(AND($C88="Artifact",K88&lt;&gt;""),"Artifact pull: leave K and L blank, coverage is computed",IF(S88=0,"Worked but no requirement rows point at it","OK"))))))))))</f>
        <v/>
      </c>
    </row>
    <row r="89" customFormat="false" ht="15" hidden="false" customHeight="false" outlineLevel="0" collapsed="false">
      <c r="A89" s="16"/>
      <c r="B89" s="16"/>
      <c r="C89" s="16"/>
      <c r="D89" s="16"/>
      <c r="E89" s="16"/>
      <c r="F89" s="16"/>
      <c r="G89" s="16"/>
      <c r="H89" s="16"/>
      <c r="I89" s="16"/>
      <c r="J89" s="16"/>
      <c r="K89" s="16"/>
      <c r="L89" s="16"/>
      <c r="M89" s="16"/>
      <c r="N89" s="16"/>
      <c r="O89" s="21" t="str">
        <f aca="false">IF($A89="","",IF($C89="Transactional","10 records, or all if fewer",IF($C89="Artifact","NO record sample. Grade every register row on this pull.",IF($C89="Event","last 3 occurrences, or all if fewer","PICK A SAMPLE CLASS"))))</f>
        <v/>
      </c>
      <c r="P89" s="21" t="n">
        <f aca="false">IF(TRIM(G89)="",0,LEN(TRIM(G89))-LEN(SUBSTITUTE(TRIM(G89),";",""))+1)</f>
        <v>0</v>
      </c>
      <c r="Q89" s="21" t="str">
        <f aca="false">IF($A89="","",IF(P89=0,"Unassigned",IF(P89=1,"Single point","Staffed")))</f>
        <v/>
      </c>
      <c r="R89" s="22" t="str">
        <f aca="false">IF(OR($C89="Artifact",K89="",K89=0),"",L89/K89)</f>
        <v/>
      </c>
      <c r="S89" s="21" t="n">
        <f aca="false">IF($A89="",0,COUNTIF('Full Register'!$J$6:$J$279,$A89))</f>
        <v>0</v>
      </c>
      <c r="T89" s="21" t="n">
        <f aca="false">IF($A89="",0,COUNTIFS('Full Register'!$J$6:$J$279,$A89,'Full Register'!$O$6:$O$279,"&gt;=3"))</f>
        <v>0</v>
      </c>
      <c r="U89" s="22" t="str">
        <f aca="false">IF(OR($A89="",S89=0),"",T89/S89)</f>
        <v/>
      </c>
      <c r="V89" s="21" t="n">
        <f aca="false">IF($A89="",0,S89-COUNTIFS('Full Register'!$J$6:$J$279,$A89,'Full Register'!$K$6:$K$279,"&lt;&gt;"))</f>
        <v>0</v>
      </c>
      <c r="W89" s="21" t="str">
        <f aca="false">IF($A89="","",IF(COUNTIFS('Full Register'!$J$6:$J$279,$A89,'Full Register'!$H$6:$H$279,"Full")&gt;0,"Full","Screen"))</f>
        <v/>
      </c>
      <c r="X89" s="21" t="str">
        <f aca="false">IF($A89="","",IF(AND(S89=0,I89="",G89=""),"Not started",IF($C89="","No sample class picked",IF(AND(W89="Full",$C89&lt;&gt;"Artifact",K89=""),"Record sample required, none recorded",IF(AND(I89&lt;&gt;"",V89&gt;0),V89&amp;" register rows on this pull still ungraded",IF(AND($C89="Transactional",K89&lt;&gt;"",K89&lt;10),"Transactional sample below 10 - say why in Notes",IF(AND($C89="Event",K89&lt;&gt;"",K89&lt;3),"Event sample below 3 - say why in Notes",IF(AND($C89&lt;&gt;"Artifact",K89&lt;&gt;"",L89=""),"Sample size with no conforming count",IF(AND($C89="Artifact",K89&lt;&gt;""),"Artifact pull: leave K and L blank, coverage is computed",IF(S89=0,"Worked but no requirement rows point at it","OK"))))))))))</f>
        <v/>
      </c>
    </row>
    <row r="90" customFormat="false" ht="15" hidden="false" customHeight="false" outlineLevel="0" collapsed="false">
      <c r="A90" s="16"/>
      <c r="B90" s="16"/>
      <c r="C90" s="16"/>
      <c r="D90" s="16"/>
      <c r="E90" s="16"/>
      <c r="F90" s="16"/>
      <c r="G90" s="16"/>
      <c r="H90" s="16"/>
      <c r="I90" s="16"/>
      <c r="J90" s="16"/>
      <c r="K90" s="16"/>
      <c r="L90" s="16"/>
      <c r="M90" s="16"/>
      <c r="N90" s="16"/>
      <c r="O90" s="21" t="str">
        <f aca="false">IF($A90="","",IF($C90="Transactional","10 records, or all if fewer",IF($C90="Artifact","NO record sample. Grade every register row on this pull.",IF($C90="Event","last 3 occurrences, or all if fewer","PICK A SAMPLE CLASS"))))</f>
        <v/>
      </c>
      <c r="P90" s="21" t="n">
        <f aca="false">IF(TRIM(G90)="",0,LEN(TRIM(G90))-LEN(SUBSTITUTE(TRIM(G90),";",""))+1)</f>
        <v>0</v>
      </c>
      <c r="Q90" s="21" t="str">
        <f aca="false">IF($A90="","",IF(P90=0,"Unassigned",IF(P90=1,"Single point","Staffed")))</f>
        <v/>
      </c>
      <c r="R90" s="22" t="str">
        <f aca="false">IF(OR($C90="Artifact",K90="",K90=0),"",L90/K90)</f>
        <v/>
      </c>
      <c r="S90" s="21" t="n">
        <f aca="false">IF($A90="",0,COUNTIF('Full Register'!$J$6:$J$279,$A90))</f>
        <v>0</v>
      </c>
      <c r="T90" s="21" t="n">
        <f aca="false">IF($A90="",0,COUNTIFS('Full Register'!$J$6:$J$279,$A90,'Full Register'!$O$6:$O$279,"&gt;=3"))</f>
        <v>0</v>
      </c>
      <c r="U90" s="22" t="str">
        <f aca="false">IF(OR($A90="",S90=0),"",T90/S90)</f>
        <v/>
      </c>
      <c r="V90" s="21" t="n">
        <f aca="false">IF($A90="",0,S90-COUNTIFS('Full Register'!$J$6:$J$279,$A90,'Full Register'!$K$6:$K$279,"&lt;&gt;"))</f>
        <v>0</v>
      </c>
      <c r="W90" s="21" t="str">
        <f aca="false">IF($A90="","",IF(COUNTIFS('Full Register'!$J$6:$J$279,$A90,'Full Register'!$H$6:$H$279,"Full")&gt;0,"Full","Screen"))</f>
        <v/>
      </c>
      <c r="X90" s="21" t="str">
        <f aca="false">IF($A90="","",IF(AND(S90=0,I90="",G90=""),"Not started",IF($C90="","No sample class picked",IF(AND(W90="Full",$C90&lt;&gt;"Artifact",K90=""),"Record sample required, none recorded",IF(AND(I90&lt;&gt;"",V90&gt;0),V90&amp;" register rows on this pull still ungraded",IF(AND($C90="Transactional",K90&lt;&gt;"",K90&lt;10),"Transactional sample below 10 - say why in Notes",IF(AND($C90="Event",K90&lt;&gt;"",K90&lt;3),"Event sample below 3 - say why in Notes",IF(AND($C90&lt;&gt;"Artifact",K90&lt;&gt;"",L90=""),"Sample size with no conforming count",IF(AND($C90="Artifact",K90&lt;&gt;""),"Artifact pull: leave K and L blank, coverage is computed",IF(S90=0,"Worked but no requirement rows point at it","OK"))))))))))</f>
        <v/>
      </c>
    </row>
    <row r="91" customFormat="false" ht="15" hidden="false" customHeight="false" outlineLevel="0" collapsed="false">
      <c r="A91" s="16"/>
      <c r="B91" s="16"/>
      <c r="C91" s="16"/>
      <c r="D91" s="16"/>
      <c r="E91" s="16"/>
      <c r="F91" s="16"/>
      <c r="G91" s="16"/>
      <c r="H91" s="16"/>
      <c r="I91" s="16"/>
      <c r="J91" s="16"/>
      <c r="K91" s="16"/>
      <c r="L91" s="16"/>
      <c r="M91" s="16"/>
      <c r="N91" s="16"/>
      <c r="O91" s="21" t="str">
        <f aca="false">IF($A91="","",IF($C91="Transactional","10 records, or all if fewer",IF($C91="Artifact","NO record sample. Grade every register row on this pull.",IF($C91="Event","last 3 occurrences, or all if fewer","PICK A SAMPLE CLASS"))))</f>
        <v/>
      </c>
      <c r="P91" s="21" t="n">
        <f aca="false">IF(TRIM(G91)="",0,LEN(TRIM(G91))-LEN(SUBSTITUTE(TRIM(G91),";",""))+1)</f>
        <v>0</v>
      </c>
      <c r="Q91" s="21" t="str">
        <f aca="false">IF($A91="","",IF(P91=0,"Unassigned",IF(P91=1,"Single point","Staffed")))</f>
        <v/>
      </c>
      <c r="R91" s="22" t="str">
        <f aca="false">IF(OR($C91="Artifact",K91="",K91=0),"",L91/K91)</f>
        <v/>
      </c>
      <c r="S91" s="21" t="n">
        <f aca="false">IF($A91="",0,COUNTIF('Full Register'!$J$6:$J$279,$A91))</f>
        <v>0</v>
      </c>
      <c r="T91" s="21" t="n">
        <f aca="false">IF($A91="",0,COUNTIFS('Full Register'!$J$6:$J$279,$A91,'Full Register'!$O$6:$O$279,"&gt;=3"))</f>
        <v>0</v>
      </c>
      <c r="U91" s="22" t="str">
        <f aca="false">IF(OR($A91="",S91=0),"",T91/S91)</f>
        <v/>
      </c>
      <c r="V91" s="21" t="n">
        <f aca="false">IF($A91="",0,S91-COUNTIFS('Full Register'!$J$6:$J$279,$A91,'Full Register'!$K$6:$K$279,"&lt;&gt;"))</f>
        <v>0</v>
      </c>
      <c r="W91" s="21" t="str">
        <f aca="false">IF($A91="","",IF(COUNTIFS('Full Register'!$J$6:$J$279,$A91,'Full Register'!$H$6:$H$279,"Full")&gt;0,"Full","Screen"))</f>
        <v/>
      </c>
      <c r="X91" s="21" t="str">
        <f aca="false">IF($A91="","",IF(AND(S91=0,I91="",G91=""),"Not started",IF($C91="","No sample class picked",IF(AND(W91="Full",$C91&lt;&gt;"Artifact",K91=""),"Record sample required, none recorded",IF(AND(I91&lt;&gt;"",V91&gt;0),V91&amp;" register rows on this pull still ungraded",IF(AND($C91="Transactional",K91&lt;&gt;"",K91&lt;10),"Transactional sample below 10 - say why in Notes",IF(AND($C91="Event",K91&lt;&gt;"",K91&lt;3),"Event sample below 3 - say why in Notes",IF(AND($C91&lt;&gt;"Artifact",K91&lt;&gt;"",L91=""),"Sample size with no conforming count",IF(AND($C91="Artifact",K91&lt;&gt;""),"Artifact pull: leave K and L blank, coverage is computed",IF(S91=0,"Worked but no requirement rows point at it","OK"))))))))))</f>
        <v/>
      </c>
    </row>
    <row r="92" customFormat="false" ht="15" hidden="false" customHeight="false" outlineLevel="0" collapsed="false">
      <c r="A92" s="16"/>
      <c r="B92" s="16"/>
      <c r="C92" s="16"/>
      <c r="D92" s="16"/>
      <c r="E92" s="16"/>
      <c r="F92" s="16"/>
      <c r="G92" s="16"/>
      <c r="H92" s="16"/>
      <c r="I92" s="16"/>
      <c r="J92" s="16"/>
      <c r="K92" s="16"/>
      <c r="L92" s="16"/>
      <c r="M92" s="16"/>
      <c r="N92" s="16"/>
      <c r="O92" s="21" t="str">
        <f aca="false">IF($A92="","",IF($C92="Transactional","10 records, or all if fewer",IF($C92="Artifact","NO record sample. Grade every register row on this pull.",IF($C92="Event","last 3 occurrences, or all if fewer","PICK A SAMPLE CLASS"))))</f>
        <v/>
      </c>
      <c r="P92" s="21" t="n">
        <f aca="false">IF(TRIM(G92)="",0,LEN(TRIM(G92))-LEN(SUBSTITUTE(TRIM(G92),";",""))+1)</f>
        <v>0</v>
      </c>
      <c r="Q92" s="21" t="str">
        <f aca="false">IF($A92="","",IF(P92=0,"Unassigned",IF(P92=1,"Single point","Staffed")))</f>
        <v/>
      </c>
      <c r="R92" s="22" t="str">
        <f aca="false">IF(OR($C92="Artifact",K92="",K92=0),"",L92/K92)</f>
        <v/>
      </c>
      <c r="S92" s="21" t="n">
        <f aca="false">IF($A92="",0,COUNTIF('Full Register'!$J$6:$J$279,$A92))</f>
        <v>0</v>
      </c>
      <c r="T92" s="21" t="n">
        <f aca="false">IF($A92="",0,COUNTIFS('Full Register'!$J$6:$J$279,$A92,'Full Register'!$O$6:$O$279,"&gt;=3"))</f>
        <v>0</v>
      </c>
      <c r="U92" s="22" t="str">
        <f aca="false">IF(OR($A92="",S92=0),"",T92/S92)</f>
        <v/>
      </c>
      <c r="V92" s="21" t="n">
        <f aca="false">IF($A92="",0,S92-COUNTIFS('Full Register'!$J$6:$J$279,$A92,'Full Register'!$K$6:$K$279,"&lt;&gt;"))</f>
        <v>0</v>
      </c>
      <c r="W92" s="21" t="str">
        <f aca="false">IF($A92="","",IF(COUNTIFS('Full Register'!$J$6:$J$279,$A92,'Full Register'!$H$6:$H$279,"Full")&gt;0,"Full","Screen"))</f>
        <v/>
      </c>
      <c r="X92" s="21" t="str">
        <f aca="false">IF($A92="","",IF(AND(S92=0,I92="",G92=""),"Not started",IF($C92="","No sample class picked",IF(AND(W92="Full",$C92&lt;&gt;"Artifact",K92=""),"Record sample required, none recorded",IF(AND(I92&lt;&gt;"",V92&gt;0),V92&amp;" register rows on this pull still ungraded",IF(AND($C92="Transactional",K92&lt;&gt;"",K92&lt;10),"Transactional sample below 10 - say why in Notes",IF(AND($C92="Event",K92&lt;&gt;"",K92&lt;3),"Event sample below 3 - say why in Notes",IF(AND($C92&lt;&gt;"Artifact",K92&lt;&gt;"",L92=""),"Sample size with no conforming count",IF(AND($C92="Artifact",K92&lt;&gt;""),"Artifact pull: leave K and L blank, coverage is computed",IF(S92=0,"Worked but no requirement rows point at it","OK"))))))))))</f>
        <v/>
      </c>
    </row>
    <row r="93" customFormat="false" ht="15" hidden="false" customHeight="false" outlineLevel="0" collapsed="false">
      <c r="A93" s="16"/>
      <c r="B93" s="16"/>
      <c r="C93" s="16"/>
      <c r="D93" s="16"/>
      <c r="E93" s="16"/>
      <c r="F93" s="16"/>
      <c r="G93" s="16"/>
      <c r="H93" s="16"/>
      <c r="I93" s="16"/>
      <c r="J93" s="16"/>
      <c r="K93" s="16"/>
      <c r="L93" s="16"/>
      <c r="M93" s="16"/>
      <c r="N93" s="16"/>
      <c r="O93" s="21" t="str">
        <f aca="false">IF($A93="","",IF($C93="Transactional","10 records, or all if fewer",IF($C93="Artifact","NO record sample. Grade every register row on this pull.",IF($C93="Event","last 3 occurrences, or all if fewer","PICK A SAMPLE CLASS"))))</f>
        <v/>
      </c>
      <c r="P93" s="21" t="n">
        <f aca="false">IF(TRIM(G93)="",0,LEN(TRIM(G93))-LEN(SUBSTITUTE(TRIM(G93),";",""))+1)</f>
        <v>0</v>
      </c>
      <c r="Q93" s="21" t="str">
        <f aca="false">IF($A93="","",IF(P93=0,"Unassigned",IF(P93=1,"Single point","Staffed")))</f>
        <v/>
      </c>
      <c r="R93" s="22" t="str">
        <f aca="false">IF(OR($C93="Artifact",K93="",K93=0),"",L93/K93)</f>
        <v/>
      </c>
      <c r="S93" s="21" t="n">
        <f aca="false">IF($A93="",0,COUNTIF('Full Register'!$J$6:$J$279,$A93))</f>
        <v>0</v>
      </c>
      <c r="T93" s="21" t="n">
        <f aca="false">IF($A93="",0,COUNTIFS('Full Register'!$J$6:$J$279,$A93,'Full Register'!$O$6:$O$279,"&gt;=3"))</f>
        <v>0</v>
      </c>
      <c r="U93" s="22" t="str">
        <f aca="false">IF(OR($A93="",S93=0),"",T93/S93)</f>
        <v/>
      </c>
      <c r="V93" s="21" t="n">
        <f aca="false">IF($A93="",0,S93-COUNTIFS('Full Register'!$J$6:$J$279,$A93,'Full Register'!$K$6:$K$279,"&lt;&gt;"))</f>
        <v>0</v>
      </c>
      <c r="W93" s="21" t="str">
        <f aca="false">IF($A93="","",IF(COUNTIFS('Full Register'!$J$6:$J$279,$A93,'Full Register'!$H$6:$H$279,"Full")&gt;0,"Full","Screen"))</f>
        <v/>
      </c>
      <c r="X93" s="21" t="str">
        <f aca="false">IF($A93="","",IF(AND(S93=0,I93="",G93=""),"Not started",IF($C93="","No sample class picked",IF(AND(W93="Full",$C93&lt;&gt;"Artifact",K93=""),"Record sample required, none recorded",IF(AND(I93&lt;&gt;"",V93&gt;0),V93&amp;" register rows on this pull still ungraded",IF(AND($C93="Transactional",K93&lt;&gt;"",K93&lt;10),"Transactional sample below 10 - say why in Notes",IF(AND($C93="Event",K93&lt;&gt;"",K93&lt;3),"Event sample below 3 - say why in Notes",IF(AND($C93&lt;&gt;"Artifact",K93&lt;&gt;"",L93=""),"Sample size with no conforming count",IF(AND($C93="Artifact",K93&lt;&gt;""),"Artifact pull: leave K and L blank, coverage is computed",IF(S93=0,"Worked but no requirement rows point at it","OK"))))))))))</f>
        <v/>
      </c>
    </row>
    <row r="94" customFormat="false" ht="15" hidden="false" customHeight="false" outlineLevel="0" collapsed="false">
      <c r="A94" s="16"/>
      <c r="B94" s="16"/>
      <c r="C94" s="16"/>
      <c r="D94" s="16"/>
      <c r="E94" s="16"/>
      <c r="F94" s="16"/>
      <c r="G94" s="16"/>
      <c r="H94" s="16"/>
      <c r="I94" s="16"/>
      <c r="J94" s="16"/>
      <c r="K94" s="16"/>
      <c r="L94" s="16"/>
      <c r="M94" s="16"/>
      <c r="N94" s="16"/>
      <c r="O94" s="21" t="str">
        <f aca="false">IF($A94="","",IF($C94="Transactional","10 records, or all if fewer",IF($C94="Artifact","NO record sample. Grade every register row on this pull.",IF($C94="Event","last 3 occurrences, or all if fewer","PICK A SAMPLE CLASS"))))</f>
        <v/>
      </c>
      <c r="P94" s="21" t="n">
        <f aca="false">IF(TRIM(G94)="",0,LEN(TRIM(G94))-LEN(SUBSTITUTE(TRIM(G94),";",""))+1)</f>
        <v>0</v>
      </c>
      <c r="Q94" s="21" t="str">
        <f aca="false">IF($A94="","",IF(P94=0,"Unassigned",IF(P94=1,"Single point","Staffed")))</f>
        <v/>
      </c>
      <c r="R94" s="22" t="str">
        <f aca="false">IF(OR($C94="Artifact",K94="",K94=0),"",L94/K94)</f>
        <v/>
      </c>
      <c r="S94" s="21" t="n">
        <f aca="false">IF($A94="",0,COUNTIF('Full Register'!$J$6:$J$279,$A94))</f>
        <v>0</v>
      </c>
      <c r="T94" s="21" t="n">
        <f aca="false">IF($A94="",0,COUNTIFS('Full Register'!$J$6:$J$279,$A94,'Full Register'!$O$6:$O$279,"&gt;=3"))</f>
        <v>0</v>
      </c>
      <c r="U94" s="22" t="str">
        <f aca="false">IF(OR($A94="",S94=0),"",T94/S94)</f>
        <v/>
      </c>
      <c r="V94" s="21" t="n">
        <f aca="false">IF($A94="",0,S94-COUNTIFS('Full Register'!$J$6:$J$279,$A94,'Full Register'!$K$6:$K$279,"&lt;&gt;"))</f>
        <v>0</v>
      </c>
      <c r="W94" s="21" t="str">
        <f aca="false">IF($A94="","",IF(COUNTIFS('Full Register'!$J$6:$J$279,$A94,'Full Register'!$H$6:$H$279,"Full")&gt;0,"Full","Screen"))</f>
        <v/>
      </c>
      <c r="X94" s="21" t="str">
        <f aca="false">IF($A94="","",IF(AND(S94=0,I94="",G94=""),"Not started",IF($C94="","No sample class picked",IF(AND(W94="Full",$C94&lt;&gt;"Artifact",K94=""),"Record sample required, none recorded",IF(AND(I94&lt;&gt;"",V94&gt;0),V94&amp;" register rows on this pull still ungraded",IF(AND($C94="Transactional",K94&lt;&gt;"",K94&lt;10),"Transactional sample below 10 - say why in Notes",IF(AND($C94="Event",K94&lt;&gt;"",K94&lt;3),"Event sample below 3 - say why in Notes",IF(AND($C94&lt;&gt;"Artifact",K94&lt;&gt;"",L94=""),"Sample size with no conforming count",IF(AND($C94="Artifact",K94&lt;&gt;""),"Artifact pull: leave K and L blank, coverage is computed",IF(S94=0,"Worked but no requirement rows point at it","OK"))))))))))</f>
        <v/>
      </c>
    </row>
    <row r="95" customFormat="false" ht="15" hidden="false" customHeight="false" outlineLevel="0" collapsed="false">
      <c r="A95" s="16"/>
      <c r="B95" s="16"/>
      <c r="C95" s="16"/>
      <c r="D95" s="16"/>
      <c r="E95" s="16"/>
      <c r="F95" s="16"/>
      <c r="G95" s="16"/>
      <c r="H95" s="16"/>
      <c r="I95" s="16"/>
      <c r="J95" s="16"/>
      <c r="K95" s="16"/>
      <c r="L95" s="16"/>
      <c r="M95" s="16"/>
      <c r="N95" s="16"/>
      <c r="O95" s="21" t="str">
        <f aca="false">IF($A95="","",IF($C95="Transactional","10 records, or all if fewer",IF($C95="Artifact","NO record sample. Grade every register row on this pull.",IF($C95="Event","last 3 occurrences, or all if fewer","PICK A SAMPLE CLASS"))))</f>
        <v/>
      </c>
      <c r="P95" s="21" t="n">
        <f aca="false">IF(TRIM(G95)="",0,LEN(TRIM(G95))-LEN(SUBSTITUTE(TRIM(G95),";",""))+1)</f>
        <v>0</v>
      </c>
      <c r="Q95" s="21" t="str">
        <f aca="false">IF($A95="","",IF(P95=0,"Unassigned",IF(P95=1,"Single point","Staffed")))</f>
        <v/>
      </c>
      <c r="R95" s="22" t="str">
        <f aca="false">IF(OR($C95="Artifact",K95="",K95=0),"",L95/K95)</f>
        <v/>
      </c>
      <c r="S95" s="21" t="n">
        <f aca="false">IF($A95="",0,COUNTIF('Full Register'!$J$6:$J$279,$A95))</f>
        <v>0</v>
      </c>
      <c r="T95" s="21" t="n">
        <f aca="false">IF($A95="",0,COUNTIFS('Full Register'!$J$6:$J$279,$A95,'Full Register'!$O$6:$O$279,"&gt;=3"))</f>
        <v>0</v>
      </c>
      <c r="U95" s="22" t="str">
        <f aca="false">IF(OR($A95="",S95=0),"",T95/S95)</f>
        <v/>
      </c>
      <c r="V95" s="21" t="n">
        <f aca="false">IF($A95="",0,S95-COUNTIFS('Full Register'!$J$6:$J$279,$A95,'Full Register'!$K$6:$K$279,"&lt;&gt;"))</f>
        <v>0</v>
      </c>
      <c r="W95" s="21" t="str">
        <f aca="false">IF($A95="","",IF(COUNTIFS('Full Register'!$J$6:$J$279,$A95,'Full Register'!$H$6:$H$279,"Full")&gt;0,"Full","Screen"))</f>
        <v/>
      </c>
      <c r="X95" s="21" t="str">
        <f aca="false">IF($A95="","",IF(AND(S95=0,I95="",G95=""),"Not started",IF($C95="","No sample class picked",IF(AND(W95="Full",$C95&lt;&gt;"Artifact",K95=""),"Record sample required, none recorded",IF(AND(I95&lt;&gt;"",V95&gt;0),V95&amp;" register rows on this pull still ungraded",IF(AND($C95="Transactional",K95&lt;&gt;"",K95&lt;10),"Transactional sample below 10 - say why in Notes",IF(AND($C95="Event",K95&lt;&gt;"",K95&lt;3),"Event sample below 3 - say why in Notes",IF(AND($C95&lt;&gt;"Artifact",K95&lt;&gt;"",L95=""),"Sample size with no conforming count",IF(AND($C95="Artifact",K95&lt;&gt;""),"Artifact pull: leave K and L blank, coverage is computed",IF(S95=0,"Worked but no requirement rows point at it","OK"))))))))))</f>
        <v/>
      </c>
    </row>
    <row r="96" customFormat="false" ht="15" hidden="false" customHeight="false" outlineLevel="0" collapsed="false">
      <c r="A96" s="16"/>
      <c r="B96" s="16"/>
      <c r="C96" s="16"/>
      <c r="D96" s="16"/>
      <c r="E96" s="16"/>
      <c r="F96" s="16"/>
      <c r="G96" s="16"/>
      <c r="H96" s="16"/>
      <c r="I96" s="16"/>
      <c r="J96" s="16"/>
      <c r="K96" s="16"/>
      <c r="L96" s="16"/>
      <c r="M96" s="16"/>
      <c r="N96" s="16"/>
      <c r="O96" s="21" t="str">
        <f aca="false">IF($A96="","",IF($C96="Transactional","10 records, or all if fewer",IF($C96="Artifact","NO record sample. Grade every register row on this pull.",IF($C96="Event","last 3 occurrences, or all if fewer","PICK A SAMPLE CLASS"))))</f>
        <v/>
      </c>
      <c r="P96" s="21" t="n">
        <f aca="false">IF(TRIM(G96)="",0,LEN(TRIM(G96))-LEN(SUBSTITUTE(TRIM(G96),";",""))+1)</f>
        <v>0</v>
      </c>
      <c r="Q96" s="21" t="str">
        <f aca="false">IF($A96="","",IF(P96=0,"Unassigned",IF(P96=1,"Single point","Staffed")))</f>
        <v/>
      </c>
      <c r="R96" s="22" t="str">
        <f aca="false">IF(OR($C96="Artifact",K96="",K96=0),"",L96/K96)</f>
        <v/>
      </c>
      <c r="S96" s="21" t="n">
        <f aca="false">IF($A96="",0,COUNTIF('Full Register'!$J$6:$J$279,$A96))</f>
        <v>0</v>
      </c>
      <c r="T96" s="21" t="n">
        <f aca="false">IF($A96="",0,COUNTIFS('Full Register'!$J$6:$J$279,$A96,'Full Register'!$O$6:$O$279,"&gt;=3"))</f>
        <v>0</v>
      </c>
      <c r="U96" s="22" t="str">
        <f aca="false">IF(OR($A96="",S96=0),"",T96/S96)</f>
        <v/>
      </c>
      <c r="V96" s="21" t="n">
        <f aca="false">IF($A96="",0,S96-COUNTIFS('Full Register'!$J$6:$J$279,$A96,'Full Register'!$K$6:$K$279,"&lt;&gt;"))</f>
        <v>0</v>
      </c>
      <c r="W96" s="21" t="str">
        <f aca="false">IF($A96="","",IF(COUNTIFS('Full Register'!$J$6:$J$279,$A96,'Full Register'!$H$6:$H$279,"Full")&gt;0,"Full","Screen"))</f>
        <v/>
      </c>
      <c r="X96" s="21" t="str">
        <f aca="false">IF($A96="","",IF(AND(S96=0,I96="",G96=""),"Not started",IF($C96="","No sample class picked",IF(AND(W96="Full",$C96&lt;&gt;"Artifact",K96=""),"Record sample required, none recorded",IF(AND(I96&lt;&gt;"",V96&gt;0),V96&amp;" register rows on this pull still ungraded",IF(AND($C96="Transactional",K96&lt;&gt;"",K96&lt;10),"Transactional sample below 10 - say why in Notes",IF(AND($C96="Event",K96&lt;&gt;"",K96&lt;3),"Event sample below 3 - say why in Notes",IF(AND($C96&lt;&gt;"Artifact",K96&lt;&gt;"",L96=""),"Sample size with no conforming count",IF(AND($C96="Artifact",K96&lt;&gt;""),"Artifact pull: leave K and L blank, coverage is computed",IF(S96=0,"Worked but no requirement rows point at it","OK"))))))))))</f>
        <v/>
      </c>
    </row>
    <row r="97" customFormat="false" ht="15" hidden="false" customHeight="false" outlineLevel="0" collapsed="false">
      <c r="A97" s="16"/>
      <c r="B97" s="16"/>
      <c r="C97" s="16"/>
      <c r="D97" s="16"/>
      <c r="E97" s="16"/>
      <c r="F97" s="16"/>
      <c r="G97" s="16"/>
      <c r="H97" s="16"/>
      <c r="I97" s="16"/>
      <c r="J97" s="16"/>
      <c r="K97" s="16"/>
      <c r="L97" s="16"/>
      <c r="M97" s="16"/>
      <c r="N97" s="16"/>
      <c r="O97" s="21" t="str">
        <f aca="false">IF($A97="","",IF($C97="Transactional","10 records, or all if fewer",IF($C97="Artifact","NO record sample. Grade every register row on this pull.",IF($C97="Event","last 3 occurrences, or all if fewer","PICK A SAMPLE CLASS"))))</f>
        <v/>
      </c>
      <c r="P97" s="21" t="n">
        <f aca="false">IF(TRIM(G97)="",0,LEN(TRIM(G97))-LEN(SUBSTITUTE(TRIM(G97),";",""))+1)</f>
        <v>0</v>
      </c>
      <c r="Q97" s="21" t="str">
        <f aca="false">IF($A97="","",IF(P97=0,"Unassigned",IF(P97=1,"Single point","Staffed")))</f>
        <v/>
      </c>
      <c r="R97" s="22" t="str">
        <f aca="false">IF(OR($C97="Artifact",K97="",K97=0),"",L97/K97)</f>
        <v/>
      </c>
      <c r="S97" s="21" t="n">
        <f aca="false">IF($A97="",0,COUNTIF('Full Register'!$J$6:$J$279,$A97))</f>
        <v>0</v>
      </c>
      <c r="T97" s="21" t="n">
        <f aca="false">IF($A97="",0,COUNTIFS('Full Register'!$J$6:$J$279,$A97,'Full Register'!$O$6:$O$279,"&gt;=3"))</f>
        <v>0</v>
      </c>
      <c r="U97" s="22" t="str">
        <f aca="false">IF(OR($A97="",S97=0),"",T97/S97)</f>
        <v/>
      </c>
      <c r="V97" s="21" t="n">
        <f aca="false">IF($A97="",0,S97-COUNTIFS('Full Register'!$J$6:$J$279,$A97,'Full Register'!$K$6:$K$279,"&lt;&gt;"))</f>
        <v>0</v>
      </c>
      <c r="W97" s="21" t="str">
        <f aca="false">IF($A97="","",IF(COUNTIFS('Full Register'!$J$6:$J$279,$A97,'Full Register'!$H$6:$H$279,"Full")&gt;0,"Full","Screen"))</f>
        <v/>
      </c>
      <c r="X97" s="21" t="str">
        <f aca="false">IF($A97="","",IF(AND(S97=0,I97="",G97=""),"Not started",IF($C97="","No sample class picked",IF(AND(W97="Full",$C97&lt;&gt;"Artifact",K97=""),"Record sample required, none recorded",IF(AND(I97&lt;&gt;"",V97&gt;0),V97&amp;" register rows on this pull still ungraded",IF(AND($C97="Transactional",K97&lt;&gt;"",K97&lt;10),"Transactional sample below 10 - say why in Notes",IF(AND($C97="Event",K97&lt;&gt;"",K97&lt;3),"Event sample below 3 - say why in Notes",IF(AND($C97&lt;&gt;"Artifact",K97&lt;&gt;"",L97=""),"Sample size with no conforming count",IF(AND($C97="Artifact",K97&lt;&gt;""),"Artifact pull: leave K and L blank, coverage is computed",IF(S97=0,"Worked but no requirement rows point at it","OK"))))))))))</f>
        <v/>
      </c>
    </row>
    <row r="98" customFormat="false" ht="15" hidden="false" customHeight="false" outlineLevel="0" collapsed="false">
      <c r="A98" s="16"/>
      <c r="B98" s="16"/>
      <c r="C98" s="16"/>
      <c r="D98" s="16"/>
      <c r="E98" s="16"/>
      <c r="F98" s="16"/>
      <c r="G98" s="16"/>
      <c r="H98" s="16"/>
      <c r="I98" s="16"/>
      <c r="J98" s="16"/>
      <c r="K98" s="16"/>
      <c r="L98" s="16"/>
      <c r="M98" s="16"/>
      <c r="N98" s="16"/>
      <c r="O98" s="21" t="str">
        <f aca="false">IF($A98="","",IF($C98="Transactional","10 records, or all if fewer",IF($C98="Artifact","NO record sample. Grade every register row on this pull.",IF($C98="Event","last 3 occurrences, or all if fewer","PICK A SAMPLE CLASS"))))</f>
        <v/>
      </c>
      <c r="P98" s="21" t="n">
        <f aca="false">IF(TRIM(G98)="",0,LEN(TRIM(G98))-LEN(SUBSTITUTE(TRIM(G98),";",""))+1)</f>
        <v>0</v>
      </c>
      <c r="Q98" s="21" t="str">
        <f aca="false">IF($A98="","",IF(P98=0,"Unassigned",IF(P98=1,"Single point","Staffed")))</f>
        <v/>
      </c>
      <c r="R98" s="22" t="str">
        <f aca="false">IF(OR($C98="Artifact",K98="",K98=0),"",L98/K98)</f>
        <v/>
      </c>
      <c r="S98" s="21" t="n">
        <f aca="false">IF($A98="",0,COUNTIF('Full Register'!$J$6:$J$279,$A98))</f>
        <v>0</v>
      </c>
      <c r="T98" s="21" t="n">
        <f aca="false">IF($A98="",0,COUNTIFS('Full Register'!$J$6:$J$279,$A98,'Full Register'!$O$6:$O$279,"&gt;=3"))</f>
        <v>0</v>
      </c>
      <c r="U98" s="22" t="str">
        <f aca="false">IF(OR($A98="",S98=0),"",T98/S98)</f>
        <v/>
      </c>
      <c r="V98" s="21" t="n">
        <f aca="false">IF($A98="",0,S98-COUNTIFS('Full Register'!$J$6:$J$279,$A98,'Full Register'!$K$6:$K$279,"&lt;&gt;"))</f>
        <v>0</v>
      </c>
      <c r="W98" s="21" t="str">
        <f aca="false">IF($A98="","",IF(COUNTIFS('Full Register'!$J$6:$J$279,$A98,'Full Register'!$H$6:$H$279,"Full")&gt;0,"Full","Screen"))</f>
        <v/>
      </c>
      <c r="X98" s="21" t="str">
        <f aca="false">IF($A98="","",IF(AND(S98=0,I98="",G98=""),"Not started",IF($C98="","No sample class picked",IF(AND(W98="Full",$C98&lt;&gt;"Artifact",K98=""),"Record sample required, none recorded",IF(AND(I98&lt;&gt;"",V98&gt;0),V98&amp;" register rows on this pull still ungraded",IF(AND($C98="Transactional",K98&lt;&gt;"",K98&lt;10),"Transactional sample below 10 - say why in Notes",IF(AND($C98="Event",K98&lt;&gt;"",K98&lt;3),"Event sample below 3 - say why in Notes",IF(AND($C98&lt;&gt;"Artifact",K98&lt;&gt;"",L98=""),"Sample size with no conforming count",IF(AND($C98="Artifact",K98&lt;&gt;""),"Artifact pull: leave K and L blank, coverage is computed",IF(S98=0,"Worked but no requirement rows point at it","OK"))))))))))</f>
        <v/>
      </c>
    </row>
    <row r="99" customFormat="false" ht="15" hidden="false" customHeight="false" outlineLevel="0" collapsed="false">
      <c r="A99" s="16"/>
      <c r="B99" s="16"/>
      <c r="C99" s="16"/>
      <c r="D99" s="16"/>
      <c r="E99" s="16"/>
      <c r="F99" s="16"/>
      <c r="G99" s="16"/>
      <c r="H99" s="16"/>
      <c r="I99" s="16"/>
      <c r="J99" s="16"/>
      <c r="K99" s="16"/>
      <c r="L99" s="16"/>
      <c r="M99" s="16"/>
      <c r="N99" s="16"/>
      <c r="O99" s="21" t="str">
        <f aca="false">IF($A99="","",IF($C99="Transactional","10 records, or all if fewer",IF($C99="Artifact","NO record sample. Grade every register row on this pull.",IF($C99="Event","last 3 occurrences, or all if fewer","PICK A SAMPLE CLASS"))))</f>
        <v/>
      </c>
      <c r="P99" s="21" t="n">
        <f aca="false">IF(TRIM(G99)="",0,LEN(TRIM(G99))-LEN(SUBSTITUTE(TRIM(G99),";",""))+1)</f>
        <v>0</v>
      </c>
      <c r="Q99" s="21" t="str">
        <f aca="false">IF($A99="","",IF(P99=0,"Unassigned",IF(P99=1,"Single point","Staffed")))</f>
        <v/>
      </c>
      <c r="R99" s="22" t="str">
        <f aca="false">IF(OR($C99="Artifact",K99="",K99=0),"",L99/K99)</f>
        <v/>
      </c>
      <c r="S99" s="21" t="n">
        <f aca="false">IF($A99="",0,COUNTIF('Full Register'!$J$6:$J$279,$A99))</f>
        <v>0</v>
      </c>
      <c r="T99" s="21" t="n">
        <f aca="false">IF($A99="",0,COUNTIFS('Full Register'!$J$6:$J$279,$A99,'Full Register'!$O$6:$O$279,"&gt;=3"))</f>
        <v>0</v>
      </c>
      <c r="U99" s="22" t="str">
        <f aca="false">IF(OR($A99="",S99=0),"",T99/S99)</f>
        <v/>
      </c>
      <c r="V99" s="21" t="n">
        <f aca="false">IF($A99="",0,S99-COUNTIFS('Full Register'!$J$6:$J$279,$A99,'Full Register'!$K$6:$K$279,"&lt;&gt;"))</f>
        <v>0</v>
      </c>
      <c r="W99" s="21" t="str">
        <f aca="false">IF($A99="","",IF(COUNTIFS('Full Register'!$J$6:$J$279,$A99,'Full Register'!$H$6:$H$279,"Full")&gt;0,"Full","Screen"))</f>
        <v/>
      </c>
      <c r="X99" s="21" t="str">
        <f aca="false">IF($A99="","",IF(AND(S99=0,I99="",G99=""),"Not started",IF($C99="","No sample class picked",IF(AND(W99="Full",$C99&lt;&gt;"Artifact",K99=""),"Record sample required, none recorded",IF(AND(I99&lt;&gt;"",V99&gt;0),V99&amp;" register rows on this pull still ungraded",IF(AND($C99="Transactional",K99&lt;&gt;"",K99&lt;10),"Transactional sample below 10 - say why in Notes",IF(AND($C99="Event",K99&lt;&gt;"",K99&lt;3),"Event sample below 3 - say why in Notes",IF(AND($C99&lt;&gt;"Artifact",K99&lt;&gt;"",L99=""),"Sample size with no conforming count",IF(AND($C99="Artifact",K99&lt;&gt;""),"Artifact pull: leave K and L blank, coverage is computed",IF(S99=0,"Worked but no requirement rows point at it","OK"))))))))))</f>
        <v/>
      </c>
    </row>
    <row r="100" customFormat="false" ht="15" hidden="false" customHeight="false" outlineLevel="0" collapsed="false">
      <c r="A100" s="16"/>
      <c r="B100" s="16"/>
      <c r="C100" s="16"/>
      <c r="D100" s="16"/>
      <c r="E100" s="16"/>
      <c r="F100" s="16"/>
      <c r="G100" s="16"/>
      <c r="H100" s="16"/>
      <c r="I100" s="16"/>
      <c r="J100" s="16"/>
      <c r="K100" s="16"/>
      <c r="L100" s="16"/>
      <c r="M100" s="16"/>
      <c r="N100" s="16"/>
      <c r="O100" s="21" t="str">
        <f aca="false">IF($A100="","",IF($C100="Transactional","10 records, or all if fewer",IF($C100="Artifact","NO record sample. Grade every register row on this pull.",IF($C100="Event","last 3 occurrences, or all if fewer","PICK A SAMPLE CLASS"))))</f>
        <v/>
      </c>
      <c r="P100" s="21" t="n">
        <f aca="false">IF(TRIM(G100)="",0,LEN(TRIM(G100))-LEN(SUBSTITUTE(TRIM(G100),";",""))+1)</f>
        <v>0</v>
      </c>
      <c r="Q100" s="21" t="str">
        <f aca="false">IF($A100="","",IF(P100=0,"Unassigned",IF(P100=1,"Single point","Staffed")))</f>
        <v/>
      </c>
      <c r="R100" s="22" t="str">
        <f aca="false">IF(OR($C100="Artifact",K100="",K100=0),"",L100/K100)</f>
        <v/>
      </c>
      <c r="S100" s="21" t="n">
        <f aca="false">IF($A100="",0,COUNTIF('Full Register'!$J$6:$J$279,$A100))</f>
        <v>0</v>
      </c>
      <c r="T100" s="21" t="n">
        <f aca="false">IF($A100="",0,COUNTIFS('Full Register'!$J$6:$J$279,$A100,'Full Register'!$O$6:$O$279,"&gt;=3"))</f>
        <v>0</v>
      </c>
      <c r="U100" s="22" t="str">
        <f aca="false">IF(OR($A100="",S100=0),"",T100/S100)</f>
        <v/>
      </c>
      <c r="V100" s="21" t="n">
        <f aca="false">IF($A100="",0,S100-COUNTIFS('Full Register'!$J$6:$J$279,$A100,'Full Register'!$K$6:$K$279,"&lt;&gt;"))</f>
        <v>0</v>
      </c>
      <c r="W100" s="21" t="str">
        <f aca="false">IF($A100="","",IF(COUNTIFS('Full Register'!$J$6:$J$279,$A100,'Full Register'!$H$6:$H$279,"Full")&gt;0,"Full","Screen"))</f>
        <v/>
      </c>
      <c r="X100" s="21" t="str">
        <f aca="false">IF($A100="","",IF(AND(S100=0,I100="",G100=""),"Not started",IF($C100="","No sample class picked",IF(AND(W100="Full",$C100&lt;&gt;"Artifact",K100=""),"Record sample required, none recorded",IF(AND(I100&lt;&gt;"",V100&gt;0),V100&amp;" register rows on this pull still ungraded",IF(AND($C100="Transactional",K100&lt;&gt;"",K100&lt;10),"Transactional sample below 10 - say why in Notes",IF(AND($C100="Event",K100&lt;&gt;"",K100&lt;3),"Event sample below 3 - say why in Notes",IF(AND($C100&lt;&gt;"Artifact",K100&lt;&gt;"",L100=""),"Sample size with no conforming count",IF(AND($C100="Artifact",K100&lt;&gt;""),"Artifact pull: leave K and L blank, coverage is computed",IF(S100=0,"Worked but no requirement rows point at it","OK"))))))))))</f>
        <v/>
      </c>
    </row>
    <row r="101" customFormat="false" ht="15" hidden="false" customHeight="false" outlineLevel="0" collapsed="false">
      <c r="A101" s="16"/>
      <c r="B101" s="16"/>
      <c r="C101" s="16"/>
      <c r="D101" s="16"/>
      <c r="E101" s="16"/>
      <c r="F101" s="16"/>
      <c r="G101" s="16"/>
      <c r="H101" s="16"/>
      <c r="I101" s="16"/>
      <c r="J101" s="16"/>
      <c r="K101" s="16"/>
      <c r="L101" s="16"/>
      <c r="M101" s="16"/>
      <c r="N101" s="16"/>
      <c r="O101" s="21" t="str">
        <f aca="false">IF($A101="","",IF($C101="Transactional","10 records, or all if fewer",IF($C101="Artifact","NO record sample. Grade every register row on this pull.",IF($C101="Event","last 3 occurrences, or all if fewer","PICK A SAMPLE CLASS"))))</f>
        <v/>
      </c>
      <c r="P101" s="21" t="n">
        <f aca="false">IF(TRIM(G101)="",0,LEN(TRIM(G101))-LEN(SUBSTITUTE(TRIM(G101),";",""))+1)</f>
        <v>0</v>
      </c>
      <c r="Q101" s="21" t="str">
        <f aca="false">IF($A101="","",IF(P101=0,"Unassigned",IF(P101=1,"Single point","Staffed")))</f>
        <v/>
      </c>
      <c r="R101" s="22" t="str">
        <f aca="false">IF(OR($C101="Artifact",K101="",K101=0),"",L101/K101)</f>
        <v/>
      </c>
      <c r="S101" s="21" t="n">
        <f aca="false">IF($A101="",0,COUNTIF('Full Register'!$J$6:$J$279,$A101))</f>
        <v>0</v>
      </c>
      <c r="T101" s="21" t="n">
        <f aca="false">IF($A101="",0,COUNTIFS('Full Register'!$J$6:$J$279,$A101,'Full Register'!$O$6:$O$279,"&gt;=3"))</f>
        <v>0</v>
      </c>
      <c r="U101" s="22" t="str">
        <f aca="false">IF(OR($A101="",S101=0),"",T101/S101)</f>
        <v/>
      </c>
      <c r="V101" s="21" t="n">
        <f aca="false">IF($A101="",0,S101-COUNTIFS('Full Register'!$J$6:$J$279,$A101,'Full Register'!$K$6:$K$279,"&lt;&gt;"))</f>
        <v>0</v>
      </c>
      <c r="W101" s="21" t="str">
        <f aca="false">IF($A101="","",IF(COUNTIFS('Full Register'!$J$6:$J$279,$A101,'Full Register'!$H$6:$H$279,"Full")&gt;0,"Full","Screen"))</f>
        <v/>
      </c>
      <c r="X101" s="21" t="str">
        <f aca="false">IF($A101="","",IF(AND(S101=0,I101="",G101=""),"Not started",IF($C101="","No sample class picked",IF(AND(W101="Full",$C101&lt;&gt;"Artifact",K101=""),"Record sample required, none recorded",IF(AND(I101&lt;&gt;"",V101&gt;0),V101&amp;" register rows on this pull still ungraded",IF(AND($C101="Transactional",K101&lt;&gt;"",K101&lt;10),"Transactional sample below 10 - say why in Notes",IF(AND($C101="Event",K101&lt;&gt;"",K101&lt;3),"Event sample below 3 - say why in Notes",IF(AND($C101&lt;&gt;"Artifact",K101&lt;&gt;"",L101=""),"Sample size with no conforming count",IF(AND($C101="Artifact",K101&lt;&gt;""),"Artifact pull: leave K and L blank, coverage is computed",IF(S101=0,"Worked but no requirement rows point at it","OK"))))))))))</f>
        <v/>
      </c>
    </row>
    <row r="102" customFormat="false" ht="15" hidden="false" customHeight="false" outlineLevel="0" collapsed="false">
      <c r="A102" s="16"/>
      <c r="B102" s="16"/>
      <c r="C102" s="16"/>
      <c r="D102" s="16"/>
      <c r="E102" s="16"/>
      <c r="F102" s="16"/>
      <c r="G102" s="16"/>
      <c r="H102" s="16"/>
      <c r="I102" s="16"/>
      <c r="J102" s="16"/>
      <c r="K102" s="16"/>
      <c r="L102" s="16"/>
      <c r="M102" s="16"/>
      <c r="N102" s="16"/>
      <c r="O102" s="21" t="str">
        <f aca="false">IF($A102="","",IF($C102="Transactional","10 records, or all if fewer",IF($C102="Artifact","NO record sample. Grade every register row on this pull.",IF($C102="Event","last 3 occurrences, or all if fewer","PICK A SAMPLE CLASS"))))</f>
        <v/>
      </c>
      <c r="P102" s="21" t="n">
        <f aca="false">IF(TRIM(G102)="",0,LEN(TRIM(G102))-LEN(SUBSTITUTE(TRIM(G102),";",""))+1)</f>
        <v>0</v>
      </c>
      <c r="Q102" s="21" t="str">
        <f aca="false">IF($A102="","",IF(P102=0,"Unassigned",IF(P102=1,"Single point","Staffed")))</f>
        <v/>
      </c>
      <c r="R102" s="22" t="str">
        <f aca="false">IF(OR($C102="Artifact",K102="",K102=0),"",L102/K102)</f>
        <v/>
      </c>
      <c r="S102" s="21" t="n">
        <f aca="false">IF($A102="",0,COUNTIF('Full Register'!$J$6:$J$279,$A102))</f>
        <v>0</v>
      </c>
      <c r="T102" s="21" t="n">
        <f aca="false">IF($A102="",0,COUNTIFS('Full Register'!$J$6:$J$279,$A102,'Full Register'!$O$6:$O$279,"&gt;=3"))</f>
        <v>0</v>
      </c>
      <c r="U102" s="22" t="str">
        <f aca="false">IF(OR($A102="",S102=0),"",T102/S102)</f>
        <v/>
      </c>
      <c r="V102" s="21" t="n">
        <f aca="false">IF($A102="",0,S102-COUNTIFS('Full Register'!$J$6:$J$279,$A102,'Full Register'!$K$6:$K$279,"&lt;&gt;"))</f>
        <v>0</v>
      </c>
      <c r="W102" s="21" t="str">
        <f aca="false">IF($A102="","",IF(COUNTIFS('Full Register'!$J$6:$J$279,$A102,'Full Register'!$H$6:$H$279,"Full")&gt;0,"Full","Screen"))</f>
        <v/>
      </c>
      <c r="X102" s="21" t="str">
        <f aca="false">IF($A102="","",IF(AND(S102=0,I102="",G102=""),"Not started",IF($C102="","No sample class picked",IF(AND(W102="Full",$C102&lt;&gt;"Artifact",K102=""),"Record sample required, none recorded",IF(AND(I102&lt;&gt;"",V102&gt;0),V102&amp;" register rows on this pull still ungraded",IF(AND($C102="Transactional",K102&lt;&gt;"",K102&lt;10),"Transactional sample below 10 - say why in Notes",IF(AND($C102="Event",K102&lt;&gt;"",K102&lt;3),"Event sample below 3 - say why in Notes",IF(AND($C102&lt;&gt;"Artifact",K102&lt;&gt;"",L102=""),"Sample size with no conforming count",IF(AND($C102="Artifact",K102&lt;&gt;""),"Artifact pull: leave K and L blank, coverage is computed",IF(S102=0,"Worked but no requirement rows point at it","OK"))))))))))</f>
        <v/>
      </c>
    </row>
    <row r="103" customFormat="false" ht="15" hidden="false" customHeight="false" outlineLevel="0" collapsed="false">
      <c r="A103" s="16"/>
      <c r="B103" s="16"/>
      <c r="C103" s="16"/>
      <c r="D103" s="16"/>
      <c r="E103" s="16"/>
      <c r="F103" s="16"/>
      <c r="G103" s="16"/>
      <c r="H103" s="16"/>
      <c r="I103" s="16"/>
      <c r="J103" s="16"/>
      <c r="K103" s="16"/>
      <c r="L103" s="16"/>
      <c r="M103" s="16"/>
      <c r="N103" s="16"/>
      <c r="O103" s="21" t="str">
        <f aca="false">IF($A103="","",IF($C103="Transactional","10 records, or all if fewer",IF($C103="Artifact","NO record sample. Grade every register row on this pull.",IF($C103="Event","last 3 occurrences, or all if fewer","PICK A SAMPLE CLASS"))))</f>
        <v/>
      </c>
      <c r="P103" s="21" t="n">
        <f aca="false">IF(TRIM(G103)="",0,LEN(TRIM(G103))-LEN(SUBSTITUTE(TRIM(G103),";",""))+1)</f>
        <v>0</v>
      </c>
      <c r="Q103" s="21" t="str">
        <f aca="false">IF($A103="","",IF(P103=0,"Unassigned",IF(P103=1,"Single point","Staffed")))</f>
        <v/>
      </c>
      <c r="R103" s="22" t="str">
        <f aca="false">IF(OR($C103="Artifact",K103="",K103=0),"",L103/K103)</f>
        <v/>
      </c>
      <c r="S103" s="21" t="n">
        <f aca="false">IF($A103="",0,COUNTIF('Full Register'!$J$6:$J$279,$A103))</f>
        <v>0</v>
      </c>
      <c r="T103" s="21" t="n">
        <f aca="false">IF($A103="",0,COUNTIFS('Full Register'!$J$6:$J$279,$A103,'Full Register'!$O$6:$O$279,"&gt;=3"))</f>
        <v>0</v>
      </c>
      <c r="U103" s="22" t="str">
        <f aca="false">IF(OR($A103="",S103=0),"",T103/S103)</f>
        <v/>
      </c>
      <c r="V103" s="21" t="n">
        <f aca="false">IF($A103="",0,S103-COUNTIFS('Full Register'!$J$6:$J$279,$A103,'Full Register'!$K$6:$K$279,"&lt;&gt;"))</f>
        <v>0</v>
      </c>
      <c r="W103" s="21" t="str">
        <f aca="false">IF($A103="","",IF(COUNTIFS('Full Register'!$J$6:$J$279,$A103,'Full Register'!$H$6:$H$279,"Full")&gt;0,"Full","Screen"))</f>
        <v/>
      </c>
      <c r="X103" s="21" t="str">
        <f aca="false">IF($A103="","",IF(AND(S103=0,I103="",G103=""),"Not started",IF($C103="","No sample class picked",IF(AND(W103="Full",$C103&lt;&gt;"Artifact",K103=""),"Record sample required, none recorded",IF(AND(I103&lt;&gt;"",V103&gt;0),V103&amp;" register rows on this pull still ungraded",IF(AND($C103="Transactional",K103&lt;&gt;"",K103&lt;10),"Transactional sample below 10 - say why in Notes",IF(AND($C103="Event",K103&lt;&gt;"",K103&lt;3),"Event sample below 3 - say why in Notes",IF(AND($C103&lt;&gt;"Artifact",K103&lt;&gt;"",L103=""),"Sample size with no conforming count",IF(AND($C103="Artifact",K103&lt;&gt;""),"Artifact pull: leave K and L blank, coverage is computed",IF(S103=0,"Worked but no requirement rows point at it","OK"))))))))))</f>
        <v/>
      </c>
    </row>
    <row r="104" customFormat="false" ht="15" hidden="false" customHeight="false" outlineLevel="0" collapsed="false">
      <c r="A104" s="16"/>
      <c r="B104" s="16"/>
      <c r="C104" s="16"/>
      <c r="D104" s="16"/>
      <c r="E104" s="16"/>
      <c r="F104" s="16"/>
      <c r="G104" s="16"/>
      <c r="H104" s="16"/>
      <c r="I104" s="16"/>
      <c r="J104" s="16"/>
      <c r="K104" s="16"/>
      <c r="L104" s="16"/>
      <c r="M104" s="16"/>
      <c r="N104" s="16"/>
      <c r="O104" s="21" t="str">
        <f aca="false">IF($A104="","",IF($C104="Transactional","10 records, or all if fewer",IF($C104="Artifact","NO record sample. Grade every register row on this pull.",IF($C104="Event","last 3 occurrences, or all if fewer","PICK A SAMPLE CLASS"))))</f>
        <v/>
      </c>
      <c r="P104" s="21" t="n">
        <f aca="false">IF(TRIM(G104)="",0,LEN(TRIM(G104))-LEN(SUBSTITUTE(TRIM(G104),";",""))+1)</f>
        <v>0</v>
      </c>
      <c r="Q104" s="21" t="str">
        <f aca="false">IF($A104="","",IF(P104=0,"Unassigned",IF(P104=1,"Single point","Staffed")))</f>
        <v/>
      </c>
      <c r="R104" s="22" t="str">
        <f aca="false">IF(OR($C104="Artifact",K104="",K104=0),"",L104/K104)</f>
        <v/>
      </c>
      <c r="S104" s="21" t="n">
        <f aca="false">IF($A104="",0,COUNTIF('Full Register'!$J$6:$J$279,$A104))</f>
        <v>0</v>
      </c>
      <c r="T104" s="21" t="n">
        <f aca="false">IF($A104="",0,COUNTIFS('Full Register'!$J$6:$J$279,$A104,'Full Register'!$O$6:$O$279,"&gt;=3"))</f>
        <v>0</v>
      </c>
      <c r="U104" s="22" t="str">
        <f aca="false">IF(OR($A104="",S104=0),"",T104/S104)</f>
        <v/>
      </c>
      <c r="V104" s="21" t="n">
        <f aca="false">IF($A104="",0,S104-COUNTIFS('Full Register'!$J$6:$J$279,$A104,'Full Register'!$K$6:$K$279,"&lt;&gt;"))</f>
        <v>0</v>
      </c>
      <c r="W104" s="21" t="str">
        <f aca="false">IF($A104="","",IF(COUNTIFS('Full Register'!$J$6:$J$279,$A104,'Full Register'!$H$6:$H$279,"Full")&gt;0,"Full","Screen"))</f>
        <v/>
      </c>
      <c r="X104" s="21" t="str">
        <f aca="false">IF($A104="","",IF(AND(S104=0,I104="",G104=""),"Not started",IF($C104="","No sample class picked",IF(AND(W104="Full",$C104&lt;&gt;"Artifact",K104=""),"Record sample required, none recorded",IF(AND(I104&lt;&gt;"",V104&gt;0),V104&amp;" register rows on this pull still ungraded",IF(AND($C104="Transactional",K104&lt;&gt;"",K104&lt;10),"Transactional sample below 10 - say why in Notes",IF(AND($C104="Event",K104&lt;&gt;"",K104&lt;3),"Event sample below 3 - say why in Notes",IF(AND($C104&lt;&gt;"Artifact",K104&lt;&gt;"",L104=""),"Sample size with no conforming count",IF(AND($C104="Artifact",K104&lt;&gt;""),"Artifact pull: leave K and L blank, coverage is computed",IF(S104=0,"Worked but no requirement rows point at it","OK"))))))))))</f>
        <v/>
      </c>
    </row>
    <row r="105" customFormat="false" ht="15" hidden="false" customHeight="false" outlineLevel="0" collapsed="false">
      <c r="A105" s="16"/>
      <c r="B105" s="16"/>
      <c r="C105" s="16"/>
      <c r="D105" s="16"/>
      <c r="E105" s="16"/>
      <c r="F105" s="16"/>
      <c r="G105" s="16"/>
      <c r="H105" s="16"/>
      <c r="I105" s="16"/>
      <c r="J105" s="16"/>
      <c r="K105" s="16"/>
      <c r="L105" s="16"/>
      <c r="M105" s="16"/>
      <c r="N105" s="16"/>
      <c r="O105" s="21" t="str">
        <f aca="false">IF($A105="","",IF($C105="Transactional","10 records, or all if fewer",IF($C105="Artifact","NO record sample. Grade every register row on this pull.",IF($C105="Event","last 3 occurrences, or all if fewer","PICK A SAMPLE CLASS"))))</f>
        <v/>
      </c>
      <c r="P105" s="21" t="n">
        <f aca="false">IF(TRIM(G105)="",0,LEN(TRIM(G105))-LEN(SUBSTITUTE(TRIM(G105),";",""))+1)</f>
        <v>0</v>
      </c>
      <c r="Q105" s="21" t="str">
        <f aca="false">IF($A105="","",IF(P105=0,"Unassigned",IF(P105=1,"Single point","Staffed")))</f>
        <v/>
      </c>
      <c r="R105" s="22" t="str">
        <f aca="false">IF(OR($C105="Artifact",K105="",K105=0),"",L105/K105)</f>
        <v/>
      </c>
      <c r="S105" s="21" t="n">
        <f aca="false">IF($A105="",0,COUNTIF('Full Register'!$J$6:$J$279,$A105))</f>
        <v>0</v>
      </c>
      <c r="T105" s="21" t="n">
        <f aca="false">IF($A105="",0,COUNTIFS('Full Register'!$J$6:$J$279,$A105,'Full Register'!$O$6:$O$279,"&gt;=3"))</f>
        <v>0</v>
      </c>
      <c r="U105" s="22" t="str">
        <f aca="false">IF(OR($A105="",S105=0),"",T105/S105)</f>
        <v/>
      </c>
      <c r="V105" s="21" t="n">
        <f aca="false">IF($A105="",0,S105-COUNTIFS('Full Register'!$J$6:$J$279,$A105,'Full Register'!$K$6:$K$279,"&lt;&gt;"))</f>
        <v>0</v>
      </c>
      <c r="W105" s="21" t="str">
        <f aca="false">IF($A105="","",IF(COUNTIFS('Full Register'!$J$6:$J$279,$A105,'Full Register'!$H$6:$H$279,"Full")&gt;0,"Full","Screen"))</f>
        <v/>
      </c>
      <c r="X105" s="21" t="str">
        <f aca="false">IF($A105="","",IF(AND(S105=0,I105="",G105=""),"Not started",IF($C105="","No sample class picked",IF(AND(W105="Full",$C105&lt;&gt;"Artifact",K105=""),"Record sample required, none recorded",IF(AND(I105&lt;&gt;"",V105&gt;0),V105&amp;" register rows on this pull still ungraded",IF(AND($C105="Transactional",K105&lt;&gt;"",K105&lt;10),"Transactional sample below 10 - say why in Notes",IF(AND($C105="Event",K105&lt;&gt;"",K105&lt;3),"Event sample below 3 - say why in Notes",IF(AND($C105&lt;&gt;"Artifact",K105&lt;&gt;"",L105=""),"Sample size with no conforming count",IF(AND($C105="Artifact",K105&lt;&gt;""),"Artifact pull: leave K and L blank, coverage is computed",IF(S105=0,"Worked but no requirement rows point at it","OK"))))))))))</f>
        <v/>
      </c>
    </row>
    <row r="106" customFormat="false" ht="15" hidden="false" customHeight="false" outlineLevel="0" collapsed="false">
      <c r="A106" s="16"/>
      <c r="B106" s="16"/>
      <c r="C106" s="16"/>
      <c r="D106" s="16"/>
      <c r="E106" s="16"/>
      <c r="F106" s="16"/>
      <c r="G106" s="16"/>
      <c r="H106" s="16"/>
      <c r="I106" s="16"/>
      <c r="J106" s="16"/>
      <c r="K106" s="16"/>
      <c r="L106" s="16"/>
      <c r="M106" s="16"/>
      <c r="N106" s="16"/>
      <c r="O106" s="21" t="str">
        <f aca="false">IF($A106="","",IF($C106="Transactional","10 records, or all if fewer",IF($C106="Artifact","NO record sample. Grade every register row on this pull.",IF($C106="Event","last 3 occurrences, or all if fewer","PICK A SAMPLE CLASS"))))</f>
        <v/>
      </c>
      <c r="P106" s="21" t="n">
        <f aca="false">IF(TRIM(G106)="",0,LEN(TRIM(G106))-LEN(SUBSTITUTE(TRIM(G106),";",""))+1)</f>
        <v>0</v>
      </c>
      <c r="Q106" s="21" t="str">
        <f aca="false">IF($A106="","",IF(P106=0,"Unassigned",IF(P106=1,"Single point","Staffed")))</f>
        <v/>
      </c>
      <c r="R106" s="22" t="str">
        <f aca="false">IF(OR($C106="Artifact",K106="",K106=0),"",L106/K106)</f>
        <v/>
      </c>
      <c r="S106" s="21" t="n">
        <f aca="false">IF($A106="",0,COUNTIF('Full Register'!$J$6:$J$279,$A106))</f>
        <v>0</v>
      </c>
      <c r="T106" s="21" t="n">
        <f aca="false">IF($A106="",0,COUNTIFS('Full Register'!$J$6:$J$279,$A106,'Full Register'!$O$6:$O$279,"&gt;=3"))</f>
        <v>0</v>
      </c>
      <c r="U106" s="22" t="str">
        <f aca="false">IF(OR($A106="",S106=0),"",T106/S106)</f>
        <v/>
      </c>
      <c r="V106" s="21" t="n">
        <f aca="false">IF($A106="",0,S106-COUNTIFS('Full Register'!$J$6:$J$279,$A106,'Full Register'!$K$6:$K$279,"&lt;&gt;"))</f>
        <v>0</v>
      </c>
      <c r="W106" s="21" t="str">
        <f aca="false">IF($A106="","",IF(COUNTIFS('Full Register'!$J$6:$J$279,$A106,'Full Register'!$H$6:$H$279,"Full")&gt;0,"Full","Screen"))</f>
        <v/>
      </c>
      <c r="X106" s="21" t="str">
        <f aca="false">IF($A106="","",IF(AND(S106=0,I106="",G106=""),"Not started",IF($C106="","No sample class picked",IF(AND(W106="Full",$C106&lt;&gt;"Artifact",K106=""),"Record sample required, none recorded",IF(AND(I106&lt;&gt;"",V106&gt;0),V106&amp;" register rows on this pull still ungraded",IF(AND($C106="Transactional",K106&lt;&gt;"",K106&lt;10),"Transactional sample below 10 - say why in Notes",IF(AND($C106="Event",K106&lt;&gt;"",K106&lt;3),"Event sample below 3 - say why in Notes",IF(AND($C106&lt;&gt;"Artifact",K106&lt;&gt;"",L106=""),"Sample size with no conforming count",IF(AND($C106="Artifact",K106&lt;&gt;""),"Artifact pull: leave K and L blank, coverage is computed",IF(S106=0,"Worked but no requirement rows point at it","OK"))))))))))</f>
        <v/>
      </c>
    </row>
    <row r="107" customFormat="false" ht="15" hidden="false" customHeight="false" outlineLevel="0" collapsed="false">
      <c r="A107" s="16"/>
      <c r="B107" s="16"/>
      <c r="C107" s="16"/>
      <c r="D107" s="16"/>
      <c r="E107" s="16"/>
      <c r="F107" s="16"/>
      <c r="G107" s="16"/>
      <c r="H107" s="16"/>
      <c r="I107" s="16"/>
      <c r="J107" s="16"/>
      <c r="K107" s="16"/>
      <c r="L107" s="16"/>
      <c r="M107" s="16"/>
      <c r="N107" s="16"/>
      <c r="O107" s="21" t="str">
        <f aca="false">IF($A107="","",IF($C107="Transactional","10 records, or all if fewer",IF($C107="Artifact","NO record sample. Grade every register row on this pull.",IF($C107="Event","last 3 occurrences, or all if fewer","PICK A SAMPLE CLASS"))))</f>
        <v/>
      </c>
      <c r="P107" s="21" t="n">
        <f aca="false">IF(TRIM(G107)="",0,LEN(TRIM(G107))-LEN(SUBSTITUTE(TRIM(G107),";",""))+1)</f>
        <v>0</v>
      </c>
      <c r="Q107" s="21" t="str">
        <f aca="false">IF($A107="","",IF(P107=0,"Unassigned",IF(P107=1,"Single point","Staffed")))</f>
        <v/>
      </c>
      <c r="R107" s="22" t="str">
        <f aca="false">IF(OR($C107="Artifact",K107="",K107=0),"",L107/K107)</f>
        <v/>
      </c>
      <c r="S107" s="21" t="n">
        <f aca="false">IF($A107="",0,COUNTIF('Full Register'!$J$6:$J$279,$A107))</f>
        <v>0</v>
      </c>
      <c r="T107" s="21" t="n">
        <f aca="false">IF($A107="",0,COUNTIFS('Full Register'!$J$6:$J$279,$A107,'Full Register'!$O$6:$O$279,"&gt;=3"))</f>
        <v>0</v>
      </c>
      <c r="U107" s="22" t="str">
        <f aca="false">IF(OR($A107="",S107=0),"",T107/S107)</f>
        <v/>
      </c>
      <c r="V107" s="21" t="n">
        <f aca="false">IF($A107="",0,S107-COUNTIFS('Full Register'!$J$6:$J$279,$A107,'Full Register'!$K$6:$K$279,"&lt;&gt;"))</f>
        <v>0</v>
      </c>
      <c r="W107" s="21" t="str">
        <f aca="false">IF($A107="","",IF(COUNTIFS('Full Register'!$J$6:$J$279,$A107,'Full Register'!$H$6:$H$279,"Full")&gt;0,"Full","Screen"))</f>
        <v/>
      </c>
      <c r="X107" s="21" t="str">
        <f aca="false">IF($A107="","",IF(AND(S107=0,I107="",G107=""),"Not started",IF($C107="","No sample class picked",IF(AND(W107="Full",$C107&lt;&gt;"Artifact",K107=""),"Record sample required, none recorded",IF(AND(I107&lt;&gt;"",V107&gt;0),V107&amp;" register rows on this pull still ungraded",IF(AND($C107="Transactional",K107&lt;&gt;"",K107&lt;10),"Transactional sample below 10 - say why in Notes",IF(AND($C107="Event",K107&lt;&gt;"",K107&lt;3),"Event sample below 3 - say why in Notes",IF(AND($C107&lt;&gt;"Artifact",K107&lt;&gt;"",L107=""),"Sample size with no conforming count",IF(AND($C107="Artifact",K107&lt;&gt;""),"Artifact pull: leave K and L blank, coverage is computed",IF(S107=0,"Worked but no requirement rows point at it","OK"))))))))))</f>
        <v/>
      </c>
    </row>
    <row r="108" customFormat="false" ht="15" hidden="false" customHeight="false" outlineLevel="0" collapsed="false">
      <c r="A108" s="16"/>
      <c r="B108" s="16"/>
      <c r="C108" s="16"/>
      <c r="D108" s="16"/>
      <c r="E108" s="16"/>
      <c r="F108" s="16"/>
      <c r="G108" s="16"/>
      <c r="H108" s="16"/>
      <c r="I108" s="16"/>
      <c r="J108" s="16"/>
      <c r="K108" s="16"/>
      <c r="L108" s="16"/>
      <c r="M108" s="16"/>
      <c r="N108" s="16"/>
      <c r="O108" s="21" t="str">
        <f aca="false">IF($A108="","",IF($C108="Transactional","10 records, or all if fewer",IF($C108="Artifact","NO record sample. Grade every register row on this pull.",IF($C108="Event","last 3 occurrences, or all if fewer","PICK A SAMPLE CLASS"))))</f>
        <v/>
      </c>
      <c r="P108" s="21" t="n">
        <f aca="false">IF(TRIM(G108)="",0,LEN(TRIM(G108))-LEN(SUBSTITUTE(TRIM(G108),";",""))+1)</f>
        <v>0</v>
      </c>
      <c r="Q108" s="21" t="str">
        <f aca="false">IF($A108="","",IF(P108=0,"Unassigned",IF(P108=1,"Single point","Staffed")))</f>
        <v/>
      </c>
      <c r="R108" s="22" t="str">
        <f aca="false">IF(OR($C108="Artifact",K108="",K108=0),"",L108/K108)</f>
        <v/>
      </c>
      <c r="S108" s="21" t="n">
        <f aca="false">IF($A108="",0,COUNTIF('Full Register'!$J$6:$J$279,$A108))</f>
        <v>0</v>
      </c>
      <c r="T108" s="21" t="n">
        <f aca="false">IF($A108="",0,COUNTIFS('Full Register'!$J$6:$J$279,$A108,'Full Register'!$O$6:$O$279,"&gt;=3"))</f>
        <v>0</v>
      </c>
      <c r="U108" s="22" t="str">
        <f aca="false">IF(OR($A108="",S108=0),"",T108/S108)</f>
        <v/>
      </c>
      <c r="V108" s="21" t="n">
        <f aca="false">IF($A108="",0,S108-COUNTIFS('Full Register'!$J$6:$J$279,$A108,'Full Register'!$K$6:$K$279,"&lt;&gt;"))</f>
        <v>0</v>
      </c>
      <c r="W108" s="21" t="str">
        <f aca="false">IF($A108="","",IF(COUNTIFS('Full Register'!$J$6:$J$279,$A108,'Full Register'!$H$6:$H$279,"Full")&gt;0,"Full","Screen"))</f>
        <v/>
      </c>
      <c r="X108" s="21" t="str">
        <f aca="false">IF($A108="","",IF(AND(S108=0,I108="",G108=""),"Not started",IF($C108="","No sample class picked",IF(AND(W108="Full",$C108&lt;&gt;"Artifact",K108=""),"Record sample required, none recorded",IF(AND(I108&lt;&gt;"",V108&gt;0),V108&amp;" register rows on this pull still ungraded",IF(AND($C108="Transactional",K108&lt;&gt;"",K108&lt;10),"Transactional sample below 10 - say why in Notes",IF(AND($C108="Event",K108&lt;&gt;"",K108&lt;3),"Event sample below 3 - say why in Notes",IF(AND($C108&lt;&gt;"Artifact",K108&lt;&gt;"",L108=""),"Sample size with no conforming count",IF(AND($C108="Artifact",K108&lt;&gt;""),"Artifact pull: leave K and L blank, coverage is computed",IF(S108=0,"Worked but no requirement rows point at it","OK"))))))))))</f>
        <v/>
      </c>
    </row>
    <row r="109" customFormat="false" ht="15" hidden="false" customHeight="false" outlineLevel="0" collapsed="false">
      <c r="A109" s="16"/>
      <c r="B109" s="16"/>
      <c r="C109" s="16"/>
      <c r="D109" s="16"/>
      <c r="E109" s="16"/>
      <c r="F109" s="16"/>
      <c r="G109" s="16"/>
      <c r="H109" s="16"/>
      <c r="I109" s="16"/>
      <c r="J109" s="16"/>
      <c r="K109" s="16"/>
      <c r="L109" s="16"/>
      <c r="M109" s="16"/>
      <c r="N109" s="16"/>
      <c r="O109" s="21" t="str">
        <f aca="false">IF($A109="","",IF($C109="Transactional","10 records, or all if fewer",IF($C109="Artifact","NO record sample. Grade every register row on this pull.",IF($C109="Event","last 3 occurrences, or all if fewer","PICK A SAMPLE CLASS"))))</f>
        <v/>
      </c>
      <c r="P109" s="21" t="n">
        <f aca="false">IF(TRIM(G109)="",0,LEN(TRIM(G109))-LEN(SUBSTITUTE(TRIM(G109),";",""))+1)</f>
        <v>0</v>
      </c>
      <c r="Q109" s="21" t="str">
        <f aca="false">IF($A109="","",IF(P109=0,"Unassigned",IF(P109=1,"Single point","Staffed")))</f>
        <v/>
      </c>
      <c r="R109" s="22" t="str">
        <f aca="false">IF(OR($C109="Artifact",K109="",K109=0),"",L109/K109)</f>
        <v/>
      </c>
      <c r="S109" s="21" t="n">
        <f aca="false">IF($A109="",0,COUNTIF('Full Register'!$J$6:$J$279,$A109))</f>
        <v>0</v>
      </c>
      <c r="T109" s="21" t="n">
        <f aca="false">IF($A109="",0,COUNTIFS('Full Register'!$J$6:$J$279,$A109,'Full Register'!$O$6:$O$279,"&gt;=3"))</f>
        <v>0</v>
      </c>
      <c r="U109" s="22" t="str">
        <f aca="false">IF(OR($A109="",S109=0),"",T109/S109)</f>
        <v/>
      </c>
      <c r="V109" s="21" t="n">
        <f aca="false">IF($A109="",0,S109-COUNTIFS('Full Register'!$J$6:$J$279,$A109,'Full Register'!$K$6:$K$279,"&lt;&gt;"))</f>
        <v>0</v>
      </c>
      <c r="W109" s="21" t="str">
        <f aca="false">IF($A109="","",IF(COUNTIFS('Full Register'!$J$6:$J$279,$A109,'Full Register'!$H$6:$H$279,"Full")&gt;0,"Full","Screen"))</f>
        <v/>
      </c>
      <c r="X109" s="21" t="str">
        <f aca="false">IF($A109="","",IF(AND(S109=0,I109="",G109=""),"Not started",IF($C109="","No sample class picked",IF(AND(W109="Full",$C109&lt;&gt;"Artifact",K109=""),"Record sample required, none recorded",IF(AND(I109&lt;&gt;"",V109&gt;0),V109&amp;" register rows on this pull still ungraded",IF(AND($C109="Transactional",K109&lt;&gt;"",K109&lt;10),"Transactional sample below 10 - say why in Notes",IF(AND($C109="Event",K109&lt;&gt;"",K109&lt;3),"Event sample below 3 - say why in Notes",IF(AND($C109&lt;&gt;"Artifact",K109&lt;&gt;"",L109=""),"Sample size with no conforming count",IF(AND($C109="Artifact",K109&lt;&gt;""),"Artifact pull: leave K and L blank, coverage is computed",IF(S109=0,"Worked but no requirement rows point at it","OK"))))))))))</f>
        <v/>
      </c>
    </row>
    <row r="110" customFormat="false" ht="15" hidden="false" customHeight="false" outlineLevel="0" collapsed="false">
      <c r="A110" s="16"/>
      <c r="B110" s="16"/>
      <c r="C110" s="16"/>
      <c r="D110" s="16"/>
      <c r="E110" s="16"/>
      <c r="F110" s="16"/>
      <c r="G110" s="16"/>
      <c r="H110" s="16"/>
      <c r="I110" s="16"/>
      <c r="J110" s="16"/>
      <c r="K110" s="16"/>
      <c r="L110" s="16"/>
      <c r="M110" s="16"/>
      <c r="N110" s="16"/>
      <c r="O110" s="21" t="str">
        <f aca="false">IF($A110="","",IF($C110="Transactional","10 records, or all if fewer",IF($C110="Artifact","NO record sample. Grade every register row on this pull.",IF($C110="Event","last 3 occurrences, or all if fewer","PICK A SAMPLE CLASS"))))</f>
        <v/>
      </c>
      <c r="P110" s="21" t="n">
        <f aca="false">IF(TRIM(G110)="",0,LEN(TRIM(G110))-LEN(SUBSTITUTE(TRIM(G110),";",""))+1)</f>
        <v>0</v>
      </c>
      <c r="Q110" s="21" t="str">
        <f aca="false">IF($A110="","",IF(P110=0,"Unassigned",IF(P110=1,"Single point","Staffed")))</f>
        <v/>
      </c>
      <c r="R110" s="22" t="str">
        <f aca="false">IF(OR($C110="Artifact",K110="",K110=0),"",L110/K110)</f>
        <v/>
      </c>
      <c r="S110" s="21" t="n">
        <f aca="false">IF($A110="",0,COUNTIF('Full Register'!$J$6:$J$279,$A110))</f>
        <v>0</v>
      </c>
      <c r="T110" s="21" t="n">
        <f aca="false">IF($A110="",0,COUNTIFS('Full Register'!$J$6:$J$279,$A110,'Full Register'!$O$6:$O$279,"&gt;=3"))</f>
        <v>0</v>
      </c>
      <c r="U110" s="22" t="str">
        <f aca="false">IF(OR($A110="",S110=0),"",T110/S110)</f>
        <v/>
      </c>
      <c r="V110" s="21" t="n">
        <f aca="false">IF($A110="",0,S110-COUNTIFS('Full Register'!$J$6:$J$279,$A110,'Full Register'!$K$6:$K$279,"&lt;&gt;"))</f>
        <v>0</v>
      </c>
      <c r="W110" s="21" t="str">
        <f aca="false">IF($A110="","",IF(COUNTIFS('Full Register'!$J$6:$J$279,$A110,'Full Register'!$H$6:$H$279,"Full")&gt;0,"Full","Screen"))</f>
        <v/>
      </c>
      <c r="X110" s="21" t="str">
        <f aca="false">IF($A110="","",IF(AND(S110=0,I110="",G110=""),"Not started",IF($C110="","No sample class picked",IF(AND(W110="Full",$C110&lt;&gt;"Artifact",K110=""),"Record sample required, none recorded",IF(AND(I110&lt;&gt;"",V110&gt;0),V110&amp;" register rows on this pull still ungraded",IF(AND($C110="Transactional",K110&lt;&gt;"",K110&lt;10),"Transactional sample below 10 - say why in Notes",IF(AND($C110="Event",K110&lt;&gt;"",K110&lt;3),"Event sample below 3 - say why in Notes",IF(AND($C110&lt;&gt;"Artifact",K110&lt;&gt;"",L110=""),"Sample size with no conforming count",IF(AND($C110="Artifact",K110&lt;&gt;""),"Artifact pull: leave K and L blank, coverage is computed",IF(S110=0,"Worked but no requirement rows point at it","OK"))))))))))</f>
        <v/>
      </c>
    </row>
    <row r="111" customFormat="false" ht="15" hidden="false" customHeight="false" outlineLevel="0" collapsed="false">
      <c r="A111" s="16"/>
      <c r="B111" s="16"/>
      <c r="C111" s="16"/>
      <c r="D111" s="16"/>
      <c r="E111" s="16"/>
      <c r="F111" s="16"/>
      <c r="G111" s="16"/>
      <c r="H111" s="16"/>
      <c r="I111" s="16"/>
      <c r="J111" s="16"/>
      <c r="K111" s="16"/>
      <c r="L111" s="16"/>
      <c r="M111" s="16"/>
      <c r="N111" s="16"/>
      <c r="O111" s="21" t="str">
        <f aca="false">IF($A111="","",IF($C111="Transactional","10 records, or all if fewer",IF($C111="Artifact","NO record sample. Grade every register row on this pull.",IF($C111="Event","last 3 occurrences, or all if fewer","PICK A SAMPLE CLASS"))))</f>
        <v/>
      </c>
      <c r="P111" s="21" t="n">
        <f aca="false">IF(TRIM(G111)="",0,LEN(TRIM(G111))-LEN(SUBSTITUTE(TRIM(G111),";",""))+1)</f>
        <v>0</v>
      </c>
      <c r="Q111" s="21" t="str">
        <f aca="false">IF($A111="","",IF(P111=0,"Unassigned",IF(P111=1,"Single point","Staffed")))</f>
        <v/>
      </c>
      <c r="R111" s="22" t="str">
        <f aca="false">IF(OR($C111="Artifact",K111="",K111=0),"",L111/K111)</f>
        <v/>
      </c>
      <c r="S111" s="21" t="n">
        <f aca="false">IF($A111="",0,COUNTIF('Full Register'!$J$6:$J$279,$A111))</f>
        <v>0</v>
      </c>
      <c r="T111" s="21" t="n">
        <f aca="false">IF($A111="",0,COUNTIFS('Full Register'!$J$6:$J$279,$A111,'Full Register'!$O$6:$O$279,"&gt;=3"))</f>
        <v>0</v>
      </c>
      <c r="U111" s="22" t="str">
        <f aca="false">IF(OR($A111="",S111=0),"",T111/S111)</f>
        <v/>
      </c>
      <c r="V111" s="21" t="n">
        <f aca="false">IF($A111="",0,S111-COUNTIFS('Full Register'!$J$6:$J$279,$A111,'Full Register'!$K$6:$K$279,"&lt;&gt;"))</f>
        <v>0</v>
      </c>
      <c r="W111" s="21" t="str">
        <f aca="false">IF($A111="","",IF(COUNTIFS('Full Register'!$J$6:$J$279,$A111,'Full Register'!$H$6:$H$279,"Full")&gt;0,"Full","Screen"))</f>
        <v/>
      </c>
      <c r="X111" s="21" t="str">
        <f aca="false">IF($A111="","",IF(AND(S111=0,I111="",G111=""),"Not started",IF($C111="","No sample class picked",IF(AND(W111="Full",$C111&lt;&gt;"Artifact",K111=""),"Record sample required, none recorded",IF(AND(I111&lt;&gt;"",V111&gt;0),V111&amp;" register rows on this pull still ungraded",IF(AND($C111="Transactional",K111&lt;&gt;"",K111&lt;10),"Transactional sample below 10 - say why in Notes",IF(AND($C111="Event",K111&lt;&gt;"",K111&lt;3),"Event sample below 3 - say why in Notes",IF(AND($C111&lt;&gt;"Artifact",K111&lt;&gt;"",L111=""),"Sample size with no conforming count",IF(AND($C111="Artifact",K111&lt;&gt;""),"Artifact pull: leave K and L blank, coverage is computed",IF(S111=0,"Worked but no requirement rows point at it","OK"))))))))))</f>
        <v/>
      </c>
    </row>
    <row r="112" customFormat="false" ht="15" hidden="false" customHeight="false" outlineLevel="0" collapsed="false">
      <c r="A112" s="16"/>
      <c r="B112" s="16"/>
      <c r="C112" s="16"/>
      <c r="D112" s="16"/>
      <c r="E112" s="16"/>
      <c r="F112" s="16"/>
      <c r="G112" s="16"/>
      <c r="H112" s="16"/>
      <c r="I112" s="16"/>
      <c r="J112" s="16"/>
      <c r="K112" s="16"/>
      <c r="L112" s="16"/>
      <c r="M112" s="16"/>
      <c r="N112" s="16"/>
      <c r="O112" s="21" t="str">
        <f aca="false">IF($A112="","",IF($C112="Transactional","10 records, or all if fewer",IF($C112="Artifact","NO record sample. Grade every register row on this pull.",IF($C112="Event","last 3 occurrences, or all if fewer","PICK A SAMPLE CLASS"))))</f>
        <v/>
      </c>
      <c r="P112" s="21" t="n">
        <f aca="false">IF(TRIM(G112)="",0,LEN(TRIM(G112))-LEN(SUBSTITUTE(TRIM(G112),";",""))+1)</f>
        <v>0</v>
      </c>
      <c r="Q112" s="21" t="str">
        <f aca="false">IF($A112="","",IF(P112=0,"Unassigned",IF(P112=1,"Single point","Staffed")))</f>
        <v/>
      </c>
      <c r="R112" s="22" t="str">
        <f aca="false">IF(OR($C112="Artifact",K112="",K112=0),"",L112/K112)</f>
        <v/>
      </c>
      <c r="S112" s="21" t="n">
        <f aca="false">IF($A112="",0,COUNTIF('Full Register'!$J$6:$J$279,$A112))</f>
        <v>0</v>
      </c>
      <c r="T112" s="21" t="n">
        <f aca="false">IF($A112="",0,COUNTIFS('Full Register'!$J$6:$J$279,$A112,'Full Register'!$O$6:$O$279,"&gt;=3"))</f>
        <v>0</v>
      </c>
      <c r="U112" s="22" t="str">
        <f aca="false">IF(OR($A112="",S112=0),"",T112/S112)</f>
        <v/>
      </c>
      <c r="V112" s="21" t="n">
        <f aca="false">IF($A112="",0,S112-COUNTIFS('Full Register'!$J$6:$J$279,$A112,'Full Register'!$K$6:$K$279,"&lt;&gt;"))</f>
        <v>0</v>
      </c>
      <c r="W112" s="21" t="str">
        <f aca="false">IF($A112="","",IF(COUNTIFS('Full Register'!$J$6:$J$279,$A112,'Full Register'!$H$6:$H$279,"Full")&gt;0,"Full","Screen"))</f>
        <v/>
      </c>
      <c r="X112" s="21" t="str">
        <f aca="false">IF($A112="","",IF(AND(S112=0,I112="",G112=""),"Not started",IF($C112="","No sample class picked",IF(AND(W112="Full",$C112&lt;&gt;"Artifact",K112=""),"Record sample required, none recorded",IF(AND(I112&lt;&gt;"",V112&gt;0),V112&amp;" register rows on this pull still ungraded",IF(AND($C112="Transactional",K112&lt;&gt;"",K112&lt;10),"Transactional sample below 10 - say why in Notes",IF(AND($C112="Event",K112&lt;&gt;"",K112&lt;3),"Event sample below 3 - say why in Notes",IF(AND($C112&lt;&gt;"Artifact",K112&lt;&gt;"",L112=""),"Sample size with no conforming count",IF(AND($C112="Artifact",K112&lt;&gt;""),"Artifact pull: leave K and L blank, coverage is computed",IF(S112=0,"Worked but no requirement rows point at it","OK"))))))))))</f>
        <v/>
      </c>
    </row>
    <row r="113" customFormat="false" ht="15" hidden="false" customHeight="false" outlineLevel="0" collapsed="false">
      <c r="A113" s="16"/>
      <c r="B113" s="16"/>
      <c r="C113" s="16"/>
      <c r="D113" s="16"/>
      <c r="E113" s="16"/>
      <c r="F113" s="16"/>
      <c r="G113" s="16"/>
      <c r="H113" s="16"/>
      <c r="I113" s="16"/>
      <c r="J113" s="16"/>
      <c r="K113" s="16"/>
      <c r="L113" s="16"/>
      <c r="M113" s="16"/>
      <c r="N113" s="16"/>
      <c r="O113" s="21" t="str">
        <f aca="false">IF($A113="","",IF($C113="Transactional","10 records, or all if fewer",IF($C113="Artifact","NO record sample. Grade every register row on this pull.",IF($C113="Event","last 3 occurrences, or all if fewer","PICK A SAMPLE CLASS"))))</f>
        <v/>
      </c>
      <c r="P113" s="21" t="n">
        <f aca="false">IF(TRIM(G113)="",0,LEN(TRIM(G113))-LEN(SUBSTITUTE(TRIM(G113),";",""))+1)</f>
        <v>0</v>
      </c>
      <c r="Q113" s="21" t="str">
        <f aca="false">IF($A113="","",IF(P113=0,"Unassigned",IF(P113=1,"Single point","Staffed")))</f>
        <v/>
      </c>
      <c r="R113" s="22" t="str">
        <f aca="false">IF(OR($C113="Artifact",K113="",K113=0),"",L113/K113)</f>
        <v/>
      </c>
      <c r="S113" s="21" t="n">
        <f aca="false">IF($A113="",0,COUNTIF('Full Register'!$J$6:$J$279,$A113))</f>
        <v>0</v>
      </c>
      <c r="T113" s="21" t="n">
        <f aca="false">IF($A113="",0,COUNTIFS('Full Register'!$J$6:$J$279,$A113,'Full Register'!$O$6:$O$279,"&gt;=3"))</f>
        <v>0</v>
      </c>
      <c r="U113" s="22" t="str">
        <f aca="false">IF(OR($A113="",S113=0),"",T113/S113)</f>
        <v/>
      </c>
      <c r="V113" s="21" t="n">
        <f aca="false">IF($A113="",0,S113-COUNTIFS('Full Register'!$J$6:$J$279,$A113,'Full Register'!$K$6:$K$279,"&lt;&gt;"))</f>
        <v>0</v>
      </c>
      <c r="W113" s="21" t="str">
        <f aca="false">IF($A113="","",IF(COUNTIFS('Full Register'!$J$6:$J$279,$A113,'Full Register'!$H$6:$H$279,"Full")&gt;0,"Full","Screen"))</f>
        <v/>
      </c>
      <c r="X113" s="21" t="str">
        <f aca="false">IF($A113="","",IF(AND(S113=0,I113="",G113=""),"Not started",IF($C113="","No sample class picked",IF(AND(W113="Full",$C113&lt;&gt;"Artifact",K113=""),"Record sample required, none recorded",IF(AND(I113&lt;&gt;"",V113&gt;0),V113&amp;" register rows on this pull still ungraded",IF(AND($C113="Transactional",K113&lt;&gt;"",K113&lt;10),"Transactional sample below 10 - say why in Notes",IF(AND($C113="Event",K113&lt;&gt;"",K113&lt;3),"Event sample below 3 - say why in Notes",IF(AND($C113&lt;&gt;"Artifact",K113&lt;&gt;"",L113=""),"Sample size with no conforming count",IF(AND($C113="Artifact",K113&lt;&gt;""),"Artifact pull: leave K and L blank, coverage is computed",IF(S113=0,"Worked but no requirement rows point at it","OK"))))))))))</f>
        <v/>
      </c>
    </row>
    <row r="114" customFormat="false" ht="15" hidden="false" customHeight="false" outlineLevel="0" collapsed="false">
      <c r="A114" s="16"/>
      <c r="B114" s="16"/>
      <c r="C114" s="16"/>
      <c r="D114" s="16"/>
      <c r="E114" s="16"/>
      <c r="F114" s="16"/>
      <c r="G114" s="16"/>
      <c r="H114" s="16"/>
      <c r="I114" s="16"/>
      <c r="J114" s="16"/>
      <c r="K114" s="16"/>
      <c r="L114" s="16"/>
      <c r="M114" s="16"/>
      <c r="N114" s="16"/>
      <c r="O114" s="21" t="str">
        <f aca="false">IF($A114="","",IF($C114="Transactional","10 records, or all if fewer",IF($C114="Artifact","NO record sample. Grade every register row on this pull.",IF($C114="Event","last 3 occurrences, or all if fewer","PICK A SAMPLE CLASS"))))</f>
        <v/>
      </c>
      <c r="P114" s="21" t="n">
        <f aca="false">IF(TRIM(G114)="",0,LEN(TRIM(G114))-LEN(SUBSTITUTE(TRIM(G114),";",""))+1)</f>
        <v>0</v>
      </c>
      <c r="Q114" s="21" t="str">
        <f aca="false">IF($A114="","",IF(P114=0,"Unassigned",IF(P114=1,"Single point","Staffed")))</f>
        <v/>
      </c>
      <c r="R114" s="22" t="str">
        <f aca="false">IF(OR($C114="Artifact",K114="",K114=0),"",L114/K114)</f>
        <v/>
      </c>
      <c r="S114" s="21" t="n">
        <f aca="false">IF($A114="",0,COUNTIF('Full Register'!$J$6:$J$279,$A114))</f>
        <v>0</v>
      </c>
      <c r="T114" s="21" t="n">
        <f aca="false">IF($A114="",0,COUNTIFS('Full Register'!$J$6:$J$279,$A114,'Full Register'!$O$6:$O$279,"&gt;=3"))</f>
        <v>0</v>
      </c>
      <c r="U114" s="22" t="str">
        <f aca="false">IF(OR($A114="",S114=0),"",T114/S114)</f>
        <v/>
      </c>
      <c r="V114" s="21" t="n">
        <f aca="false">IF($A114="",0,S114-COUNTIFS('Full Register'!$J$6:$J$279,$A114,'Full Register'!$K$6:$K$279,"&lt;&gt;"))</f>
        <v>0</v>
      </c>
      <c r="W114" s="21" t="str">
        <f aca="false">IF($A114="","",IF(COUNTIFS('Full Register'!$J$6:$J$279,$A114,'Full Register'!$H$6:$H$279,"Full")&gt;0,"Full","Screen"))</f>
        <v/>
      </c>
      <c r="X114" s="21" t="str">
        <f aca="false">IF($A114="","",IF(AND(S114=0,I114="",G114=""),"Not started",IF($C114="","No sample class picked",IF(AND(W114="Full",$C114&lt;&gt;"Artifact",K114=""),"Record sample required, none recorded",IF(AND(I114&lt;&gt;"",V114&gt;0),V114&amp;" register rows on this pull still ungraded",IF(AND($C114="Transactional",K114&lt;&gt;"",K114&lt;10),"Transactional sample below 10 - say why in Notes",IF(AND($C114="Event",K114&lt;&gt;"",K114&lt;3),"Event sample below 3 - say why in Notes",IF(AND($C114&lt;&gt;"Artifact",K114&lt;&gt;"",L114=""),"Sample size with no conforming count",IF(AND($C114="Artifact",K114&lt;&gt;""),"Artifact pull: leave K and L blank, coverage is computed",IF(S114=0,"Worked but no requirement rows point at it","OK"))))))))))</f>
        <v/>
      </c>
    </row>
    <row r="115" customFormat="false" ht="15" hidden="false" customHeight="false" outlineLevel="0" collapsed="false">
      <c r="A115" s="16"/>
      <c r="B115" s="16"/>
      <c r="C115" s="16"/>
      <c r="D115" s="16"/>
      <c r="E115" s="16"/>
      <c r="F115" s="16"/>
      <c r="G115" s="16"/>
      <c r="H115" s="16"/>
      <c r="I115" s="16"/>
      <c r="J115" s="16"/>
      <c r="K115" s="16"/>
      <c r="L115" s="16"/>
      <c r="M115" s="16"/>
      <c r="N115" s="16"/>
      <c r="O115" s="21" t="str">
        <f aca="false">IF($A115="","",IF($C115="Transactional","10 records, or all if fewer",IF($C115="Artifact","NO record sample. Grade every register row on this pull.",IF($C115="Event","last 3 occurrences, or all if fewer","PICK A SAMPLE CLASS"))))</f>
        <v/>
      </c>
      <c r="P115" s="21" t="n">
        <f aca="false">IF(TRIM(G115)="",0,LEN(TRIM(G115))-LEN(SUBSTITUTE(TRIM(G115),";",""))+1)</f>
        <v>0</v>
      </c>
      <c r="Q115" s="21" t="str">
        <f aca="false">IF($A115="","",IF(P115=0,"Unassigned",IF(P115=1,"Single point","Staffed")))</f>
        <v/>
      </c>
      <c r="R115" s="22" t="str">
        <f aca="false">IF(OR($C115="Artifact",K115="",K115=0),"",L115/K115)</f>
        <v/>
      </c>
      <c r="S115" s="21" t="n">
        <f aca="false">IF($A115="",0,COUNTIF('Full Register'!$J$6:$J$279,$A115))</f>
        <v>0</v>
      </c>
      <c r="T115" s="21" t="n">
        <f aca="false">IF($A115="",0,COUNTIFS('Full Register'!$J$6:$J$279,$A115,'Full Register'!$O$6:$O$279,"&gt;=3"))</f>
        <v>0</v>
      </c>
      <c r="U115" s="22" t="str">
        <f aca="false">IF(OR($A115="",S115=0),"",T115/S115)</f>
        <v/>
      </c>
      <c r="V115" s="21" t="n">
        <f aca="false">IF($A115="",0,S115-COUNTIFS('Full Register'!$J$6:$J$279,$A115,'Full Register'!$K$6:$K$279,"&lt;&gt;"))</f>
        <v>0</v>
      </c>
      <c r="W115" s="21" t="str">
        <f aca="false">IF($A115="","",IF(COUNTIFS('Full Register'!$J$6:$J$279,$A115,'Full Register'!$H$6:$H$279,"Full")&gt;0,"Full","Screen"))</f>
        <v/>
      </c>
      <c r="X115" s="21" t="str">
        <f aca="false">IF($A115="","",IF(AND(S115=0,I115="",G115=""),"Not started",IF($C115="","No sample class picked",IF(AND(W115="Full",$C115&lt;&gt;"Artifact",K115=""),"Record sample required, none recorded",IF(AND(I115&lt;&gt;"",V115&gt;0),V115&amp;" register rows on this pull still ungraded",IF(AND($C115="Transactional",K115&lt;&gt;"",K115&lt;10),"Transactional sample below 10 - say why in Notes",IF(AND($C115="Event",K115&lt;&gt;"",K115&lt;3),"Event sample below 3 - say why in Notes",IF(AND($C115&lt;&gt;"Artifact",K115&lt;&gt;"",L115=""),"Sample size with no conforming count",IF(AND($C115="Artifact",K115&lt;&gt;""),"Artifact pull: leave K and L blank, coverage is computed",IF(S115=0,"Worked but no requirement rows point at it","OK"))))))))))</f>
        <v/>
      </c>
    </row>
    <row r="116" customFormat="false" ht="15" hidden="false" customHeight="false" outlineLevel="0" collapsed="false">
      <c r="A116" s="16"/>
      <c r="B116" s="16"/>
      <c r="C116" s="16"/>
      <c r="D116" s="16"/>
      <c r="E116" s="16"/>
      <c r="F116" s="16"/>
      <c r="G116" s="16"/>
      <c r="H116" s="16"/>
      <c r="I116" s="16"/>
      <c r="J116" s="16"/>
      <c r="K116" s="16"/>
      <c r="L116" s="16"/>
      <c r="M116" s="16"/>
      <c r="N116" s="16"/>
      <c r="O116" s="21" t="str">
        <f aca="false">IF($A116="","",IF($C116="Transactional","10 records, or all if fewer",IF($C116="Artifact","NO record sample. Grade every register row on this pull.",IF($C116="Event","last 3 occurrences, or all if fewer","PICK A SAMPLE CLASS"))))</f>
        <v/>
      </c>
      <c r="P116" s="21" t="n">
        <f aca="false">IF(TRIM(G116)="",0,LEN(TRIM(G116))-LEN(SUBSTITUTE(TRIM(G116),";",""))+1)</f>
        <v>0</v>
      </c>
      <c r="Q116" s="21" t="str">
        <f aca="false">IF($A116="","",IF(P116=0,"Unassigned",IF(P116=1,"Single point","Staffed")))</f>
        <v/>
      </c>
      <c r="R116" s="22" t="str">
        <f aca="false">IF(OR($C116="Artifact",K116="",K116=0),"",L116/K116)</f>
        <v/>
      </c>
      <c r="S116" s="21" t="n">
        <f aca="false">IF($A116="",0,COUNTIF('Full Register'!$J$6:$J$279,$A116))</f>
        <v>0</v>
      </c>
      <c r="T116" s="21" t="n">
        <f aca="false">IF($A116="",0,COUNTIFS('Full Register'!$J$6:$J$279,$A116,'Full Register'!$O$6:$O$279,"&gt;=3"))</f>
        <v>0</v>
      </c>
      <c r="U116" s="22" t="str">
        <f aca="false">IF(OR($A116="",S116=0),"",T116/S116)</f>
        <v/>
      </c>
      <c r="V116" s="21" t="n">
        <f aca="false">IF($A116="",0,S116-COUNTIFS('Full Register'!$J$6:$J$279,$A116,'Full Register'!$K$6:$K$279,"&lt;&gt;"))</f>
        <v>0</v>
      </c>
      <c r="W116" s="21" t="str">
        <f aca="false">IF($A116="","",IF(COUNTIFS('Full Register'!$J$6:$J$279,$A116,'Full Register'!$H$6:$H$279,"Full")&gt;0,"Full","Screen"))</f>
        <v/>
      </c>
      <c r="X116" s="21" t="str">
        <f aca="false">IF($A116="","",IF(AND(S116=0,I116="",G116=""),"Not started",IF($C116="","No sample class picked",IF(AND(W116="Full",$C116&lt;&gt;"Artifact",K116=""),"Record sample required, none recorded",IF(AND(I116&lt;&gt;"",V116&gt;0),V116&amp;" register rows on this pull still ungraded",IF(AND($C116="Transactional",K116&lt;&gt;"",K116&lt;10),"Transactional sample below 10 - say why in Notes",IF(AND($C116="Event",K116&lt;&gt;"",K116&lt;3),"Event sample below 3 - say why in Notes",IF(AND($C116&lt;&gt;"Artifact",K116&lt;&gt;"",L116=""),"Sample size with no conforming count",IF(AND($C116="Artifact",K116&lt;&gt;""),"Artifact pull: leave K and L blank, coverage is computed",IF(S116=0,"Worked but no requirement rows point at it","OK"))))))))))</f>
        <v/>
      </c>
    </row>
    <row r="117" customFormat="false" ht="15" hidden="false" customHeight="false" outlineLevel="0" collapsed="false">
      <c r="A117" s="16"/>
      <c r="B117" s="16"/>
      <c r="C117" s="16"/>
      <c r="D117" s="16"/>
      <c r="E117" s="16"/>
      <c r="F117" s="16"/>
      <c r="G117" s="16"/>
      <c r="H117" s="16"/>
      <c r="I117" s="16"/>
      <c r="J117" s="16"/>
      <c r="K117" s="16"/>
      <c r="L117" s="16"/>
      <c r="M117" s="16"/>
      <c r="N117" s="16"/>
      <c r="O117" s="21" t="str">
        <f aca="false">IF($A117="","",IF($C117="Transactional","10 records, or all if fewer",IF($C117="Artifact","NO record sample. Grade every register row on this pull.",IF($C117="Event","last 3 occurrences, or all if fewer","PICK A SAMPLE CLASS"))))</f>
        <v/>
      </c>
      <c r="P117" s="21" t="n">
        <f aca="false">IF(TRIM(G117)="",0,LEN(TRIM(G117))-LEN(SUBSTITUTE(TRIM(G117),";",""))+1)</f>
        <v>0</v>
      </c>
      <c r="Q117" s="21" t="str">
        <f aca="false">IF($A117="","",IF(P117=0,"Unassigned",IF(P117=1,"Single point","Staffed")))</f>
        <v/>
      </c>
      <c r="R117" s="22" t="str">
        <f aca="false">IF(OR($C117="Artifact",K117="",K117=0),"",L117/K117)</f>
        <v/>
      </c>
      <c r="S117" s="21" t="n">
        <f aca="false">IF($A117="",0,COUNTIF('Full Register'!$J$6:$J$279,$A117))</f>
        <v>0</v>
      </c>
      <c r="T117" s="21" t="n">
        <f aca="false">IF($A117="",0,COUNTIFS('Full Register'!$J$6:$J$279,$A117,'Full Register'!$O$6:$O$279,"&gt;=3"))</f>
        <v>0</v>
      </c>
      <c r="U117" s="22" t="str">
        <f aca="false">IF(OR($A117="",S117=0),"",T117/S117)</f>
        <v/>
      </c>
      <c r="V117" s="21" t="n">
        <f aca="false">IF($A117="",0,S117-COUNTIFS('Full Register'!$J$6:$J$279,$A117,'Full Register'!$K$6:$K$279,"&lt;&gt;"))</f>
        <v>0</v>
      </c>
      <c r="W117" s="21" t="str">
        <f aca="false">IF($A117="","",IF(COUNTIFS('Full Register'!$J$6:$J$279,$A117,'Full Register'!$H$6:$H$279,"Full")&gt;0,"Full","Screen"))</f>
        <v/>
      </c>
      <c r="X117" s="21" t="str">
        <f aca="false">IF($A117="","",IF(AND(S117=0,I117="",G117=""),"Not started",IF($C117="","No sample class picked",IF(AND(W117="Full",$C117&lt;&gt;"Artifact",K117=""),"Record sample required, none recorded",IF(AND(I117&lt;&gt;"",V117&gt;0),V117&amp;" register rows on this pull still ungraded",IF(AND($C117="Transactional",K117&lt;&gt;"",K117&lt;10),"Transactional sample below 10 - say why in Notes",IF(AND($C117="Event",K117&lt;&gt;"",K117&lt;3),"Event sample below 3 - say why in Notes",IF(AND($C117&lt;&gt;"Artifact",K117&lt;&gt;"",L117=""),"Sample size with no conforming count",IF(AND($C117="Artifact",K117&lt;&gt;""),"Artifact pull: leave K and L blank, coverage is computed",IF(S117=0,"Worked but no requirement rows point at it","OK"))))))))))</f>
        <v/>
      </c>
    </row>
    <row r="118" customFormat="false" ht="15" hidden="false" customHeight="false" outlineLevel="0" collapsed="false">
      <c r="A118" s="16"/>
      <c r="B118" s="16"/>
      <c r="C118" s="16"/>
      <c r="D118" s="16"/>
      <c r="E118" s="16"/>
      <c r="F118" s="16"/>
      <c r="G118" s="16"/>
      <c r="H118" s="16"/>
      <c r="I118" s="16"/>
      <c r="J118" s="16"/>
      <c r="K118" s="16"/>
      <c r="L118" s="16"/>
      <c r="M118" s="16"/>
      <c r="N118" s="16"/>
      <c r="O118" s="21" t="str">
        <f aca="false">IF($A118="","",IF($C118="Transactional","10 records, or all if fewer",IF($C118="Artifact","NO record sample. Grade every register row on this pull.",IF($C118="Event","last 3 occurrences, or all if fewer","PICK A SAMPLE CLASS"))))</f>
        <v/>
      </c>
      <c r="P118" s="21" t="n">
        <f aca="false">IF(TRIM(G118)="",0,LEN(TRIM(G118))-LEN(SUBSTITUTE(TRIM(G118),";",""))+1)</f>
        <v>0</v>
      </c>
      <c r="Q118" s="21" t="str">
        <f aca="false">IF($A118="","",IF(P118=0,"Unassigned",IF(P118=1,"Single point","Staffed")))</f>
        <v/>
      </c>
      <c r="R118" s="22" t="str">
        <f aca="false">IF(OR($C118="Artifact",K118="",K118=0),"",L118/K118)</f>
        <v/>
      </c>
      <c r="S118" s="21" t="n">
        <f aca="false">IF($A118="",0,COUNTIF('Full Register'!$J$6:$J$279,$A118))</f>
        <v>0</v>
      </c>
      <c r="T118" s="21" t="n">
        <f aca="false">IF($A118="",0,COUNTIFS('Full Register'!$J$6:$J$279,$A118,'Full Register'!$O$6:$O$279,"&gt;=3"))</f>
        <v>0</v>
      </c>
      <c r="U118" s="22" t="str">
        <f aca="false">IF(OR($A118="",S118=0),"",T118/S118)</f>
        <v/>
      </c>
      <c r="V118" s="21" t="n">
        <f aca="false">IF($A118="",0,S118-COUNTIFS('Full Register'!$J$6:$J$279,$A118,'Full Register'!$K$6:$K$279,"&lt;&gt;"))</f>
        <v>0</v>
      </c>
      <c r="W118" s="21" t="str">
        <f aca="false">IF($A118="","",IF(COUNTIFS('Full Register'!$J$6:$J$279,$A118,'Full Register'!$H$6:$H$279,"Full")&gt;0,"Full","Screen"))</f>
        <v/>
      </c>
      <c r="X118" s="21" t="str">
        <f aca="false">IF($A118="","",IF(AND(S118=0,I118="",G118=""),"Not started",IF($C118="","No sample class picked",IF(AND(W118="Full",$C118&lt;&gt;"Artifact",K118=""),"Record sample required, none recorded",IF(AND(I118&lt;&gt;"",V118&gt;0),V118&amp;" register rows on this pull still ungraded",IF(AND($C118="Transactional",K118&lt;&gt;"",K118&lt;10),"Transactional sample below 10 - say why in Notes",IF(AND($C118="Event",K118&lt;&gt;"",K118&lt;3),"Event sample below 3 - say why in Notes",IF(AND($C118&lt;&gt;"Artifact",K118&lt;&gt;"",L118=""),"Sample size with no conforming count",IF(AND($C118="Artifact",K118&lt;&gt;""),"Artifact pull: leave K and L blank, coverage is computed",IF(S118=0,"Worked but no requirement rows point at it","OK"))))))))))</f>
        <v/>
      </c>
    </row>
    <row r="119" customFormat="false" ht="15" hidden="false" customHeight="false" outlineLevel="0" collapsed="false">
      <c r="A119" s="16"/>
      <c r="B119" s="16"/>
      <c r="C119" s="16"/>
      <c r="D119" s="16"/>
      <c r="E119" s="16"/>
      <c r="F119" s="16"/>
      <c r="G119" s="16"/>
      <c r="H119" s="16"/>
      <c r="I119" s="16"/>
      <c r="J119" s="16"/>
      <c r="K119" s="16"/>
      <c r="L119" s="16"/>
      <c r="M119" s="16"/>
      <c r="N119" s="16"/>
      <c r="O119" s="21" t="str">
        <f aca="false">IF($A119="","",IF($C119="Transactional","10 records, or all if fewer",IF($C119="Artifact","NO record sample. Grade every register row on this pull.",IF($C119="Event","last 3 occurrences, or all if fewer","PICK A SAMPLE CLASS"))))</f>
        <v/>
      </c>
      <c r="P119" s="21" t="n">
        <f aca="false">IF(TRIM(G119)="",0,LEN(TRIM(G119))-LEN(SUBSTITUTE(TRIM(G119),";",""))+1)</f>
        <v>0</v>
      </c>
      <c r="Q119" s="21" t="str">
        <f aca="false">IF($A119="","",IF(P119=0,"Unassigned",IF(P119=1,"Single point","Staffed")))</f>
        <v/>
      </c>
      <c r="R119" s="22" t="str">
        <f aca="false">IF(OR($C119="Artifact",K119="",K119=0),"",L119/K119)</f>
        <v/>
      </c>
      <c r="S119" s="21" t="n">
        <f aca="false">IF($A119="",0,COUNTIF('Full Register'!$J$6:$J$279,$A119))</f>
        <v>0</v>
      </c>
      <c r="T119" s="21" t="n">
        <f aca="false">IF($A119="",0,COUNTIFS('Full Register'!$J$6:$J$279,$A119,'Full Register'!$O$6:$O$279,"&gt;=3"))</f>
        <v>0</v>
      </c>
      <c r="U119" s="22" t="str">
        <f aca="false">IF(OR($A119="",S119=0),"",T119/S119)</f>
        <v/>
      </c>
      <c r="V119" s="21" t="n">
        <f aca="false">IF($A119="",0,S119-COUNTIFS('Full Register'!$J$6:$J$279,$A119,'Full Register'!$K$6:$K$279,"&lt;&gt;"))</f>
        <v>0</v>
      </c>
      <c r="W119" s="21" t="str">
        <f aca="false">IF($A119="","",IF(COUNTIFS('Full Register'!$J$6:$J$279,$A119,'Full Register'!$H$6:$H$279,"Full")&gt;0,"Full","Screen"))</f>
        <v/>
      </c>
      <c r="X119" s="21" t="str">
        <f aca="false">IF($A119="","",IF(AND(S119=0,I119="",G119=""),"Not started",IF($C119="","No sample class picked",IF(AND(W119="Full",$C119&lt;&gt;"Artifact",K119=""),"Record sample required, none recorded",IF(AND(I119&lt;&gt;"",V119&gt;0),V119&amp;" register rows on this pull still ungraded",IF(AND($C119="Transactional",K119&lt;&gt;"",K119&lt;10),"Transactional sample below 10 - say why in Notes",IF(AND($C119="Event",K119&lt;&gt;"",K119&lt;3),"Event sample below 3 - say why in Notes",IF(AND($C119&lt;&gt;"Artifact",K119&lt;&gt;"",L119=""),"Sample size with no conforming count",IF(AND($C119="Artifact",K119&lt;&gt;""),"Artifact pull: leave K and L blank, coverage is computed",IF(S119=0,"Worked but no requirement rows point at it","OK"))))))))))</f>
        <v/>
      </c>
    </row>
    <row r="120" customFormat="false" ht="15" hidden="false" customHeight="false" outlineLevel="0" collapsed="false">
      <c r="A120" s="16"/>
      <c r="B120" s="16"/>
      <c r="C120" s="16"/>
      <c r="D120" s="16"/>
      <c r="E120" s="16"/>
      <c r="F120" s="16"/>
      <c r="G120" s="16"/>
      <c r="H120" s="16"/>
      <c r="I120" s="16"/>
      <c r="J120" s="16"/>
      <c r="K120" s="16"/>
      <c r="L120" s="16"/>
      <c r="M120" s="16"/>
      <c r="N120" s="16"/>
      <c r="O120" s="21" t="str">
        <f aca="false">IF($A120="","",IF($C120="Transactional","10 records, or all if fewer",IF($C120="Artifact","NO record sample. Grade every register row on this pull.",IF($C120="Event","last 3 occurrences, or all if fewer","PICK A SAMPLE CLASS"))))</f>
        <v/>
      </c>
      <c r="P120" s="21" t="n">
        <f aca="false">IF(TRIM(G120)="",0,LEN(TRIM(G120))-LEN(SUBSTITUTE(TRIM(G120),";",""))+1)</f>
        <v>0</v>
      </c>
      <c r="Q120" s="21" t="str">
        <f aca="false">IF($A120="","",IF(P120=0,"Unassigned",IF(P120=1,"Single point","Staffed")))</f>
        <v/>
      </c>
      <c r="R120" s="22" t="str">
        <f aca="false">IF(OR($C120="Artifact",K120="",K120=0),"",L120/K120)</f>
        <v/>
      </c>
      <c r="S120" s="21" t="n">
        <f aca="false">IF($A120="",0,COUNTIF('Full Register'!$J$6:$J$279,$A120))</f>
        <v>0</v>
      </c>
      <c r="T120" s="21" t="n">
        <f aca="false">IF($A120="",0,COUNTIFS('Full Register'!$J$6:$J$279,$A120,'Full Register'!$O$6:$O$279,"&gt;=3"))</f>
        <v>0</v>
      </c>
      <c r="U120" s="22" t="str">
        <f aca="false">IF(OR($A120="",S120=0),"",T120/S120)</f>
        <v/>
      </c>
      <c r="V120" s="21" t="n">
        <f aca="false">IF($A120="",0,S120-COUNTIFS('Full Register'!$J$6:$J$279,$A120,'Full Register'!$K$6:$K$279,"&lt;&gt;"))</f>
        <v>0</v>
      </c>
      <c r="W120" s="21" t="str">
        <f aca="false">IF($A120="","",IF(COUNTIFS('Full Register'!$J$6:$J$279,$A120,'Full Register'!$H$6:$H$279,"Full")&gt;0,"Full","Screen"))</f>
        <v/>
      </c>
      <c r="X120" s="21" t="str">
        <f aca="false">IF($A120="","",IF(AND(S120=0,I120="",G120=""),"Not started",IF($C120="","No sample class picked",IF(AND(W120="Full",$C120&lt;&gt;"Artifact",K120=""),"Record sample required, none recorded",IF(AND(I120&lt;&gt;"",V120&gt;0),V120&amp;" register rows on this pull still ungraded",IF(AND($C120="Transactional",K120&lt;&gt;"",K120&lt;10),"Transactional sample below 10 - say why in Notes",IF(AND($C120="Event",K120&lt;&gt;"",K120&lt;3),"Event sample below 3 - say why in Notes",IF(AND($C120&lt;&gt;"Artifact",K120&lt;&gt;"",L120=""),"Sample size with no conforming count",IF(AND($C120="Artifact",K120&lt;&gt;""),"Artifact pull: leave K and L blank, coverage is computed",IF(S120=0,"Worked but no requirement rows point at it","OK"))))))))))</f>
        <v/>
      </c>
    </row>
    <row r="121" customFormat="false" ht="15" hidden="false" customHeight="false" outlineLevel="0" collapsed="false">
      <c r="A121" s="16"/>
      <c r="B121" s="16"/>
      <c r="C121" s="16"/>
      <c r="D121" s="16"/>
      <c r="E121" s="16"/>
      <c r="F121" s="16"/>
      <c r="G121" s="16"/>
      <c r="H121" s="16"/>
      <c r="I121" s="16"/>
      <c r="J121" s="16"/>
      <c r="K121" s="16"/>
      <c r="L121" s="16"/>
      <c r="M121" s="16"/>
      <c r="N121" s="16"/>
      <c r="O121" s="21" t="str">
        <f aca="false">IF($A121="","",IF($C121="Transactional","10 records, or all if fewer",IF($C121="Artifact","NO record sample. Grade every register row on this pull.",IF($C121="Event","last 3 occurrences, or all if fewer","PICK A SAMPLE CLASS"))))</f>
        <v/>
      </c>
      <c r="P121" s="21" t="n">
        <f aca="false">IF(TRIM(G121)="",0,LEN(TRIM(G121))-LEN(SUBSTITUTE(TRIM(G121),";",""))+1)</f>
        <v>0</v>
      </c>
      <c r="Q121" s="21" t="str">
        <f aca="false">IF($A121="","",IF(P121=0,"Unassigned",IF(P121=1,"Single point","Staffed")))</f>
        <v/>
      </c>
      <c r="R121" s="22" t="str">
        <f aca="false">IF(OR($C121="Artifact",K121="",K121=0),"",L121/K121)</f>
        <v/>
      </c>
      <c r="S121" s="21" t="n">
        <f aca="false">IF($A121="",0,COUNTIF('Full Register'!$J$6:$J$279,$A121))</f>
        <v>0</v>
      </c>
      <c r="T121" s="21" t="n">
        <f aca="false">IF($A121="",0,COUNTIFS('Full Register'!$J$6:$J$279,$A121,'Full Register'!$O$6:$O$279,"&gt;=3"))</f>
        <v>0</v>
      </c>
      <c r="U121" s="22" t="str">
        <f aca="false">IF(OR($A121="",S121=0),"",T121/S121)</f>
        <v/>
      </c>
      <c r="V121" s="21" t="n">
        <f aca="false">IF($A121="",0,S121-COUNTIFS('Full Register'!$J$6:$J$279,$A121,'Full Register'!$K$6:$K$279,"&lt;&gt;"))</f>
        <v>0</v>
      </c>
      <c r="W121" s="21" t="str">
        <f aca="false">IF($A121="","",IF(COUNTIFS('Full Register'!$J$6:$J$279,$A121,'Full Register'!$H$6:$H$279,"Full")&gt;0,"Full","Screen"))</f>
        <v/>
      </c>
      <c r="X121" s="21" t="str">
        <f aca="false">IF($A121="","",IF(AND(S121=0,I121="",G121=""),"Not started",IF($C121="","No sample class picked",IF(AND(W121="Full",$C121&lt;&gt;"Artifact",K121=""),"Record sample required, none recorded",IF(AND(I121&lt;&gt;"",V121&gt;0),V121&amp;" register rows on this pull still ungraded",IF(AND($C121="Transactional",K121&lt;&gt;"",K121&lt;10),"Transactional sample below 10 - say why in Notes",IF(AND($C121="Event",K121&lt;&gt;"",K121&lt;3),"Event sample below 3 - say why in Notes",IF(AND($C121&lt;&gt;"Artifact",K121&lt;&gt;"",L121=""),"Sample size with no conforming count",IF(AND($C121="Artifact",K121&lt;&gt;""),"Artifact pull: leave K and L blank, coverage is computed",IF(S121=0,"Worked but no requirement rows point at it","OK"))))))))))</f>
        <v/>
      </c>
    </row>
    <row r="122" customFormat="false" ht="15" hidden="false" customHeight="false" outlineLevel="0" collapsed="false">
      <c r="A122" s="16"/>
      <c r="B122" s="16"/>
      <c r="C122" s="16"/>
      <c r="D122" s="16"/>
      <c r="E122" s="16"/>
      <c r="F122" s="16"/>
      <c r="G122" s="16"/>
      <c r="H122" s="16"/>
      <c r="I122" s="16"/>
      <c r="J122" s="16"/>
      <c r="K122" s="16"/>
      <c r="L122" s="16"/>
      <c r="M122" s="16"/>
      <c r="N122" s="16"/>
      <c r="O122" s="21" t="str">
        <f aca="false">IF($A122="","",IF($C122="Transactional","10 records, or all if fewer",IF($C122="Artifact","NO record sample. Grade every register row on this pull.",IF($C122="Event","last 3 occurrences, or all if fewer","PICK A SAMPLE CLASS"))))</f>
        <v/>
      </c>
      <c r="P122" s="21" t="n">
        <f aca="false">IF(TRIM(G122)="",0,LEN(TRIM(G122))-LEN(SUBSTITUTE(TRIM(G122),";",""))+1)</f>
        <v>0</v>
      </c>
      <c r="Q122" s="21" t="str">
        <f aca="false">IF($A122="","",IF(P122=0,"Unassigned",IF(P122=1,"Single point","Staffed")))</f>
        <v/>
      </c>
      <c r="R122" s="22" t="str">
        <f aca="false">IF(OR($C122="Artifact",K122="",K122=0),"",L122/K122)</f>
        <v/>
      </c>
      <c r="S122" s="21" t="n">
        <f aca="false">IF($A122="",0,COUNTIF('Full Register'!$J$6:$J$279,$A122))</f>
        <v>0</v>
      </c>
      <c r="T122" s="21" t="n">
        <f aca="false">IF($A122="",0,COUNTIFS('Full Register'!$J$6:$J$279,$A122,'Full Register'!$O$6:$O$279,"&gt;=3"))</f>
        <v>0</v>
      </c>
      <c r="U122" s="22" t="str">
        <f aca="false">IF(OR($A122="",S122=0),"",T122/S122)</f>
        <v/>
      </c>
      <c r="V122" s="21" t="n">
        <f aca="false">IF($A122="",0,S122-COUNTIFS('Full Register'!$J$6:$J$279,$A122,'Full Register'!$K$6:$K$279,"&lt;&gt;"))</f>
        <v>0</v>
      </c>
      <c r="W122" s="21" t="str">
        <f aca="false">IF($A122="","",IF(COUNTIFS('Full Register'!$J$6:$J$279,$A122,'Full Register'!$H$6:$H$279,"Full")&gt;0,"Full","Screen"))</f>
        <v/>
      </c>
      <c r="X122" s="21" t="str">
        <f aca="false">IF($A122="","",IF(AND(S122=0,I122="",G122=""),"Not started",IF($C122="","No sample class picked",IF(AND(W122="Full",$C122&lt;&gt;"Artifact",K122=""),"Record sample required, none recorded",IF(AND(I122&lt;&gt;"",V122&gt;0),V122&amp;" register rows on this pull still ungraded",IF(AND($C122="Transactional",K122&lt;&gt;"",K122&lt;10),"Transactional sample below 10 - say why in Notes",IF(AND($C122="Event",K122&lt;&gt;"",K122&lt;3),"Event sample below 3 - say why in Notes",IF(AND($C122&lt;&gt;"Artifact",K122&lt;&gt;"",L122=""),"Sample size with no conforming count",IF(AND($C122="Artifact",K122&lt;&gt;""),"Artifact pull: leave K and L blank, coverage is computed",IF(S122=0,"Worked but no requirement rows point at it","OK"))))))))))</f>
        <v/>
      </c>
    </row>
    <row r="123" customFormat="false" ht="15" hidden="false" customHeight="false" outlineLevel="0" collapsed="false">
      <c r="A123" s="16"/>
      <c r="B123" s="16"/>
      <c r="C123" s="16"/>
      <c r="D123" s="16"/>
      <c r="E123" s="16"/>
      <c r="F123" s="16"/>
      <c r="G123" s="16"/>
      <c r="H123" s="16"/>
      <c r="I123" s="16"/>
      <c r="J123" s="16"/>
      <c r="K123" s="16"/>
      <c r="L123" s="16"/>
      <c r="M123" s="16"/>
      <c r="N123" s="16"/>
      <c r="O123" s="21" t="str">
        <f aca="false">IF($A123="","",IF($C123="Transactional","10 records, or all if fewer",IF($C123="Artifact","NO record sample. Grade every register row on this pull.",IF($C123="Event","last 3 occurrences, or all if fewer","PICK A SAMPLE CLASS"))))</f>
        <v/>
      </c>
      <c r="P123" s="21" t="n">
        <f aca="false">IF(TRIM(G123)="",0,LEN(TRIM(G123))-LEN(SUBSTITUTE(TRIM(G123),";",""))+1)</f>
        <v>0</v>
      </c>
      <c r="Q123" s="21" t="str">
        <f aca="false">IF($A123="","",IF(P123=0,"Unassigned",IF(P123=1,"Single point","Staffed")))</f>
        <v/>
      </c>
      <c r="R123" s="22" t="str">
        <f aca="false">IF(OR($C123="Artifact",K123="",K123=0),"",L123/K123)</f>
        <v/>
      </c>
      <c r="S123" s="21" t="n">
        <f aca="false">IF($A123="",0,COUNTIF('Full Register'!$J$6:$J$279,$A123))</f>
        <v>0</v>
      </c>
      <c r="T123" s="21" t="n">
        <f aca="false">IF($A123="",0,COUNTIFS('Full Register'!$J$6:$J$279,$A123,'Full Register'!$O$6:$O$279,"&gt;=3"))</f>
        <v>0</v>
      </c>
      <c r="U123" s="22" t="str">
        <f aca="false">IF(OR($A123="",S123=0),"",T123/S123)</f>
        <v/>
      </c>
      <c r="V123" s="21" t="n">
        <f aca="false">IF($A123="",0,S123-COUNTIFS('Full Register'!$J$6:$J$279,$A123,'Full Register'!$K$6:$K$279,"&lt;&gt;"))</f>
        <v>0</v>
      </c>
      <c r="W123" s="21" t="str">
        <f aca="false">IF($A123="","",IF(COUNTIFS('Full Register'!$J$6:$J$279,$A123,'Full Register'!$H$6:$H$279,"Full")&gt;0,"Full","Screen"))</f>
        <v/>
      </c>
      <c r="X123" s="21" t="str">
        <f aca="false">IF($A123="","",IF(AND(S123=0,I123="",G123=""),"Not started",IF($C123="","No sample class picked",IF(AND(W123="Full",$C123&lt;&gt;"Artifact",K123=""),"Record sample required, none recorded",IF(AND(I123&lt;&gt;"",V123&gt;0),V123&amp;" register rows on this pull still ungraded",IF(AND($C123="Transactional",K123&lt;&gt;"",K123&lt;10),"Transactional sample below 10 - say why in Notes",IF(AND($C123="Event",K123&lt;&gt;"",K123&lt;3),"Event sample below 3 - say why in Notes",IF(AND($C123&lt;&gt;"Artifact",K123&lt;&gt;"",L123=""),"Sample size with no conforming count",IF(AND($C123="Artifact",K123&lt;&gt;""),"Artifact pull: leave K and L blank, coverage is computed",IF(S123=0,"Worked but no requirement rows point at it","OK"))))))))))</f>
        <v/>
      </c>
    </row>
    <row r="124" customFormat="false" ht="15" hidden="false" customHeight="false" outlineLevel="0" collapsed="false">
      <c r="A124" s="16"/>
      <c r="B124" s="16"/>
      <c r="C124" s="16"/>
      <c r="D124" s="16"/>
      <c r="E124" s="16"/>
      <c r="F124" s="16"/>
      <c r="G124" s="16"/>
      <c r="H124" s="16"/>
      <c r="I124" s="16"/>
      <c r="J124" s="16"/>
      <c r="K124" s="16"/>
      <c r="L124" s="16"/>
      <c r="M124" s="16"/>
      <c r="N124" s="16"/>
      <c r="O124" s="21" t="str">
        <f aca="false">IF($A124="","",IF($C124="Transactional","10 records, or all if fewer",IF($C124="Artifact","NO record sample. Grade every register row on this pull.",IF($C124="Event","last 3 occurrences, or all if fewer","PICK A SAMPLE CLASS"))))</f>
        <v/>
      </c>
      <c r="P124" s="21" t="n">
        <f aca="false">IF(TRIM(G124)="",0,LEN(TRIM(G124))-LEN(SUBSTITUTE(TRIM(G124),";",""))+1)</f>
        <v>0</v>
      </c>
      <c r="Q124" s="21" t="str">
        <f aca="false">IF($A124="","",IF(P124=0,"Unassigned",IF(P124=1,"Single point","Staffed")))</f>
        <v/>
      </c>
      <c r="R124" s="22" t="str">
        <f aca="false">IF(OR($C124="Artifact",K124="",K124=0),"",L124/K124)</f>
        <v/>
      </c>
      <c r="S124" s="21" t="n">
        <f aca="false">IF($A124="",0,COUNTIF('Full Register'!$J$6:$J$279,$A124))</f>
        <v>0</v>
      </c>
      <c r="T124" s="21" t="n">
        <f aca="false">IF($A124="",0,COUNTIFS('Full Register'!$J$6:$J$279,$A124,'Full Register'!$O$6:$O$279,"&gt;=3"))</f>
        <v>0</v>
      </c>
      <c r="U124" s="22" t="str">
        <f aca="false">IF(OR($A124="",S124=0),"",T124/S124)</f>
        <v/>
      </c>
      <c r="V124" s="21" t="n">
        <f aca="false">IF($A124="",0,S124-COUNTIFS('Full Register'!$J$6:$J$279,$A124,'Full Register'!$K$6:$K$279,"&lt;&gt;"))</f>
        <v>0</v>
      </c>
      <c r="W124" s="21" t="str">
        <f aca="false">IF($A124="","",IF(COUNTIFS('Full Register'!$J$6:$J$279,$A124,'Full Register'!$H$6:$H$279,"Full")&gt;0,"Full","Screen"))</f>
        <v/>
      </c>
      <c r="X124" s="21" t="str">
        <f aca="false">IF($A124="","",IF(AND(S124=0,I124="",G124=""),"Not started",IF($C124="","No sample class picked",IF(AND(W124="Full",$C124&lt;&gt;"Artifact",K124=""),"Record sample required, none recorded",IF(AND(I124&lt;&gt;"",V124&gt;0),V124&amp;" register rows on this pull still ungraded",IF(AND($C124="Transactional",K124&lt;&gt;"",K124&lt;10),"Transactional sample below 10 - say why in Notes",IF(AND($C124="Event",K124&lt;&gt;"",K124&lt;3),"Event sample below 3 - say why in Notes",IF(AND($C124&lt;&gt;"Artifact",K124&lt;&gt;"",L124=""),"Sample size with no conforming count",IF(AND($C124="Artifact",K124&lt;&gt;""),"Artifact pull: leave K and L blank, coverage is computed",IF(S124=0,"Worked but no requirement rows point at it","OK"))))))))))</f>
        <v/>
      </c>
    </row>
    <row r="125" customFormat="false" ht="15" hidden="false" customHeight="false" outlineLevel="0" collapsed="false">
      <c r="A125" s="16"/>
      <c r="B125" s="16"/>
      <c r="C125" s="16"/>
      <c r="D125" s="16"/>
      <c r="E125" s="16"/>
      <c r="F125" s="16"/>
      <c r="G125" s="16"/>
      <c r="H125" s="16"/>
      <c r="I125" s="16"/>
      <c r="J125" s="16"/>
      <c r="K125" s="16"/>
      <c r="L125" s="16"/>
      <c r="M125" s="16"/>
      <c r="N125" s="16"/>
      <c r="O125" s="21" t="str">
        <f aca="false">IF($A125="","",IF($C125="Transactional","10 records, or all if fewer",IF($C125="Artifact","NO record sample. Grade every register row on this pull.",IF($C125="Event","last 3 occurrences, or all if fewer","PICK A SAMPLE CLASS"))))</f>
        <v/>
      </c>
      <c r="P125" s="21" t="n">
        <f aca="false">IF(TRIM(G125)="",0,LEN(TRIM(G125))-LEN(SUBSTITUTE(TRIM(G125),";",""))+1)</f>
        <v>0</v>
      </c>
      <c r="Q125" s="21" t="str">
        <f aca="false">IF($A125="","",IF(P125=0,"Unassigned",IF(P125=1,"Single point","Staffed")))</f>
        <v/>
      </c>
      <c r="R125" s="22" t="str">
        <f aca="false">IF(OR($C125="Artifact",K125="",K125=0),"",L125/K125)</f>
        <v/>
      </c>
      <c r="S125" s="21" t="n">
        <f aca="false">IF($A125="",0,COUNTIF('Full Register'!$J$6:$J$279,$A125))</f>
        <v>0</v>
      </c>
      <c r="T125" s="21" t="n">
        <f aca="false">IF($A125="",0,COUNTIFS('Full Register'!$J$6:$J$279,$A125,'Full Register'!$O$6:$O$279,"&gt;=3"))</f>
        <v>0</v>
      </c>
      <c r="U125" s="22" t="str">
        <f aca="false">IF(OR($A125="",S125=0),"",T125/S125)</f>
        <v/>
      </c>
      <c r="V125" s="21" t="n">
        <f aca="false">IF($A125="",0,S125-COUNTIFS('Full Register'!$J$6:$J$279,$A125,'Full Register'!$K$6:$K$279,"&lt;&gt;"))</f>
        <v>0</v>
      </c>
      <c r="W125" s="21" t="str">
        <f aca="false">IF($A125="","",IF(COUNTIFS('Full Register'!$J$6:$J$279,$A125,'Full Register'!$H$6:$H$279,"Full")&gt;0,"Full","Screen"))</f>
        <v/>
      </c>
      <c r="X125" s="21" t="str">
        <f aca="false">IF($A125="","",IF(AND(S125=0,I125="",G125=""),"Not started",IF($C125="","No sample class picked",IF(AND(W125="Full",$C125&lt;&gt;"Artifact",K125=""),"Record sample required, none recorded",IF(AND(I125&lt;&gt;"",V125&gt;0),V125&amp;" register rows on this pull still ungraded",IF(AND($C125="Transactional",K125&lt;&gt;"",K125&lt;10),"Transactional sample below 10 - say why in Notes",IF(AND($C125="Event",K125&lt;&gt;"",K125&lt;3),"Event sample below 3 - say why in Notes",IF(AND($C125&lt;&gt;"Artifact",K125&lt;&gt;"",L125=""),"Sample size with no conforming count",IF(AND($C125="Artifact",K125&lt;&gt;""),"Artifact pull: leave K and L blank, coverage is computed",IF(S125=0,"Worked but no requirement rows point at it","OK"))))))))))</f>
        <v/>
      </c>
    </row>
  </sheetData>
  <dataValidations count="2">
    <dataValidation allowBlank="true" errorStyle="stop" operator="between" showDropDown="false" showErrorMessage="false" showInputMessage="false" sqref="H6:H125" type="list">
      <formula1>Lists!$F$3:$F$15</formula1>
      <formula2>0</formula2>
    </dataValidation>
    <dataValidation allowBlank="true" errorStyle="stop" operator="between" showDropDown="false" showErrorMessage="false" showInputMessage="false" sqref="C6:C125" type="list">
      <formula1>"Transactional,Artifact,Event"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
    <col collapsed="false" customWidth="true" hidden="false" outlineLevel="0" max="4" min="4" style="0" width="28"/>
    <col collapsed="false" customWidth="true" hidden="false" outlineLevel="0" max="6" min="6" style="0" width="34"/>
  </cols>
  <sheetData>
    <row r="1" customFormat="false" ht="15" hidden="false" customHeight="false" outlineLevel="0" collapsed="false">
      <c r="A1" s="3" t="s">
        <v>701</v>
      </c>
    </row>
    <row r="2" customFormat="false" ht="15" hidden="false" customHeight="false" outlineLevel="0" collapsed="false">
      <c r="A2" s="13" t="s">
        <v>71</v>
      </c>
      <c r="B2" s="13" t="s">
        <v>702</v>
      </c>
      <c r="D2" s="13" t="s">
        <v>73</v>
      </c>
      <c r="F2" s="13" t="s">
        <v>29</v>
      </c>
    </row>
    <row r="3" customFormat="false" ht="15" hidden="false" customHeight="false" outlineLevel="0" collapsed="false">
      <c r="A3" s="23" t="s">
        <v>83</v>
      </c>
      <c r="B3" s="23" t="n">
        <v>0</v>
      </c>
      <c r="D3" s="23" t="s">
        <v>703</v>
      </c>
      <c r="F3" s="23" t="s">
        <v>704</v>
      </c>
    </row>
    <row r="4" customFormat="false" ht="15" hidden="false" customHeight="false" outlineLevel="0" collapsed="false">
      <c r="A4" s="23" t="s">
        <v>86</v>
      </c>
      <c r="B4" s="23" t="n">
        <v>1</v>
      </c>
      <c r="D4" s="23" t="s">
        <v>705</v>
      </c>
      <c r="F4" s="23" t="s">
        <v>179</v>
      </c>
    </row>
    <row r="5" customFormat="false" ht="15" hidden="false" customHeight="false" outlineLevel="0" collapsed="false">
      <c r="A5" s="23" t="s">
        <v>89</v>
      </c>
      <c r="B5" s="23" t="n">
        <v>2</v>
      </c>
      <c r="D5" s="23" t="s">
        <v>706</v>
      </c>
      <c r="F5" s="23" t="s">
        <v>707</v>
      </c>
    </row>
    <row r="6" customFormat="false" ht="15" hidden="false" customHeight="false" outlineLevel="0" collapsed="false">
      <c r="A6" s="23" t="s">
        <v>92</v>
      </c>
      <c r="B6" s="23" t="n">
        <v>3</v>
      </c>
      <c r="F6" s="23" t="s">
        <v>708</v>
      </c>
    </row>
    <row r="7" customFormat="false" ht="15" hidden="false" customHeight="false" outlineLevel="0" collapsed="false">
      <c r="A7" s="23" t="s">
        <v>95</v>
      </c>
      <c r="B7" s="23" t="n">
        <v>4</v>
      </c>
      <c r="D7" s="2" t="s">
        <v>709</v>
      </c>
      <c r="F7" s="23" t="s">
        <v>710</v>
      </c>
    </row>
    <row r="8" customFormat="false" ht="15" hidden="false" customHeight="false" outlineLevel="0" collapsed="false">
      <c r="F8" s="23" t="s">
        <v>711</v>
      </c>
    </row>
    <row r="9" customFormat="false" ht="15" hidden="false" customHeight="false" outlineLevel="0" collapsed="false">
      <c r="F9" s="23" t="s">
        <v>712</v>
      </c>
    </row>
    <row r="10" customFormat="false" ht="15" hidden="false" customHeight="false" outlineLevel="0" collapsed="false">
      <c r="F10" s="23" t="s">
        <v>713</v>
      </c>
    </row>
    <row r="11" customFormat="false" ht="15" hidden="false" customHeight="false" outlineLevel="0" collapsed="false">
      <c r="F11" s="23" t="s">
        <v>714</v>
      </c>
    </row>
    <row r="12" customFormat="false" ht="15" hidden="false" customHeight="false" outlineLevel="0" collapsed="false">
      <c r="F12" s="23" t="s">
        <v>715</v>
      </c>
    </row>
    <row r="13" customFormat="false" ht="15" hidden="false" customHeight="false" outlineLevel="0" collapsed="false">
      <c r="F13" s="23" t="s">
        <v>716</v>
      </c>
    </row>
    <row r="14" customFormat="false" ht="15" hidden="false" customHeight="false" outlineLevel="0" collapsed="false">
      <c r="F14" s="23" t="s">
        <v>717</v>
      </c>
    </row>
    <row r="15" customFormat="false" ht="15" hidden="false" customHeight="false" outlineLevel="0" collapsed="false">
      <c r="F15" s="23" t="s">
        <v>718</v>
      </c>
    </row>
    <row r="17" customFormat="false" ht="15" hidden="false" customHeight="false" outlineLevel="0" collapsed="false">
      <c r="F17" s="2" t="s">
        <v>719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30"/>
    <col collapsed="false" customWidth="true" hidden="false" outlineLevel="0" max="4" min="4" style="0" width="16"/>
    <col collapsed="false" customWidth="true" hidden="false" outlineLevel="0" max="5" min="5" style="0" width="20"/>
    <col collapsed="false" customWidth="true" hidden="false" outlineLevel="0" max="6" min="6" style="0" width="18"/>
    <col collapsed="false" customWidth="true" hidden="false" outlineLevel="0" max="7" min="7" style="0" width="16"/>
    <col collapsed="false" customWidth="true" hidden="false" outlineLevel="0" max="8" min="8" style="0" width="20"/>
    <col collapsed="false" customWidth="true" hidden="false" outlineLevel="0" max="9" min="9" style="0" width="30"/>
  </cols>
  <sheetData>
    <row r="1" customFormat="false" ht="17.35" hidden="false" customHeight="false" outlineLevel="0" collapsed="false">
      <c r="A1" s="1" t="s">
        <v>720</v>
      </c>
    </row>
    <row r="2" customFormat="false" ht="15" hidden="false" customHeight="false" outlineLevel="0" collapsed="false">
      <c r="A2" s="2" t="s">
        <v>721</v>
      </c>
    </row>
    <row r="4" customFormat="false" ht="33.75" hidden="false" customHeight="true" outlineLevel="0" collapsed="false">
      <c r="A4" s="8" t="s">
        <v>722</v>
      </c>
      <c r="B4" s="8" t="s">
        <v>723</v>
      </c>
      <c r="C4" s="8" t="s">
        <v>724</v>
      </c>
      <c r="D4" s="8" t="s">
        <v>725</v>
      </c>
      <c r="E4" s="8" t="s">
        <v>726</v>
      </c>
      <c r="F4" s="8" t="s">
        <v>727</v>
      </c>
      <c r="G4" s="8" t="s">
        <v>728</v>
      </c>
      <c r="H4" s="8" t="s">
        <v>729</v>
      </c>
      <c r="I4" s="8" t="s">
        <v>47</v>
      </c>
    </row>
    <row r="5" customFormat="false" ht="15" hidden="false" customHeight="false" outlineLevel="0" collapsed="false">
      <c r="A5" s="24" t="s">
        <v>730</v>
      </c>
      <c r="B5" s="24" t="s">
        <v>731</v>
      </c>
      <c r="C5" s="24" t="s">
        <v>707</v>
      </c>
      <c r="D5" s="24" t="n">
        <v>0.8</v>
      </c>
      <c r="E5" s="21" t="n">
        <f aca="false">IF($A5="","",SUMPRODUCT(--ISNUMBER(SEARCH($A5,'Evidence Pulls'!$G$6:$G$125)),'Evidence Pulls'!$S$6:$S$125))</f>
        <v>0</v>
      </c>
      <c r="F5" s="25" t="n">
        <f aca="false">IF(OR($A5="",$D5="",$D5=0),"",E5/D5)</f>
        <v>0</v>
      </c>
      <c r="G5" s="21" t="n">
        <f aca="false">IF($A5="","",SUMPRODUCT(--ISNUMBER(SEARCH($A5,'Evidence Pulls'!$G$6:$G$125)),--('Evidence Pulls'!$P$6:$P$125=1),'Evidence Pulls'!$S$6:$S$125))</f>
        <v>0</v>
      </c>
      <c r="H5" s="21" t="str">
        <f aca="false">IF(E5="","",IF(E5&gt;=40,"High concentration",IF(E5&gt;=25,"Watch","")))</f>
        <v/>
      </c>
      <c r="I5" s="26" t="s">
        <v>732</v>
      </c>
    </row>
    <row r="6" customFormat="false" ht="15" hidden="false" customHeight="false" outlineLevel="0" collapsed="false">
      <c r="A6" s="16"/>
      <c r="B6" s="16"/>
      <c r="C6" s="16"/>
      <c r="D6" s="16"/>
      <c r="E6" s="21" t="str">
        <f aca="false">IF($A6="","",SUMPRODUCT(--ISNUMBER(SEARCH($A6,'Evidence Pulls'!$G$6:$G$125)),'Evidence Pulls'!$S$6:$S$125))</f>
        <v/>
      </c>
      <c r="F6" s="25" t="str">
        <f aca="false">IF(OR($A6="",$D6="",$D6=0),"",E6/D6)</f>
        <v/>
      </c>
      <c r="G6" s="21" t="str">
        <f aca="false">IF($A6="","",SUMPRODUCT(--ISNUMBER(SEARCH($A6,'Evidence Pulls'!$G$6:$G$125)),--('Evidence Pulls'!$P$6:$P$125=1),'Evidence Pulls'!$S$6:$S$125))</f>
        <v/>
      </c>
      <c r="H6" s="21" t="str">
        <f aca="false">IF(E6="","",IF(E6&gt;=40,"High concentration",IF(E6&gt;=25,"Watch","")))</f>
        <v/>
      </c>
      <c r="I6" s="16"/>
    </row>
    <row r="7" customFormat="false" ht="15" hidden="false" customHeight="false" outlineLevel="0" collapsed="false">
      <c r="A7" s="16"/>
      <c r="B7" s="16"/>
      <c r="C7" s="16"/>
      <c r="D7" s="16"/>
      <c r="E7" s="21" t="str">
        <f aca="false">IF($A7="","",SUMPRODUCT(--ISNUMBER(SEARCH($A7,'Evidence Pulls'!$G$6:$G$125)),'Evidence Pulls'!$S$6:$S$125))</f>
        <v/>
      </c>
      <c r="F7" s="25" t="str">
        <f aca="false">IF(OR($A7="",$D7="",$D7=0),"",E7/D7)</f>
        <v/>
      </c>
      <c r="G7" s="21" t="str">
        <f aca="false">IF($A7="","",SUMPRODUCT(--ISNUMBER(SEARCH($A7,'Evidence Pulls'!$G$6:$G$125)),--('Evidence Pulls'!$P$6:$P$125=1),'Evidence Pulls'!$S$6:$S$125))</f>
        <v/>
      </c>
      <c r="H7" s="21" t="str">
        <f aca="false">IF(E7="","",IF(E7&gt;=40,"High concentration",IF(E7&gt;=25,"Watch","")))</f>
        <v/>
      </c>
      <c r="I7" s="16"/>
    </row>
    <row r="8" customFormat="false" ht="15" hidden="false" customHeight="false" outlineLevel="0" collapsed="false">
      <c r="A8" s="16"/>
      <c r="B8" s="16"/>
      <c r="C8" s="16"/>
      <c r="D8" s="16"/>
      <c r="E8" s="21" t="str">
        <f aca="false">IF($A8="","",SUMPRODUCT(--ISNUMBER(SEARCH($A8,'Evidence Pulls'!$G$6:$G$125)),'Evidence Pulls'!$S$6:$S$125))</f>
        <v/>
      </c>
      <c r="F8" s="25" t="str">
        <f aca="false">IF(OR($A8="",$D8="",$D8=0),"",E8/D8)</f>
        <v/>
      </c>
      <c r="G8" s="21" t="str">
        <f aca="false">IF($A8="","",SUMPRODUCT(--ISNUMBER(SEARCH($A8,'Evidence Pulls'!$G$6:$G$125)),--('Evidence Pulls'!$P$6:$P$125=1),'Evidence Pulls'!$S$6:$S$125))</f>
        <v/>
      </c>
      <c r="H8" s="21" t="str">
        <f aca="false">IF(E8="","",IF(E8&gt;=40,"High concentration",IF(E8&gt;=25,"Watch","")))</f>
        <v/>
      </c>
      <c r="I8" s="16"/>
    </row>
    <row r="9" customFormat="false" ht="15" hidden="false" customHeight="false" outlineLevel="0" collapsed="false">
      <c r="A9" s="16"/>
      <c r="B9" s="16"/>
      <c r="C9" s="16"/>
      <c r="D9" s="16"/>
      <c r="E9" s="21" t="str">
        <f aca="false">IF($A9="","",SUMPRODUCT(--ISNUMBER(SEARCH($A9,'Evidence Pulls'!$G$6:$G$125)),'Evidence Pulls'!$S$6:$S$125))</f>
        <v/>
      </c>
      <c r="F9" s="25" t="str">
        <f aca="false">IF(OR($A9="",$D9="",$D9=0),"",E9/D9)</f>
        <v/>
      </c>
      <c r="G9" s="21" t="str">
        <f aca="false">IF($A9="","",SUMPRODUCT(--ISNUMBER(SEARCH($A9,'Evidence Pulls'!$G$6:$G$125)),--('Evidence Pulls'!$P$6:$P$125=1),'Evidence Pulls'!$S$6:$S$125))</f>
        <v/>
      </c>
      <c r="H9" s="21" t="str">
        <f aca="false">IF(E9="","",IF(E9&gt;=40,"High concentration",IF(E9&gt;=25,"Watch","")))</f>
        <v/>
      </c>
      <c r="I9" s="16"/>
    </row>
    <row r="10" customFormat="false" ht="15" hidden="false" customHeight="false" outlineLevel="0" collapsed="false">
      <c r="A10" s="16"/>
      <c r="B10" s="16"/>
      <c r="C10" s="16"/>
      <c r="D10" s="16"/>
      <c r="E10" s="21" t="str">
        <f aca="false">IF($A10="","",SUMPRODUCT(--ISNUMBER(SEARCH($A10,'Evidence Pulls'!$G$6:$G$125)),'Evidence Pulls'!$S$6:$S$125))</f>
        <v/>
      </c>
      <c r="F10" s="25" t="str">
        <f aca="false">IF(OR($A10="",$D10="",$D10=0),"",E10/D10)</f>
        <v/>
      </c>
      <c r="G10" s="21" t="str">
        <f aca="false">IF($A10="","",SUMPRODUCT(--ISNUMBER(SEARCH($A10,'Evidence Pulls'!$G$6:$G$125)),--('Evidence Pulls'!$P$6:$P$125=1),'Evidence Pulls'!$S$6:$S$125))</f>
        <v/>
      </c>
      <c r="H10" s="21" t="str">
        <f aca="false">IF(E10="","",IF(E10&gt;=40,"High concentration",IF(E10&gt;=25,"Watch","")))</f>
        <v/>
      </c>
      <c r="I10" s="16"/>
    </row>
    <row r="11" customFormat="false" ht="15" hidden="false" customHeight="false" outlineLevel="0" collapsed="false">
      <c r="A11" s="16"/>
      <c r="B11" s="16"/>
      <c r="C11" s="16"/>
      <c r="D11" s="16"/>
      <c r="E11" s="21" t="str">
        <f aca="false">IF($A11="","",SUMPRODUCT(--ISNUMBER(SEARCH($A11,'Evidence Pulls'!$G$6:$G$125)),'Evidence Pulls'!$S$6:$S$125))</f>
        <v/>
      </c>
      <c r="F11" s="25" t="str">
        <f aca="false">IF(OR($A11="",$D11="",$D11=0),"",E11/D11)</f>
        <v/>
      </c>
      <c r="G11" s="21" t="str">
        <f aca="false">IF($A11="","",SUMPRODUCT(--ISNUMBER(SEARCH($A11,'Evidence Pulls'!$G$6:$G$125)),--('Evidence Pulls'!$P$6:$P$125=1),'Evidence Pulls'!$S$6:$S$125))</f>
        <v/>
      </c>
      <c r="H11" s="21" t="str">
        <f aca="false">IF(E11="","",IF(E11&gt;=40,"High concentration",IF(E11&gt;=25,"Watch","")))</f>
        <v/>
      </c>
      <c r="I11" s="16"/>
    </row>
    <row r="12" customFormat="false" ht="15" hidden="false" customHeight="false" outlineLevel="0" collapsed="false">
      <c r="A12" s="16"/>
      <c r="B12" s="16"/>
      <c r="C12" s="16"/>
      <c r="D12" s="16"/>
      <c r="E12" s="21" t="str">
        <f aca="false">IF($A12="","",SUMPRODUCT(--ISNUMBER(SEARCH($A12,'Evidence Pulls'!$G$6:$G$125)),'Evidence Pulls'!$S$6:$S$125))</f>
        <v/>
      </c>
      <c r="F12" s="25" t="str">
        <f aca="false">IF(OR($A12="",$D12="",$D12=0),"",E12/D12)</f>
        <v/>
      </c>
      <c r="G12" s="21" t="str">
        <f aca="false">IF($A12="","",SUMPRODUCT(--ISNUMBER(SEARCH($A12,'Evidence Pulls'!$G$6:$G$125)),--('Evidence Pulls'!$P$6:$P$125=1),'Evidence Pulls'!$S$6:$S$125))</f>
        <v/>
      </c>
      <c r="H12" s="21" t="str">
        <f aca="false">IF(E12="","",IF(E12&gt;=40,"High concentration",IF(E12&gt;=25,"Watch","")))</f>
        <v/>
      </c>
      <c r="I12" s="16"/>
    </row>
    <row r="13" customFormat="false" ht="15" hidden="false" customHeight="false" outlineLevel="0" collapsed="false">
      <c r="A13" s="16"/>
      <c r="B13" s="16"/>
      <c r="C13" s="16"/>
      <c r="D13" s="16"/>
      <c r="E13" s="21" t="str">
        <f aca="false">IF($A13="","",SUMPRODUCT(--ISNUMBER(SEARCH($A13,'Evidence Pulls'!$G$6:$G$125)),'Evidence Pulls'!$S$6:$S$125))</f>
        <v/>
      </c>
      <c r="F13" s="25" t="str">
        <f aca="false">IF(OR($A13="",$D13="",$D13=0),"",E13/D13)</f>
        <v/>
      </c>
      <c r="G13" s="21" t="str">
        <f aca="false">IF($A13="","",SUMPRODUCT(--ISNUMBER(SEARCH($A13,'Evidence Pulls'!$G$6:$G$125)),--('Evidence Pulls'!$P$6:$P$125=1),'Evidence Pulls'!$S$6:$S$125))</f>
        <v/>
      </c>
      <c r="H13" s="21" t="str">
        <f aca="false">IF(E13="","",IF(E13&gt;=40,"High concentration",IF(E13&gt;=25,"Watch","")))</f>
        <v/>
      </c>
      <c r="I13" s="16"/>
    </row>
    <row r="14" customFormat="false" ht="15" hidden="false" customHeight="false" outlineLevel="0" collapsed="false">
      <c r="A14" s="16"/>
      <c r="B14" s="16"/>
      <c r="C14" s="16"/>
      <c r="D14" s="16"/>
      <c r="E14" s="21" t="str">
        <f aca="false">IF($A14="","",SUMPRODUCT(--ISNUMBER(SEARCH($A14,'Evidence Pulls'!$G$6:$G$125)),'Evidence Pulls'!$S$6:$S$125))</f>
        <v/>
      </c>
      <c r="F14" s="25" t="str">
        <f aca="false">IF(OR($A14="",$D14="",$D14=0),"",E14/D14)</f>
        <v/>
      </c>
      <c r="G14" s="21" t="str">
        <f aca="false">IF($A14="","",SUMPRODUCT(--ISNUMBER(SEARCH($A14,'Evidence Pulls'!$G$6:$G$125)),--('Evidence Pulls'!$P$6:$P$125=1),'Evidence Pulls'!$S$6:$S$125))</f>
        <v/>
      </c>
      <c r="H14" s="21" t="str">
        <f aca="false">IF(E14="","",IF(E14&gt;=40,"High concentration",IF(E14&gt;=25,"Watch","")))</f>
        <v/>
      </c>
      <c r="I14" s="16"/>
    </row>
    <row r="15" customFormat="false" ht="15" hidden="false" customHeight="false" outlineLevel="0" collapsed="false">
      <c r="A15" s="16"/>
      <c r="B15" s="16"/>
      <c r="C15" s="16"/>
      <c r="D15" s="16"/>
      <c r="E15" s="21" t="str">
        <f aca="false">IF($A15="","",SUMPRODUCT(--ISNUMBER(SEARCH($A15,'Evidence Pulls'!$G$6:$G$125)),'Evidence Pulls'!$S$6:$S$125))</f>
        <v/>
      </c>
      <c r="F15" s="25" t="str">
        <f aca="false">IF(OR($A15="",$D15="",$D15=0),"",E15/D15)</f>
        <v/>
      </c>
      <c r="G15" s="21" t="str">
        <f aca="false">IF($A15="","",SUMPRODUCT(--ISNUMBER(SEARCH($A15,'Evidence Pulls'!$G$6:$G$125)),--('Evidence Pulls'!$P$6:$P$125=1),'Evidence Pulls'!$S$6:$S$125))</f>
        <v/>
      </c>
      <c r="H15" s="21" t="str">
        <f aca="false">IF(E15="","",IF(E15&gt;=40,"High concentration",IF(E15&gt;=25,"Watch","")))</f>
        <v/>
      </c>
      <c r="I15" s="16"/>
    </row>
    <row r="16" customFormat="false" ht="15" hidden="false" customHeight="false" outlineLevel="0" collapsed="false">
      <c r="A16" s="16"/>
      <c r="B16" s="16"/>
      <c r="C16" s="16"/>
      <c r="D16" s="16"/>
      <c r="E16" s="21" t="str">
        <f aca="false">IF($A16="","",SUMPRODUCT(--ISNUMBER(SEARCH($A16,'Evidence Pulls'!$G$6:$G$125)),'Evidence Pulls'!$S$6:$S$125))</f>
        <v/>
      </c>
      <c r="F16" s="25" t="str">
        <f aca="false">IF(OR($A16="",$D16="",$D16=0),"",E16/D16)</f>
        <v/>
      </c>
      <c r="G16" s="21" t="str">
        <f aca="false">IF($A16="","",SUMPRODUCT(--ISNUMBER(SEARCH($A16,'Evidence Pulls'!$G$6:$G$125)),--('Evidence Pulls'!$P$6:$P$125=1),'Evidence Pulls'!$S$6:$S$125))</f>
        <v/>
      </c>
      <c r="H16" s="21" t="str">
        <f aca="false">IF(E16="","",IF(E16&gt;=40,"High concentration",IF(E16&gt;=25,"Watch","")))</f>
        <v/>
      </c>
      <c r="I16" s="16"/>
    </row>
    <row r="17" customFormat="false" ht="15" hidden="false" customHeight="false" outlineLevel="0" collapsed="false">
      <c r="A17" s="16"/>
      <c r="B17" s="16"/>
      <c r="C17" s="16"/>
      <c r="D17" s="16"/>
      <c r="E17" s="21" t="str">
        <f aca="false">IF($A17="","",SUMPRODUCT(--ISNUMBER(SEARCH($A17,'Evidence Pulls'!$G$6:$G$125)),'Evidence Pulls'!$S$6:$S$125))</f>
        <v/>
      </c>
      <c r="F17" s="25" t="str">
        <f aca="false">IF(OR($A17="",$D17="",$D17=0),"",E17/D17)</f>
        <v/>
      </c>
      <c r="G17" s="21" t="str">
        <f aca="false">IF($A17="","",SUMPRODUCT(--ISNUMBER(SEARCH($A17,'Evidence Pulls'!$G$6:$G$125)),--('Evidence Pulls'!$P$6:$P$125=1),'Evidence Pulls'!$S$6:$S$125))</f>
        <v/>
      </c>
      <c r="H17" s="21" t="str">
        <f aca="false">IF(E17="","",IF(E17&gt;=40,"High concentration",IF(E17&gt;=25,"Watch","")))</f>
        <v/>
      </c>
      <c r="I17" s="16"/>
    </row>
    <row r="18" customFormat="false" ht="15" hidden="false" customHeight="false" outlineLevel="0" collapsed="false">
      <c r="A18" s="16"/>
      <c r="B18" s="16"/>
      <c r="C18" s="16"/>
      <c r="D18" s="16"/>
      <c r="E18" s="21" t="str">
        <f aca="false">IF($A18="","",SUMPRODUCT(--ISNUMBER(SEARCH($A18,'Evidence Pulls'!$G$6:$G$125)),'Evidence Pulls'!$S$6:$S$125))</f>
        <v/>
      </c>
      <c r="F18" s="25" t="str">
        <f aca="false">IF(OR($A18="",$D18="",$D18=0),"",E18/D18)</f>
        <v/>
      </c>
      <c r="G18" s="21" t="str">
        <f aca="false">IF($A18="","",SUMPRODUCT(--ISNUMBER(SEARCH($A18,'Evidence Pulls'!$G$6:$G$125)),--('Evidence Pulls'!$P$6:$P$125=1),'Evidence Pulls'!$S$6:$S$125))</f>
        <v/>
      </c>
      <c r="H18" s="21" t="str">
        <f aca="false">IF(E18="","",IF(E18&gt;=40,"High concentration",IF(E18&gt;=25,"Watch","")))</f>
        <v/>
      </c>
      <c r="I18" s="16"/>
    </row>
    <row r="19" customFormat="false" ht="15" hidden="false" customHeight="false" outlineLevel="0" collapsed="false">
      <c r="A19" s="16"/>
      <c r="B19" s="16"/>
      <c r="C19" s="16"/>
      <c r="D19" s="16"/>
      <c r="E19" s="21" t="str">
        <f aca="false">IF($A19="","",SUMPRODUCT(--ISNUMBER(SEARCH($A19,'Evidence Pulls'!$G$6:$G$125)),'Evidence Pulls'!$S$6:$S$125))</f>
        <v/>
      </c>
      <c r="F19" s="25" t="str">
        <f aca="false">IF(OR($A19="",$D19="",$D19=0),"",E19/D19)</f>
        <v/>
      </c>
      <c r="G19" s="21" t="str">
        <f aca="false">IF($A19="","",SUMPRODUCT(--ISNUMBER(SEARCH($A19,'Evidence Pulls'!$G$6:$G$125)),--('Evidence Pulls'!$P$6:$P$125=1),'Evidence Pulls'!$S$6:$S$125))</f>
        <v/>
      </c>
      <c r="H19" s="21" t="str">
        <f aca="false">IF(E19="","",IF(E19&gt;=40,"High concentration",IF(E19&gt;=25,"Watch","")))</f>
        <v/>
      </c>
      <c r="I19" s="16"/>
    </row>
    <row r="20" customFormat="false" ht="15" hidden="false" customHeight="false" outlineLevel="0" collapsed="false">
      <c r="A20" s="16"/>
      <c r="B20" s="16"/>
      <c r="C20" s="16"/>
      <c r="D20" s="16"/>
      <c r="E20" s="21" t="str">
        <f aca="false">IF($A20="","",SUMPRODUCT(--ISNUMBER(SEARCH($A20,'Evidence Pulls'!$G$6:$G$125)),'Evidence Pulls'!$S$6:$S$125))</f>
        <v/>
      </c>
      <c r="F20" s="25" t="str">
        <f aca="false">IF(OR($A20="",$D20="",$D20=0),"",E20/D20)</f>
        <v/>
      </c>
      <c r="G20" s="21" t="str">
        <f aca="false">IF($A20="","",SUMPRODUCT(--ISNUMBER(SEARCH($A20,'Evidence Pulls'!$G$6:$G$125)),--('Evidence Pulls'!$P$6:$P$125=1),'Evidence Pulls'!$S$6:$S$125))</f>
        <v/>
      </c>
      <c r="H20" s="21" t="str">
        <f aca="false">IF(E20="","",IF(E20&gt;=40,"High concentration",IF(E20&gt;=25,"Watch","")))</f>
        <v/>
      </c>
      <c r="I20" s="16"/>
    </row>
    <row r="21" customFormat="false" ht="15" hidden="false" customHeight="false" outlineLevel="0" collapsed="false">
      <c r="A21" s="16"/>
      <c r="B21" s="16"/>
      <c r="C21" s="16"/>
      <c r="D21" s="16"/>
      <c r="E21" s="21" t="str">
        <f aca="false">IF($A21="","",SUMPRODUCT(--ISNUMBER(SEARCH($A21,'Evidence Pulls'!$G$6:$G$125)),'Evidence Pulls'!$S$6:$S$125))</f>
        <v/>
      </c>
      <c r="F21" s="25" t="str">
        <f aca="false">IF(OR($A21="",$D21="",$D21=0),"",E21/D21)</f>
        <v/>
      </c>
      <c r="G21" s="21" t="str">
        <f aca="false">IF($A21="","",SUMPRODUCT(--ISNUMBER(SEARCH($A21,'Evidence Pulls'!$G$6:$G$125)),--('Evidence Pulls'!$P$6:$P$125=1),'Evidence Pulls'!$S$6:$S$125))</f>
        <v/>
      </c>
      <c r="H21" s="21" t="str">
        <f aca="false">IF(E21="","",IF(E21&gt;=40,"High concentration",IF(E21&gt;=25,"Watch","")))</f>
        <v/>
      </c>
      <c r="I21" s="16"/>
    </row>
    <row r="22" customFormat="false" ht="15" hidden="false" customHeight="false" outlineLevel="0" collapsed="false">
      <c r="A22" s="16"/>
      <c r="B22" s="16"/>
      <c r="C22" s="16"/>
      <c r="D22" s="16"/>
      <c r="E22" s="21" t="str">
        <f aca="false">IF($A22="","",SUMPRODUCT(--ISNUMBER(SEARCH($A22,'Evidence Pulls'!$G$6:$G$125)),'Evidence Pulls'!$S$6:$S$125))</f>
        <v/>
      </c>
      <c r="F22" s="25" t="str">
        <f aca="false">IF(OR($A22="",$D22="",$D22=0),"",E22/D22)</f>
        <v/>
      </c>
      <c r="G22" s="21" t="str">
        <f aca="false">IF($A22="","",SUMPRODUCT(--ISNUMBER(SEARCH($A22,'Evidence Pulls'!$G$6:$G$125)),--('Evidence Pulls'!$P$6:$P$125=1),'Evidence Pulls'!$S$6:$S$125))</f>
        <v/>
      </c>
      <c r="H22" s="21" t="str">
        <f aca="false">IF(E22="","",IF(E22&gt;=40,"High concentration",IF(E22&gt;=25,"Watch","")))</f>
        <v/>
      </c>
      <c r="I22" s="16"/>
    </row>
    <row r="23" customFormat="false" ht="15" hidden="false" customHeight="false" outlineLevel="0" collapsed="false">
      <c r="A23" s="16"/>
      <c r="B23" s="16"/>
      <c r="C23" s="16"/>
      <c r="D23" s="16"/>
      <c r="E23" s="21" t="str">
        <f aca="false">IF($A23="","",SUMPRODUCT(--ISNUMBER(SEARCH($A23,'Evidence Pulls'!$G$6:$G$125)),'Evidence Pulls'!$S$6:$S$125))</f>
        <v/>
      </c>
      <c r="F23" s="25" t="str">
        <f aca="false">IF(OR($A23="",$D23="",$D23=0),"",E23/D23)</f>
        <v/>
      </c>
      <c r="G23" s="21" t="str">
        <f aca="false">IF($A23="","",SUMPRODUCT(--ISNUMBER(SEARCH($A23,'Evidence Pulls'!$G$6:$G$125)),--('Evidence Pulls'!$P$6:$P$125=1),'Evidence Pulls'!$S$6:$S$125))</f>
        <v/>
      </c>
      <c r="H23" s="21" t="str">
        <f aca="false">IF(E23="","",IF(E23&gt;=40,"High concentration",IF(E23&gt;=25,"Watch","")))</f>
        <v/>
      </c>
      <c r="I23" s="16"/>
    </row>
    <row r="24" customFormat="false" ht="15" hidden="false" customHeight="false" outlineLevel="0" collapsed="false">
      <c r="A24" s="16"/>
      <c r="B24" s="16"/>
      <c r="C24" s="16"/>
      <c r="D24" s="16"/>
      <c r="E24" s="21" t="str">
        <f aca="false">IF($A24="","",SUMPRODUCT(--ISNUMBER(SEARCH($A24,'Evidence Pulls'!$G$6:$G$125)),'Evidence Pulls'!$S$6:$S$125))</f>
        <v/>
      </c>
      <c r="F24" s="25" t="str">
        <f aca="false">IF(OR($A24="",$D24="",$D24=0),"",E24/D24)</f>
        <v/>
      </c>
      <c r="G24" s="21" t="str">
        <f aca="false">IF($A24="","",SUMPRODUCT(--ISNUMBER(SEARCH($A24,'Evidence Pulls'!$G$6:$G$125)),--('Evidence Pulls'!$P$6:$P$125=1),'Evidence Pulls'!$S$6:$S$125))</f>
        <v/>
      </c>
      <c r="H24" s="21" t="str">
        <f aca="false">IF(E24="","",IF(E24&gt;=40,"High concentration",IF(E24&gt;=25,"Watch","")))</f>
        <v/>
      </c>
      <c r="I24" s="16"/>
    </row>
    <row r="25" customFormat="false" ht="15" hidden="false" customHeight="false" outlineLevel="0" collapsed="false">
      <c r="A25" s="16"/>
      <c r="B25" s="16"/>
      <c r="C25" s="16"/>
      <c r="D25" s="16"/>
      <c r="E25" s="21" t="str">
        <f aca="false">IF($A25="","",SUMPRODUCT(--ISNUMBER(SEARCH($A25,'Evidence Pulls'!$G$6:$G$125)),'Evidence Pulls'!$S$6:$S$125))</f>
        <v/>
      </c>
      <c r="F25" s="25" t="str">
        <f aca="false">IF(OR($A25="",$D25="",$D25=0),"",E25/D25)</f>
        <v/>
      </c>
      <c r="G25" s="21" t="str">
        <f aca="false">IF($A25="","",SUMPRODUCT(--ISNUMBER(SEARCH($A25,'Evidence Pulls'!$G$6:$G$125)),--('Evidence Pulls'!$P$6:$P$125=1),'Evidence Pulls'!$S$6:$S$125))</f>
        <v/>
      </c>
      <c r="H25" s="21" t="str">
        <f aca="false">IF(E25="","",IF(E25&gt;=40,"High concentration",IF(E25&gt;=25,"Watch","")))</f>
        <v/>
      </c>
      <c r="I25" s="16"/>
    </row>
    <row r="26" customFormat="false" ht="15" hidden="false" customHeight="false" outlineLevel="0" collapsed="false">
      <c r="A26" s="16"/>
      <c r="B26" s="16"/>
      <c r="C26" s="16"/>
      <c r="D26" s="16"/>
      <c r="E26" s="21" t="str">
        <f aca="false">IF($A26="","",SUMPRODUCT(--ISNUMBER(SEARCH($A26,'Evidence Pulls'!$G$6:$G$125)),'Evidence Pulls'!$S$6:$S$125))</f>
        <v/>
      </c>
      <c r="F26" s="25" t="str">
        <f aca="false">IF(OR($A26="",$D26="",$D26=0),"",E26/D26)</f>
        <v/>
      </c>
      <c r="G26" s="21" t="str">
        <f aca="false">IF($A26="","",SUMPRODUCT(--ISNUMBER(SEARCH($A26,'Evidence Pulls'!$G$6:$G$125)),--('Evidence Pulls'!$P$6:$P$125=1),'Evidence Pulls'!$S$6:$S$125))</f>
        <v/>
      </c>
      <c r="H26" s="21" t="str">
        <f aca="false">IF(E26="","",IF(E26&gt;=40,"High concentration",IF(E26&gt;=25,"Watch","")))</f>
        <v/>
      </c>
      <c r="I26" s="16"/>
    </row>
    <row r="27" customFormat="false" ht="15" hidden="false" customHeight="false" outlineLevel="0" collapsed="false">
      <c r="A27" s="16"/>
      <c r="B27" s="16"/>
      <c r="C27" s="16"/>
      <c r="D27" s="16"/>
      <c r="E27" s="21" t="str">
        <f aca="false">IF($A27="","",SUMPRODUCT(--ISNUMBER(SEARCH($A27,'Evidence Pulls'!$G$6:$G$125)),'Evidence Pulls'!$S$6:$S$125))</f>
        <v/>
      </c>
      <c r="F27" s="25" t="str">
        <f aca="false">IF(OR($A27="",$D27="",$D27=0),"",E27/D27)</f>
        <v/>
      </c>
      <c r="G27" s="21" t="str">
        <f aca="false">IF($A27="","",SUMPRODUCT(--ISNUMBER(SEARCH($A27,'Evidence Pulls'!$G$6:$G$125)),--('Evidence Pulls'!$P$6:$P$125=1),'Evidence Pulls'!$S$6:$S$125))</f>
        <v/>
      </c>
      <c r="H27" s="21" t="str">
        <f aca="false">IF(E27="","",IF(E27&gt;=40,"High concentration",IF(E27&gt;=25,"Watch","")))</f>
        <v/>
      </c>
      <c r="I27" s="16"/>
    </row>
    <row r="28" customFormat="false" ht="15" hidden="false" customHeight="false" outlineLevel="0" collapsed="false">
      <c r="A28" s="16"/>
      <c r="B28" s="16"/>
      <c r="C28" s="16"/>
      <c r="D28" s="16"/>
      <c r="E28" s="21" t="str">
        <f aca="false">IF($A28="","",SUMPRODUCT(--ISNUMBER(SEARCH($A28,'Evidence Pulls'!$G$6:$G$125)),'Evidence Pulls'!$S$6:$S$125))</f>
        <v/>
      </c>
      <c r="F28" s="25" t="str">
        <f aca="false">IF(OR($A28="",$D28="",$D28=0),"",E28/D28)</f>
        <v/>
      </c>
      <c r="G28" s="21" t="str">
        <f aca="false">IF($A28="","",SUMPRODUCT(--ISNUMBER(SEARCH($A28,'Evidence Pulls'!$G$6:$G$125)),--('Evidence Pulls'!$P$6:$P$125=1),'Evidence Pulls'!$S$6:$S$125))</f>
        <v/>
      </c>
      <c r="H28" s="21" t="str">
        <f aca="false">IF(E28="","",IF(E28&gt;=40,"High concentration",IF(E28&gt;=25,"Watch","")))</f>
        <v/>
      </c>
      <c r="I28" s="16"/>
    </row>
    <row r="29" customFormat="false" ht="15" hidden="false" customHeight="false" outlineLevel="0" collapsed="false">
      <c r="A29" s="16"/>
      <c r="B29" s="16"/>
      <c r="C29" s="16"/>
      <c r="D29" s="16"/>
      <c r="E29" s="21" t="str">
        <f aca="false">IF($A29="","",SUMPRODUCT(--ISNUMBER(SEARCH($A29,'Evidence Pulls'!$G$6:$G$125)),'Evidence Pulls'!$S$6:$S$125))</f>
        <v/>
      </c>
      <c r="F29" s="25" t="str">
        <f aca="false">IF(OR($A29="",$D29="",$D29=0),"",E29/D29)</f>
        <v/>
      </c>
      <c r="G29" s="21" t="str">
        <f aca="false">IF($A29="","",SUMPRODUCT(--ISNUMBER(SEARCH($A29,'Evidence Pulls'!$G$6:$G$125)),--('Evidence Pulls'!$P$6:$P$125=1),'Evidence Pulls'!$S$6:$S$125))</f>
        <v/>
      </c>
      <c r="H29" s="21" t="str">
        <f aca="false">IF(E29="","",IF(E29&gt;=40,"High concentration",IF(E29&gt;=25,"Watch","")))</f>
        <v/>
      </c>
      <c r="I29" s="16"/>
    </row>
    <row r="30" customFormat="false" ht="15" hidden="false" customHeight="false" outlineLevel="0" collapsed="false">
      <c r="A30" s="16"/>
      <c r="B30" s="16"/>
      <c r="C30" s="16"/>
      <c r="D30" s="16"/>
      <c r="E30" s="21" t="str">
        <f aca="false">IF($A30="","",SUMPRODUCT(--ISNUMBER(SEARCH($A30,'Evidence Pulls'!$G$6:$G$125)),'Evidence Pulls'!$S$6:$S$125))</f>
        <v/>
      </c>
      <c r="F30" s="25" t="str">
        <f aca="false">IF(OR($A30="",$D30="",$D30=0),"",E30/D30)</f>
        <v/>
      </c>
      <c r="G30" s="21" t="str">
        <f aca="false">IF($A30="","",SUMPRODUCT(--ISNUMBER(SEARCH($A30,'Evidence Pulls'!$G$6:$G$125)),--('Evidence Pulls'!$P$6:$P$125=1),'Evidence Pulls'!$S$6:$S$125))</f>
        <v/>
      </c>
      <c r="H30" s="21" t="str">
        <f aca="false">IF(E30="","",IF(E30&gt;=40,"High concentration",IF(E30&gt;=25,"Watch","")))</f>
        <v/>
      </c>
      <c r="I30" s="16"/>
    </row>
    <row r="31" customFormat="false" ht="15" hidden="false" customHeight="false" outlineLevel="0" collapsed="false">
      <c r="A31" s="16"/>
      <c r="B31" s="16"/>
      <c r="C31" s="16"/>
      <c r="D31" s="16"/>
      <c r="E31" s="21" t="str">
        <f aca="false">IF($A31="","",SUMPRODUCT(--ISNUMBER(SEARCH($A31,'Evidence Pulls'!$G$6:$G$125)),'Evidence Pulls'!$S$6:$S$125))</f>
        <v/>
      </c>
      <c r="F31" s="25" t="str">
        <f aca="false">IF(OR($A31="",$D31="",$D31=0),"",E31/D31)</f>
        <v/>
      </c>
      <c r="G31" s="21" t="str">
        <f aca="false">IF($A31="","",SUMPRODUCT(--ISNUMBER(SEARCH($A31,'Evidence Pulls'!$G$6:$G$125)),--('Evidence Pulls'!$P$6:$P$125=1),'Evidence Pulls'!$S$6:$S$125))</f>
        <v/>
      </c>
      <c r="H31" s="21" t="str">
        <f aca="false">IF(E31="","",IF(E31&gt;=40,"High concentration",IF(E31&gt;=25,"Watch","")))</f>
        <v/>
      </c>
      <c r="I31" s="16"/>
    </row>
    <row r="32" customFormat="false" ht="15" hidden="false" customHeight="false" outlineLevel="0" collapsed="false">
      <c r="A32" s="16"/>
      <c r="B32" s="16"/>
      <c r="C32" s="16"/>
      <c r="D32" s="16"/>
      <c r="E32" s="21" t="str">
        <f aca="false">IF($A32="","",SUMPRODUCT(--ISNUMBER(SEARCH($A32,'Evidence Pulls'!$G$6:$G$125)),'Evidence Pulls'!$S$6:$S$125))</f>
        <v/>
      </c>
      <c r="F32" s="25" t="str">
        <f aca="false">IF(OR($A32="",$D32="",$D32=0),"",E32/D32)</f>
        <v/>
      </c>
      <c r="G32" s="21" t="str">
        <f aca="false">IF($A32="","",SUMPRODUCT(--ISNUMBER(SEARCH($A32,'Evidence Pulls'!$G$6:$G$125)),--('Evidence Pulls'!$P$6:$P$125=1),'Evidence Pulls'!$S$6:$S$125))</f>
        <v/>
      </c>
      <c r="H32" s="21" t="str">
        <f aca="false">IF(E32="","",IF(E32&gt;=40,"High concentration",IF(E32&gt;=25,"Watch","")))</f>
        <v/>
      </c>
      <c r="I32" s="16"/>
    </row>
    <row r="33" customFormat="false" ht="15" hidden="false" customHeight="false" outlineLevel="0" collapsed="false">
      <c r="A33" s="16"/>
      <c r="B33" s="16"/>
      <c r="C33" s="16"/>
      <c r="D33" s="16"/>
      <c r="E33" s="21" t="str">
        <f aca="false">IF($A33="","",SUMPRODUCT(--ISNUMBER(SEARCH($A33,'Evidence Pulls'!$G$6:$G$125)),'Evidence Pulls'!$S$6:$S$125))</f>
        <v/>
      </c>
      <c r="F33" s="25" t="str">
        <f aca="false">IF(OR($A33="",$D33="",$D33=0),"",E33/D33)</f>
        <v/>
      </c>
      <c r="G33" s="21" t="str">
        <f aca="false">IF($A33="","",SUMPRODUCT(--ISNUMBER(SEARCH($A33,'Evidence Pulls'!$G$6:$G$125)),--('Evidence Pulls'!$P$6:$P$125=1),'Evidence Pulls'!$S$6:$S$125))</f>
        <v/>
      </c>
      <c r="H33" s="21" t="str">
        <f aca="false">IF(E33="","",IF(E33&gt;=40,"High concentration",IF(E33&gt;=25,"Watch","")))</f>
        <v/>
      </c>
      <c r="I33" s="16"/>
    </row>
    <row r="34" customFormat="false" ht="15" hidden="false" customHeight="false" outlineLevel="0" collapsed="false">
      <c r="A34" s="16"/>
      <c r="B34" s="16"/>
      <c r="C34" s="16"/>
      <c r="D34" s="16"/>
      <c r="E34" s="21" t="str">
        <f aca="false">IF($A34="","",SUMPRODUCT(--ISNUMBER(SEARCH($A34,'Evidence Pulls'!$G$6:$G$125)),'Evidence Pulls'!$S$6:$S$125))</f>
        <v/>
      </c>
      <c r="F34" s="25" t="str">
        <f aca="false">IF(OR($A34="",$D34="",$D34=0),"",E34/D34)</f>
        <v/>
      </c>
      <c r="G34" s="21" t="str">
        <f aca="false">IF($A34="","",SUMPRODUCT(--ISNUMBER(SEARCH($A34,'Evidence Pulls'!$G$6:$G$125)),--('Evidence Pulls'!$P$6:$P$125=1),'Evidence Pulls'!$S$6:$S$125))</f>
        <v/>
      </c>
      <c r="H34" s="21" t="str">
        <f aca="false">IF(E34="","",IF(E34&gt;=40,"High concentration",IF(E34&gt;=25,"Watch","")))</f>
        <v/>
      </c>
      <c r="I34" s="16"/>
    </row>
    <row r="35" customFormat="false" ht="15" hidden="false" customHeight="false" outlineLevel="0" collapsed="false">
      <c r="A35" s="16"/>
      <c r="B35" s="16"/>
      <c r="C35" s="16"/>
      <c r="D35" s="16"/>
      <c r="E35" s="21" t="str">
        <f aca="false">IF($A35="","",SUMPRODUCT(--ISNUMBER(SEARCH($A35,'Evidence Pulls'!$G$6:$G$125)),'Evidence Pulls'!$S$6:$S$125))</f>
        <v/>
      </c>
      <c r="F35" s="25" t="str">
        <f aca="false">IF(OR($A35="",$D35="",$D35=0),"",E35/D35)</f>
        <v/>
      </c>
      <c r="G35" s="21" t="str">
        <f aca="false">IF($A35="","",SUMPRODUCT(--ISNUMBER(SEARCH($A35,'Evidence Pulls'!$G$6:$G$125)),--('Evidence Pulls'!$P$6:$P$125=1),'Evidence Pulls'!$S$6:$S$125))</f>
        <v/>
      </c>
      <c r="H35" s="21" t="str">
        <f aca="false">IF(E35="","",IF(E35&gt;=40,"High concentration",IF(E35&gt;=25,"Watch","")))</f>
        <v/>
      </c>
      <c r="I35" s="16"/>
    </row>
    <row r="36" customFormat="false" ht="15" hidden="false" customHeight="false" outlineLevel="0" collapsed="false">
      <c r="A36" s="16"/>
      <c r="B36" s="16"/>
      <c r="C36" s="16"/>
      <c r="D36" s="16"/>
      <c r="E36" s="21" t="str">
        <f aca="false">IF($A36="","",SUMPRODUCT(--ISNUMBER(SEARCH($A36,'Evidence Pulls'!$G$6:$G$125)),'Evidence Pulls'!$S$6:$S$125))</f>
        <v/>
      </c>
      <c r="F36" s="25" t="str">
        <f aca="false">IF(OR($A36="",$D36="",$D36=0),"",E36/D36)</f>
        <v/>
      </c>
      <c r="G36" s="21" t="str">
        <f aca="false">IF($A36="","",SUMPRODUCT(--ISNUMBER(SEARCH($A36,'Evidence Pulls'!$G$6:$G$125)),--('Evidence Pulls'!$P$6:$P$125=1),'Evidence Pulls'!$S$6:$S$125))</f>
        <v/>
      </c>
      <c r="H36" s="21" t="str">
        <f aca="false">IF(E36="","",IF(E36&gt;=40,"High concentration",IF(E36&gt;=25,"Watch","")))</f>
        <v/>
      </c>
      <c r="I36" s="16"/>
    </row>
    <row r="37" customFormat="false" ht="15" hidden="false" customHeight="false" outlineLevel="0" collapsed="false">
      <c r="A37" s="16"/>
      <c r="B37" s="16"/>
      <c r="C37" s="16"/>
      <c r="D37" s="16"/>
      <c r="E37" s="21" t="str">
        <f aca="false">IF($A37="","",SUMPRODUCT(--ISNUMBER(SEARCH($A37,'Evidence Pulls'!$G$6:$G$125)),'Evidence Pulls'!$S$6:$S$125))</f>
        <v/>
      </c>
      <c r="F37" s="25" t="str">
        <f aca="false">IF(OR($A37="",$D37="",$D37=0),"",E37/D37)</f>
        <v/>
      </c>
      <c r="G37" s="21" t="str">
        <f aca="false">IF($A37="","",SUMPRODUCT(--ISNUMBER(SEARCH($A37,'Evidence Pulls'!$G$6:$G$125)),--('Evidence Pulls'!$P$6:$P$125=1),'Evidence Pulls'!$S$6:$S$125))</f>
        <v/>
      </c>
      <c r="H37" s="21" t="str">
        <f aca="false">IF(E37="","",IF(E37&gt;=40,"High concentration",IF(E37&gt;=25,"Watch","")))</f>
        <v/>
      </c>
      <c r="I37" s="16"/>
    </row>
    <row r="38" customFormat="false" ht="15" hidden="false" customHeight="false" outlineLevel="0" collapsed="false">
      <c r="A38" s="16"/>
      <c r="B38" s="16"/>
      <c r="C38" s="16"/>
      <c r="D38" s="16"/>
      <c r="E38" s="21" t="str">
        <f aca="false">IF($A38="","",SUMPRODUCT(--ISNUMBER(SEARCH($A38,'Evidence Pulls'!$G$6:$G$125)),'Evidence Pulls'!$S$6:$S$125))</f>
        <v/>
      </c>
      <c r="F38" s="25" t="str">
        <f aca="false">IF(OR($A38="",$D38="",$D38=0),"",E38/D38)</f>
        <v/>
      </c>
      <c r="G38" s="21" t="str">
        <f aca="false">IF($A38="","",SUMPRODUCT(--ISNUMBER(SEARCH($A38,'Evidence Pulls'!$G$6:$G$125)),--('Evidence Pulls'!$P$6:$P$125=1),'Evidence Pulls'!$S$6:$S$125))</f>
        <v/>
      </c>
      <c r="H38" s="21" t="str">
        <f aca="false">IF(E38="","",IF(E38&gt;=40,"High concentration",IF(E38&gt;=25,"Watch","")))</f>
        <v/>
      </c>
      <c r="I38" s="16"/>
    </row>
    <row r="39" customFormat="false" ht="15" hidden="false" customHeight="false" outlineLevel="0" collapsed="false">
      <c r="A39" s="16"/>
      <c r="B39" s="16"/>
      <c r="C39" s="16"/>
      <c r="D39" s="16"/>
      <c r="E39" s="21" t="str">
        <f aca="false">IF($A39="","",SUMPRODUCT(--ISNUMBER(SEARCH($A39,'Evidence Pulls'!$G$6:$G$125)),'Evidence Pulls'!$S$6:$S$125))</f>
        <v/>
      </c>
      <c r="F39" s="25" t="str">
        <f aca="false">IF(OR($A39="",$D39="",$D39=0),"",E39/D39)</f>
        <v/>
      </c>
      <c r="G39" s="21" t="str">
        <f aca="false">IF($A39="","",SUMPRODUCT(--ISNUMBER(SEARCH($A39,'Evidence Pulls'!$G$6:$G$125)),--('Evidence Pulls'!$P$6:$P$125=1),'Evidence Pulls'!$S$6:$S$125))</f>
        <v/>
      </c>
      <c r="H39" s="21" t="str">
        <f aca="false">IF(E39="","",IF(E39&gt;=40,"High concentration",IF(E39&gt;=25,"Watch","")))</f>
        <v/>
      </c>
      <c r="I39" s="16"/>
    </row>
    <row r="40" customFormat="false" ht="15" hidden="false" customHeight="false" outlineLevel="0" collapsed="false">
      <c r="A40" s="16"/>
      <c r="B40" s="16"/>
      <c r="C40" s="16"/>
      <c r="D40" s="16"/>
      <c r="E40" s="21" t="str">
        <f aca="false">IF($A40="","",SUMPRODUCT(--ISNUMBER(SEARCH($A40,'Evidence Pulls'!$G$6:$G$125)),'Evidence Pulls'!$S$6:$S$125))</f>
        <v/>
      </c>
      <c r="F40" s="25" t="str">
        <f aca="false">IF(OR($A40="",$D40="",$D40=0),"",E40/D40)</f>
        <v/>
      </c>
      <c r="G40" s="21" t="str">
        <f aca="false">IF($A40="","",SUMPRODUCT(--ISNUMBER(SEARCH($A40,'Evidence Pulls'!$G$6:$G$125)),--('Evidence Pulls'!$P$6:$P$125=1),'Evidence Pulls'!$S$6:$S$125))</f>
        <v/>
      </c>
      <c r="H40" s="21" t="str">
        <f aca="false">IF(E40="","",IF(E40&gt;=40,"High concentration",IF(E40&gt;=25,"Watch","")))</f>
        <v/>
      </c>
      <c r="I40" s="16"/>
    </row>
    <row r="41" customFormat="false" ht="15" hidden="false" customHeight="false" outlineLevel="0" collapsed="false">
      <c r="A41" s="16"/>
      <c r="B41" s="16"/>
      <c r="C41" s="16"/>
      <c r="D41" s="16"/>
      <c r="E41" s="21" t="str">
        <f aca="false">IF($A41="","",SUMPRODUCT(--ISNUMBER(SEARCH($A41,'Evidence Pulls'!$G$6:$G$125)),'Evidence Pulls'!$S$6:$S$125))</f>
        <v/>
      </c>
      <c r="F41" s="25" t="str">
        <f aca="false">IF(OR($A41="",$D41="",$D41=0),"",E41/D41)</f>
        <v/>
      </c>
      <c r="G41" s="21" t="str">
        <f aca="false">IF($A41="","",SUMPRODUCT(--ISNUMBER(SEARCH($A41,'Evidence Pulls'!$G$6:$G$125)),--('Evidence Pulls'!$P$6:$P$125=1),'Evidence Pulls'!$S$6:$S$125))</f>
        <v/>
      </c>
      <c r="H41" s="21" t="str">
        <f aca="false">IF(E41="","",IF(E41&gt;=40,"High concentration",IF(E41&gt;=25,"Watch","")))</f>
        <v/>
      </c>
      <c r="I41" s="16"/>
    </row>
    <row r="42" customFormat="false" ht="15" hidden="false" customHeight="false" outlineLevel="0" collapsed="false">
      <c r="A42" s="16"/>
      <c r="B42" s="16"/>
      <c r="C42" s="16"/>
      <c r="D42" s="16"/>
      <c r="E42" s="21" t="str">
        <f aca="false">IF($A42="","",SUMPRODUCT(--ISNUMBER(SEARCH($A42,'Evidence Pulls'!$G$6:$G$125)),'Evidence Pulls'!$S$6:$S$125))</f>
        <v/>
      </c>
      <c r="F42" s="25" t="str">
        <f aca="false">IF(OR($A42="",$D42="",$D42=0),"",E42/D42)</f>
        <v/>
      </c>
      <c r="G42" s="21" t="str">
        <f aca="false">IF($A42="","",SUMPRODUCT(--ISNUMBER(SEARCH($A42,'Evidence Pulls'!$G$6:$G$125)),--('Evidence Pulls'!$P$6:$P$125=1),'Evidence Pulls'!$S$6:$S$125))</f>
        <v/>
      </c>
      <c r="H42" s="21" t="str">
        <f aca="false">IF(E42="","",IF(E42&gt;=40,"High concentration",IF(E42&gt;=25,"Watch","")))</f>
        <v/>
      </c>
      <c r="I42" s="16"/>
    </row>
    <row r="43" customFormat="false" ht="15" hidden="false" customHeight="false" outlineLevel="0" collapsed="false">
      <c r="A43" s="16"/>
      <c r="B43" s="16"/>
      <c r="C43" s="16"/>
      <c r="D43" s="16"/>
      <c r="E43" s="21" t="str">
        <f aca="false">IF($A43="","",SUMPRODUCT(--ISNUMBER(SEARCH($A43,'Evidence Pulls'!$G$6:$G$125)),'Evidence Pulls'!$S$6:$S$125))</f>
        <v/>
      </c>
      <c r="F43" s="25" t="str">
        <f aca="false">IF(OR($A43="",$D43="",$D43=0),"",E43/D43)</f>
        <v/>
      </c>
      <c r="G43" s="21" t="str">
        <f aca="false">IF($A43="","",SUMPRODUCT(--ISNUMBER(SEARCH($A43,'Evidence Pulls'!$G$6:$G$125)),--('Evidence Pulls'!$P$6:$P$125=1),'Evidence Pulls'!$S$6:$S$125))</f>
        <v/>
      </c>
      <c r="H43" s="21" t="str">
        <f aca="false">IF(E43="","",IF(E43&gt;=40,"High concentration",IF(E43&gt;=25,"Watch","")))</f>
        <v/>
      </c>
      <c r="I43" s="16"/>
    </row>
    <row r="44" customFormat="false" ht="15" hidden="false" customHeight="false" outlineLevel="0" collapsed="false">
      <c r="A44" s="16"/>
      <c r="B44" s="16"/>
      <c r="C44" s="16"/>
      <c r="D44" s="16"/>
      <c r="E44" s="21" t="str">
        <f aca="false">IF($A44="","",SUMPRODUCT(--ISNUMBER(SEARCH($A44,'Evidence Pulls'!$G$6:$G$125)),'Evidence Pulls'!$S$6:$S$125))</f>
        <v/>
      </c>
      <c r="F44" s="25" t="str">
        <f aca="false">IF(OR($A44="",$D44="",$D44=0),"",E44/D44)</f>
        <v/>
      </c>
      <c r="G44" s="21" t="str">
        <f aca="false">IF($A44="","",SUMPRODUCT(--ISNUMBER(SEARCH($A44,'Evidence Pulls'!$G$6:$G$125)),--('Evidence Pulls'!$P$6:$P$125=1),'Evidence Pulls'!$S$6:$S$125))</f>
        <v/>
      </c>
      <c r="H44" s="21" t="str">
        <f aca="false">IF(E44="","",IF(E44&gt;=40,"High concentration",IF(E44&gt;=25,"Watch","")))</f>
        <v/>
      </c>
      <c r="I44" s="16"/>
    </row>
    <row r="45" customFormat="false" ht="15" hidden="false" customHeight="false" outlineLevel="0" collapsed="false">
      <c r="A45" s="16"/>
      <c r="B45" s="16"/>
      <c r="C45" s="16"/>
      <c r="D45" s="16"/>
      <c r="E45" s="21" t="str">
        <f aca="false">IF($A45="","",SUMPRODUCT(--ISNUMBER(SEARCH($A45,'Evidence Pulls'!$G$6:$G$125)),'Evidence Pulls'!$S$6:$S$125))</f>
        <v/>
      </c>
      <c r="F45" s="25" t="str">
        <f aca="false">IF(OR($A45="",$D45="",$D45=0),"",E45/D45)</f>
        <v/>
      </c>
      <c r="G45" s="21" t="str">
        <f aca="false">IF($A45="","",SUMPRODUCT(--ISNUMBER(SEARCH($A45,'Evidence Pulls'!$G$6:$G$125)),--('Evidence Pulls'!$P$6:$P$125=1),'Evidence Pulls'!$S$6:$S$125))</f>
        <v/>
      </c>
      <c r="H45" s="21" t="str">
        <f aca="false">IF(E45="","",IF(E45&gt;=40,"High concentration",IF(E45&gt;=25,"Watch","")))</f>
        <v/>
      </c>
      <c r="I45" s="16"/>
    </row>
    <row r="46" customFormat="false" ht="15" hidden="false" customHeight="false" outlineLevel="0" collapsed="false">
      <c r="A46" s="16"/>
      <c r="B46" s="16"/>
      <c r="C46" s="16"/>
      <c r="D46" s="16"/>
      <c r="E46" s="21" t="str">
        <f aca="false">IF($A46="","",SUMPRODUCT(--ISNUMBER(SEARCH($A46,'Evidence Pulls'!$G$6:$G$125)),'Evidence Pulls'!$S$6:$S$125))</f>
        <v/>
      </c>
      <c r="F46" s="25" t="str">
        <f aca="false">IF(OR($A46="",$D46="",$D46=0),"",E46/D46)</f>
        <v/>
      </c>
      <c r="G46" s="21" t="str">
        <f aca="false">IF($A46="","",SUMPRODUCT(--ISNUMBER(SEARCH($A46,'Evidence Pulls'!$G$6:$G$125)),--('Evidence Pulls'!$P$6:$P$125=1),'Evidence Pulls'!$S$6:$S$125))</f>
        <v/>
      </c>
      <c r="H46" s="21" t="str">
        <f aca="false">IF(E46="","",IF(E46&gt;=40,"High concentration",IF(E46&gt;=25,"Watch","")))</f>
        <v/>
      </c>
      <c r="I46" s="16"/>
    </row>
    <row r="47" customFormat="false" ht="15" hidden="false" customHeight="false" outlineLevel="0" collapsed="false">
      <c r="A47" s="16"/>
      <c r="B47" s="16"/>
      <c r="C47" s="16"/>
      <c r="D47" s="16"/>
      <c r="E47" s="21" t="str">
        <f aca="false">IF($A47="","",SUMPRODUCT(--ISNUMBER(SEARCH($A47,'Evidence Pulls'!$G$6:$G$125)),'Evidence Pulls'!$S$6:$S$125))</f>
        <v/>
      </c>
      <c r="F47" s="25" t="str">
        <f aca="false">IF(OR($A47="",$D47="",$D47=0),"",E47/D47)</f>
        <v/>
      </c>
      <c r="G47" s="21" t="str">
        <f aca="false">IF($A47="","",SUMPRODUCT(--ISNUMBER(SEARCH($A47,'Evidence Pulls'!$G$6:$G$125)),--('Evidence Pulls'!$P$6:$P$125=1),'Evidence Pulls'!$S$6:$S$125))</f>
        <v/>
      </c>
      <c r="H47" s="21" t="str">
        <f aca="false">IF(E47="","",IF(E47&gt;=40,"High concentration",IF(E47&gt;=25,"Watch","")))</f>
        <v/>
      </c>
      <c r="I47" s="16"/>
    </row>
    <row r="48" customFormat="false" ht="15" hidden="false" customHeight="false" outlineLevel="0" collapsed="false">
      <c r="A48" s="16"/>
      <c r="B48" s="16"/>
      <c r="C48" s="16"/>
      <c r="D48" s="16"/>
      <c r="E48" s="21" t="str">
        <f aca="false">IF($A48="","",SUMPRODUCT(--ISNUMBER(SEARCH($A48,'Evidence Pulls'!$G$6:$G$125)),'Evidence Pulls'!$S$6:$S$125))</f>
        <v/>
      </c>
      <c r="F48" s="25" t="str">
        <f aca="false">IF(OR($A48="",$D48="",$D48=0),"",E48/D48)</f>
        <v/>
      </c>
      <c r="G48" s="21" t="str">
        <f aca="false">IF($A48="","",SUMPRODUCT(--ISNUMBER(SEARCH($A48,'Evidence Pulls'!$G$6:$G$125)),--('Evidence Pulls'!$P$6:$P$125=1),'Evidence Pulls'!$S$6:$S$125))</f>
        <v/>
      </c>
      <c r="H48" s="21" t="str">
        <f aca="false">IF(E48="","",IF(E48&gt;=40,"High concentration",IF(E48&gt;=25,"Watch","")))</f>
        <v/>
      </c>
      <c r="I48" s="16"/>
    </row>
    <row r="49" customFormat="false" ht="15" hidden="false" customHeight="false" outlineLevel="0" collapsed="false">
      <c r="A49" s="16"/>
      <c r="B49" s="16"/>
      <c r="C49" s="16"/>
      <c r="D49" s="16"/>
      <c r="E49" s="21" t="str">
        <f aca="false">IF($A49="","",SUMPRODUCT(--ISNUMBER(SEARCH($A49,'Evidence Pulls'!$G$6:$G$125)),'Evidence Pulls'!$S$6:$S$125))</f>
        <v/>
      </c>
      <c r="F49" s="25" t="str">
        <f aca="false">IF(OR($A49="",$D49="",$D49=0),"",E49/D49)</f>
        <v/>
      </c>
      <c r="G49" s="21" t="str">
        <f aca="false">IF($A49="","",SUMPRODUCT(--ISNUMBER(SEARCH($A49,'Evidence Pulls'!$G$6:$G$125)),--('Evidence Pulls'!$P$6:$P$125=1),'Evidence Pulls'!$S$6:$S$125))</f>
        <v/>
      </c>
      <c r="H49" s="21" t="str">
        <f aca="false">IF(E49="","",IF(E49&gt;=40,"High concentration",IF(E49&gt;=25,"Watch","")))</f>
        <v/>
      </c>
      <c r="I49" s="16"/>
    </row>
    <row r="50" customFormat="false" ht="15" hidden="false" customHeight="false" outlineLevel="0" collapsed="false">
      <c r="A50" s="16"/>
      <c r="B50" s="16"/>
      <c r="C50" s="16"/>
      <c r="D50" s="16"/>
      <c r="E50" s="21" t="str">
        <f aca="false">IF($A50="","",SUMPRODUCT(--ISNUMBER(SEARCH($A50,'Evidence Pulls'!$G$6:$G$125)),'Evidence Pulls'!$S$6:$S$125))</f>
        <v/>
      </c>
      <c r="F50" s="25" t="str">
        <f aca="false">IF(OR($A50="",$D50="",$D50=0),"",E50/D50)</f>
        <v/>
      </c>
      <c r="G50" s="21" t="str">
        <f aca="false">IF($A50="","",SUMPRODUCT(--ISNUMBER(SEARCH($A50,'Evidence Pulls'!$G$6:$G$125)),--('Evidence Pulls'!$P$6:$P$125=1),'Evidence Pulls'!$S$6:$S$125))</f>
        <v/>
      </c>
      <c r="H50" s="21" t="str">
        <f aca="false">IF(E50="","",IF(E50&gt;=40,"High concentration",IF(E50&gt;=25,"Watch","")))</f>
        <v/>
      </c>
      <c r="I50" s="16"/>
    </row>
    <row r="51" customFormat="false" ht="15" hidden="false" customHeight="false" outlineLevel="0" collapsed="false">
      <c r="A51" s="16"/>
      <c r="B51" s="16"/>
      <c r="C51" s="16"/>
      <c r="D51" s="16"/>
      <c r="E51" s="21" t="str">
        <f aca="false">IF($A51="","",SUMPRODUCT(--ISNUMBER(SEARCH($A51,'Evidence Pulls'!$G$6:$G$125)),'Evidence Pulls'!$S$6:$S$125))</f>
        <v/>
      </c>
      <c r="F51" s="25" t="str">
        <f aca="false">IF(OR($A51="",$D51="",$D51=0),"",E51/D51)</f>
        <v/>
      </c>
      <c r="G51" s="21" t="str">
        <f aca="false">IF($A51="","",SUMPRODUCT(--ISNUMBER(SEARCH($A51,'Evidence Pulls'!$G$6:$G$125)),--('Evidence Pulls'!$P$6:$P$125=1),'Evidence Pulls'!$S$6:$S$125))</f>
        <v/>
      </c>
      <c r="H51" s="21" t="str">
        <f aca="false">IF(E51="","",IF(E51&gt;=40,"High concentration",IF(E51&gt;=25,"Watch","")))</f>
        <v/>
      </c>
      <c r="I51" s="16"/>
    </row>
    <row r="52" customFormat="false" ht="15" hidden="false" customHeight="false" outlineLevel="0" collapsed="false">
      <c r="A52" s="16"/>
      <c r="B52" s="16"/>
      <c r="C52" s="16"/>
      <c r="D52" s="16"/>
      <c r="E52" s="21" t="str">
        <f aca="false">IF($A52="","",SUMPRODUCT(--ISNUMBER(SEARCH($A52,'Evidence Pulls'!$G$6:$G$125)),'Evidence Pulls'!$S$6:$S$125))</f>
        <v/>
      </c>
      <c r="F52" s="25" t="str">
        <f aca="false">IF(OR($A52="",$D52="",$D52=0),"",E52/D52)</f>
        <v/>
      </c>
      <c r="G52" s="21" t="str">
        <f aca="false">IF($A52="","",SUMPRODUCT(--ISNUMBER(SEARCH($A52,'Evidence Pulls'!$G$6:$G$125)),--('Evidence Pulls'!$P$6:$P$125=1),'Evidence Pulls'!$S$6:$S$125))</f>
        <v/>
      </c>
      <c r="H52" s="21" t="str">
        <f aca="false">IF(E52="","",IF(E52&gt;=40,"High concentration",IF(E52&gt;=25,"Watch","")))</f>
        <v/>
      </c>
      <c r="I52" s="16"/>
    </row>
    <row r="53" customFormat="false" ht="15" hidden="false" customHeight="false" outlineLevel="0" collapsed="false">
      <c r="A53" s="16"/>
      <c r="B53" s="16"/>
      <c r="C53" s="16"/>
      <c r="D53" s="16"/>
      <c r="E53" s="21" t="str">
        <f aca="false">IF($A53="","",SUMPRODUCT(--ISNUMBER(SEARCH($A53,'Evidence Pulls'!$G$6:$G$125)),'Evidence Pulls'!$S$6:$S$125))</f>
        <v/>
      </c>
      <c r="F53" s="25" t="str">
        <f aca="false">IF(OR($A53="",$D53="",$D53=0),"",E53/D53)</f>
        <v/>
      </c>
      <c r="G53" s="21" t="str">
        <f aca="false">IF($A53="","",SUMPRODUCT(--ISNUMBER(SEARCH($A53,'Evidence Pulls'!$G$6:$G$125)),--('Evidence Pulls'!$P$6:$P$125=1),'Evidence Pulls'!$S$6:$S$125))</f>
        <v/>
      </c>
      <c r="H53" s="21" t="str">
        <f aca="false">IF(E53="","",IF(E53&gt;=40,"High concentration",IF(E53&gt;=25,"Watch","")))</f>
        <v/>
      </c>
      <c r="I53" s="16"/>
    </row>
    <row r="54" customFormat="false" ht="15" hidden="false" customHeight="false" outlineLevel="0" collapsed="false">
      <c r="A54" s="16"/>
      <c r="B54" s="16"/>
      <c r="C54" s="16"/>
      <c r="D54" s="16"/>
      <c r="E54" s="21" t="str">
        <f aca="false">IF($A54="","",SUMPRODUCT(--ISNUMBER(SEARCH($A54,'Evidence Pulls'!$G$6:$G$125)),'Evidence Pulls'!$S$6:$S$125))</f>
        <v/>
      </c>
      <c r="F54" s="25" t="str">
        <f aca="false">IF(OR($A54="",$D54="",$D54=0),"",E54/D54)</f>
        <v/>
      </c>
      <c r="G54" s="21" t="str">
        <f aca="false">IF($A54="","",SUMPRODUCT(--ISNUMBER(SEARCH($A54,'Evidence Pulls'!$G$6:$G$125)),--('Evidence Pulls'!$P$6:$P$125=1),'Evidence Pulls'!$S$6:$S$125))</f>
        <v/>
      </c>
      <c r="H54" s="21" t="str">
        <f aca="false">IF(E54="","",IF(E54&gt;=40,"High concentration",IF(E54&gt;=25,"Watch","")))</f>
        <v/>
      </c>
      <c r="I54" s="16"/>
    </row>
  </sheetData>
  <dataValidations count="1">
    <dataValidation allowBlank="true" errorStyle="stop" operator="between" showDropDown="false" showErrorMessage="false" showInputMessage="false" sqref="C5:C54" type="list">
      <formula1>Lists!$F$3:$F$15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4"/>
    <col collapsed="false" customWidth="true" hidden="false" outlineLevel="0" max="6" min="2" style="0" width="17"/>
  </cols>
  <sheetData>
    <row r="1" customFormat="false" ht="17.35" hidden="false" customHeight="false" outlineLevel="0" collapsed="false">
      <c r="A1" s="1" t="s">
        <v>733</v>
      </c>
    </row>
    <row r="2" customFormat="false" ht="15" hidden="false" customHeight="false" outlineLevel="0" collapsed="false">
      <c r="A2" s="2" t="s">
        <v>734</v>
      </c>
    </row>
    <row r="4" customFormat="false" ht="15" hidden="false" customHeight="false" outlineLevel="0" collapsed="false">
      <c r="A4" s="3" t="s">
        <v>735</v>
      </c>
    </row>
    <row r="5" customFormat="false" ht="18" hidden="false" customHeight="true" outlineLevel="0" collapsed="false">
      <c r="A5" s="5" t="s">
        <v>736</v>
      </c>
      <c r="B5" s="5" t="s">
        <v>737</v>
      </c>
    </row>
    <row r="6" customFormat="false" ht="15" hidden="false" customHeight="false" outlineLevel="0" collapsed="false">
      <c r="A6" s="6" t="s">
        <v>738</v>
      </c>
      <c r="B6" s="27" t="n">
        <f aca="false">COUNTA('Full Register'!$A$6:$A$279)</f>
        <v>274</v>
      </c>
    </row>
    <row r="7" customFormat="false" ht="15" hidden="false" customHeight="false" outlineLevel="0" collapsed="false">
      <c r="A7" s="6" t="s">
        <v>739</v>
      </c>
      <c r="B7" s="27" t="n">
        <f aca="false">COUNTIF('Full Register'!$G$6:$G$279,"MANDATORY")</f>
        <v>44</v>
      </c>
    </row>
    <row r="8" customFormat="false" ht="15" hidden="false" customHeight="false" outlineLevel="0" collapsed="false">
      <c r="A8" s="6" t="s">
        <v>740</v>
      </c>
      <c r="B8" s="27" t="n">
        <f aca="false">COUNTIF('Full Register'!$H$6:$H$279,"Full")</f>
        <v>44</v>
      </c>
    </row>
    <row r="9" customFormat="false" ht="15" hidden="false" customHeight="false" outlineLevel="0" collapsed="false">
      <c r="A9" s="6" t="s">
        <v>741</v>
      </c>
      <c r="B9" s="27" t="n">
        <f aca="false">SUMPRODUCT(--('Evidence Pulls'!$S$6:$S$125&gt;0))</f>
        <v>0</v>
      </c>
    </row>
    <row r="10" customFormat="false" ht="15" hidden="false" customHeight="false" outlineLevel="0" collapsed="false">
      <c r="A10" s="6" t="s">
        <v>742</v>
      </c>
      <c r="B10" s="27" t="n">
        <f aca="false">SUMPRODUCT(--('Evidence Pulls'!$U$6:$U$125="Not started"))</f>
        <v>0</v>
      </c>
    </row>
    <row r="11" customFormat="false" ht="15" hidden="false" customHeight="false" outlineLevel="0" collapsed="false">
      <c r="A11" s="6" t="s">
        <v>743</v>
      </c>
      <c r="B11" s="27" t="n">
        <f aca="false">SUMPRODUCT(--('Evidence Pulls'!$A$6:$A$125&lt;&gt;""),--('Evidence Pulls'!$U$6:$U$125&lt;&gt;"OK"),--('Evidence Pulls'!$U$6:$U$125&lt;&gt;"Not started"))</f>
        <v>50</v>
      </c>
    </row>
    <row r="12" customFormat="false" ht="15" hidden="false" customHeight="false" outlineLevel="0" collapsed="false">
      <c r="A12" s="6" t="s">
        <v>744</v>
      </c>
      <c r="B12" s="28" t="n">
        <f aca="false">COUNTA('Full Register'!$J$6:$J$279)</f>
        <v>0</v>
      </c>
    </row>
    <row r="13" customFormat="false" ht="15" hidden="false" customHeight="false" outlineLevel="0" collapsed="false">
      <c r="A13" s="6" t="s">
        <v>745</v>
      </c>
      <c r="B13" s="27" t="n">
        <f aca="false">COUNTA('Full Register'!$K$6:$K$279)</f>
        <v>0</v>
      </c>
    </row>
    <row r="14" customFormat="false" ht="15" hidden="false" customHeight="false" outlineLevel="0" collapsed="false">
      <c r="A14" s="6" t="s">
        <v>746</v>
      </c>
      <c r="B14" s="27" t="n">
        <f aca="false">IFERROR(COUNTA('Full Register'!$N$6:$N$279)/COUNTA('Full Register'!$A$6:$A$279),0)</f>
        <v>0</v>
      </c>
    </row>
    <row r="16" customFormat="false" ht="15" hidden="false" customHeight="false" outlineLevel="0" collapsed="false">
      <c r="A16" s="3" t="s">
        <v>747</v>
      </c>
    </row>
    <row r="17" customFormat="false" ht="18" hidden="false" customHeight="true" outlineLevel="0" collapsed="false">
      <c r="A17" s="8" t="s">
        <v>736</v>
      </c>
      <c r="B17" s="8" t="s">
        <v>737</v>
      </c>
    </row>
    <row r="18" customFormat="false" ht="15" hidden="false" customHeight="false" outlineLevel="0" collapsed="false">
      <c r="A18" s="6" t="s">
        <v>748</v>
      </c>
      <c r="B18" s="27" t="n">
        <f aca="false">COUNTA('Full Register'!$A$6:$A$279)-COUNTIF('Full Register'!$P$6:$P$279,"&gt;0")</f>
        <v>274</v>
      </c>
    </row>
    <row r="19" customFormat="false" ht="15" hidden="false" customHeight="false" outlineLevel="0" collapsed="false">
      <c r="A19" s="6" t="s">
        <v>749</v>
      </c>
      <c r="B19" s="27" t="n">
        <f aca="false">COUNTIF('Full Register'!$G$6:$G$279,"MANDATORY")-COUNTIFS('Full Register'!$G$6:$G$279,"MANDATORY",'Full Register'!$P$6:$P$279,"&gt;0")</f>
        <v>44</v>
      </c>
    </row>
    <row r="20" customFormat="false" ht="15" hidden="false" customHeight="false" outlineLevel="0" collapsed="false">
      <c r="A20" s="6" t="s">
        <v>750</v>
      </c>
      <c r="B20" s="27" t="n">
        <f aca="false">COUNTIF('Full Register'!$P$6:$P$279,1)</f>
        <v>0</v>
      </c>
    </row>
    <row r="21" customFormat="false" ht="15" hidden="false" customHeight="false" outlineLevel="0" collapsed="false">
      <c r="A21" s="6" t="s">
        <v>749</v>
      </c>
      <c r="B21" s="27" t="n">
        <f aca="false">COUNTIFS('Full Register'!$G$6:$G$279,"MANDATORY",'Full Register'!$P$6:$P$279,1)</f>
        <v>0</v>
      </c>
    </row>
    <row r="23" customFormat="false" ht="15" hidden="false" customHeight="false" outlineLevel="0" collapsed="false">
      <c r="A23" s="3" t="s">
        <v>751</v>
      </c>
    </row>
    <row r="24" customFormat="false" ht="18" hidden="false" customHeight="true" outlineLevel="0" collapsed="false">
      <c r="A24" s="5" t="s">
        <v>736</v>
      </c>
      <c r="B24" s="5" t="s">
        <v>737</v>
      </c>
    </row>
    <row r="25" customFormat="false" ht="15" hidden="false" customHeight="false" outlineLevel="0" collapsed="false">
      <c r="A25" s="6" t="s">
        <v>752</v>
      </c>
      <c r="B25" s="27" t="n">
        <f aca="false">COUNTIF('Full Register'!$G$6:$G$279,"MANDATORY")-COUNTIFS('Full Register'!$G$6:$G$279,"MANDATORY",'Full Register'!$O$6:$O$279,"&gt;=3")</f>
        <v>44</v>
      </c>
    </row>
    <row r="26" customFormat="false" ht="15" hidden="false" customHeight="false" outlineLevel="0" collapsed="false">
      <c r="A26" s="6" t="s">
        <v>753</v>
      </c>
      <c r="B26" s="27" t="n">
        <f aca="false">COUNTIFS('Full Register'!$G$6:$G$279,"MANDATORY",'Full Register'!$O$6:$O$279,"&lt;3",'Full Register'!$O$6:$O$279,"&lt;&gt;")</f>
        <v>0</v>
      </c>
    </row>
    <row r="27" customFormat="false" ht="15" hidden="false" customHeight="false" outlineLevel="0" collapsed="false">
      <c r="A27" s="6" t="s">
        <v>754</v>
      </c>
      <c r="B27" s="27" t="n">
        <f aca="false">COUNTIF('Full Register'!$G$6:$G$279,"MANDATORY")-COUNTIFS('Full Register'!$G$6:$G$279,"MANDATORY",'Full Register'!$K$6:$K$279,"&lt;&gt;")</f>
        <v>44</v>
      </c>
    </row>
    <row r="28" customFormat="false" ht="15" hidden="false" customHeight="false" outlineLevel="0" collapsed="false">
      <c r="A28" s="6" t="s">
        <v>755</v>
      </c>
      <c r="B28" s="27" t="n">
        <f aca="false">COUNTIFS('Full Register'!$G$6:$G$279,"MANDATORY",'Full Register'!$L$6:$L$279,"Gap - recommend tailoring")</f>
        <v>0</v>
      </c>
    </row>
    <row r="29" customFormat="false" ht="15" hidden="false" customHeight="false" outlineLevel="0" collapsed="false">
      <c r="A29" s="6" t="s">
        <v>756</v>
      </c>
      <c r="B29" s="27" t="n">
        <f aca="false">COUNTIFS('Full Register'!$T$6:$T$279,"&lt;&gt;OK",'Full Register'!$T$6:$T$279,"&lt;&gt;Not graded")-COUNTIF('Full Register'!$T$6:$T$279,"No evidence pull assigned")</f>
        <v>0</v>
      </c>
    </row>
    <row r="31" customFormat="false" ht="15" hidden="false" customHeight="false" outlineLevel="0" collapsed="false">
      <c r="A31" s="3" t="s">
        <v>757</v>
      </c>
    </row>
    <row r="32" customFormat="false" ht="18" hidden="false" customHeight="true" outlineLevel="0" collapsed="false">
      <c r="A32" s="5" t="s">
        <v>736</v>
      </c>
      <c r="B32" s="5" t="s">
        <v>737</v>
      </c>
    </row>
    <row r="33" customFormat="false" ht="15" hidden="false" customHeight="false" outlineLevel="0" collapsed="false">
      <c r="A33" s="6" t="s">
        <v>95</v>
      </c>
      <c r="B33" s="27" t="n">
        <f aca="false">COUNTIF('Full Register'!$K$6:$K$279,"Effective")</f>
        <v>0</v>
      </c>
    </row>
    <row r="34" customFormat="false" ht="15" hidden="false" customHeight="false" outlineLevel="0" collapsed="false">
      <c r="A34" s="6" t="s">
        <v>92</v>
      </c>
      <c r="B34" s="27" t="n">
        <f aca="false">COUNTIF('Full Register'!$K$6:$K$279,"Operating")</f>
        <v>0</v>
      </c>
    </row>
    <row r="35" customFormat="false" ht="15" hidden="false" customHeight="false" outlineLevel="0" collapsed="false">
      <c r="A35" s="6" t="s">
        <v>89</v>
      </c>
      <c r="B35" s="27" t="n">
        <f aca="false">COUNTIF('Full Register'!$K$6:$K$279,"Deployed")</f>
        <v>0</v>
      </c>
    </row>
    <row r="36" customFormat="false" ht="15" hidden="false" customHeight="false" outlineLevel="0" collapsed="false">
      <c r="A36" s="6" t="s">
        <v>86</v>
      </c>
      <c r="B36" s="27" t="n">
        <f aca="false">COUNTIF('Full Register'!$K$6:$K$279,"Documented")</f>
        <v>0</v>
      </c>
    </row>
    <row r="37" customFormat="false" ht="15" hidden="false" customHeight="false" outlineLevel="0" collapsed="false">
      <c r="A37" s="6" t="s">
        <v>83</v>
      </c>
      <c r="B37" s="27" t="n">
        <f aca="false">COUNTIF('Full Register'!$K$6:$K$279,"Not demonstrated")</f>
        <v>0</v>
      </c>
    </row>
    <row r="38" customFormat="false" ht="15" hidden="false" customHeight="false" outlineLevel="0" collapsed="false">
      <c r="A38" s="6" t="s">
        <v>758</v>
      </c>
      <c r="B38" s="27" t="n">
        <f aca="false">COUNTBLANK('Full Register'!$K$6:$K$279)</f>
        <v>274</v>
      </c>
    </row>
    <row r="40" customFormat="false" ht="15" hidden="false" customHeight="false" outlineLevel="0" collapsed="false">
      <c r="A40" s="3" t="s">
        <v>759</v>
      </c>
    </row>
    <row r="41" customFormat="false" ht="18" hidden="false" customHeight="true" outlineLevel="0" collapsed="false">
      <c r="A41" s="5" t="s">
        <v>736</v>
      </c>
      <c r="B41" s="5" t="s">
        <v>737</v>
      </c>
    </row>
    <row r="42" customFormat="false" ht="15" hidden="false" customHeight="false" outlineLevel="0" collapsed="false">
      <c r="A42" s="6" t="s">
        <v>706</v>
      </c>
      <c r="B42" s="27" t="n">
        <f aca="false">COUNTIF('Full Register'!$S$6:$S$279,"Demonstrated")</f>
        <v>0</v>
      </c>
    </row>
    <row r="43" customFormat="false" ht="15" hidden="false" customHeight="false" outlineLevel="0" collapsed="false">
      <c r="A43" s="6" t="s">
        <v>760</v>
      </c>
      <c r="B43" s="27" t="n">
        <f aca="false">COUNTIF('Full Register'!$S$6:$S$279,"Gap - remediate")</f>
        <v>0</v>
      </c>
    </row>
    <row r="44" customFormat="false" ht="15" hidden="false" customHeight="false" outlineLevel="0" collapsed="false">
      <c r="A44" s="6" t="s">
        <v>703</v>
      </c>
      <c r="B44" s="27" t="n">
        <f aca="false">COUNTIF('Full Register'!$S$6:$S$279,"Gap - risk accept")</f>
        <v>0</v>
      </c>
    </row>
    <row r="45" customFormat="false" ht="15" hidden="false" customHeight="false" outlineLevel="0" collapsed="false">
      <c r="A45" s="6" t="s">
        <v>705</v>
      </c>
      <c r="B45" s="27" t="n">
        <f aca="false">COUNTIF('Full Register'!$S$6:$S$279,"Gap - recommend tailoring")</f>
        <v>0</v>
      </c>
    </row>
    <row r="47" customFormat="false" ht="15" hidden="false" customHeight="false" outlineLevel="0" collapsed="false">
      <c r="A47" s="3" t="s">
        <v>761</v>
      </c>
    </row>
    <row r="48" customFormat="false" ht="24" hidden="false" customHeight="true" outlineLevel="0" collapsed="false">
      <c r="A48" s="8" t="s">
        <v>29</v>
      </c>
      <c r="B48" s="8" t="s">
        <v>762</v>
      </c>
      <c r="C48" s="8" t="s">
        <v>763</v>
      </c>
      <c r="D48" s="8" t="s">
        <v>764</v>
      </c>
    </row>
    <row r="49" customFormat="false" ht="15" hidden="false" customHeight="false" outlineLevel="0" collapsed="false">
      <c r="A49" s="6" t="s">
        <v>704</v>
      </c>
      <c r="B49" s="27" t="n">
        <f aca="false">COUNTIF('Full Register'!$Q$6:$Q$279,A49)</f>
        <v>0</v>
      </c>
      <c r="C49" s="27" t="n">
        <f aca="false">COUNTIFS('Full Register'!$Q$6:$Q$279,A49,'Full Register'!$G$6:$G$279,"MANDATORY")</f>
        <v>0</v>
      </c>
      <c r="D49" s="28" t="n">
        <f aca="false">IFERROR(B49/COUNTA('Full Register'!$A$6:$A$279),0)</f>
        <v>0</v>
      </c>
    </row>
    <row r="50" customFormat="false" ht="15" hidden="false" customHeight="false" outlineLevel="0" collapsed="false">
      <c r="A50" s="6" t="s">
        <v>179</v>
      </c>
      <c r="B50" s="27" t="n">
        <f aca="false">COUNTIF('Full Register'!$Q$6:$Q$279,A50)</f>
        <v>0</v>
      </c>
      <c r="C50" s="27" t="n">
        <f aca="false">COUNTIFS('Full Register'!$Q$6:$Q$279,A50,'Full Register'!$G$6:$G$279,"MANDATORY")</f>
        <v>0</v>
      </c>
      <c r="D50" s="28" t="n">
        <f aca="false">IFERROR(B50/COUNTA('Full Register'!$A$6:$A$279),0)</f>
        <v>0</v>
      </c>
    </row>
    <row r="51" customFormat="false" ht="15" hidden="false" customHeight="false" outlineLevel="0" collapsed="false">
      <c r="A51" s="6" t="s">
        <v>707</v>
      </c>
      <c r="B51" s="27" t="n">
        <f aca="false">COUNTIF('Full Register'!$Q$6:$Q$279,A51)</f>
        <v>0</v>
      </c>
      <c r="C51" s="27" t="n">
        <f aca="false">COUNTIFS('Full Register'!$Q$6:$Q$279,A51,'Full Register'!$G$6:$G$279,"MANDATORY")</f>
        <v>0</v>
      </c>
      <c r="D51" s="28" t="n">
        <f aca="false">IFERROR(B51/COUNTA('Full Register'!$A$6:$A$279),0)</f>
        <v>0</v>
      </c>
    </row>
    <row r="52" customFormat="false" ht="15" hidden="false" customHeight="false" outlineLevel="0" collapsed="false">
      <c r="A52" s="6" t="s">
        <v>708</v>
      </c>
      <c r="B52" s="27" t="n">
        <f aca="false">COUNTIF('Full Register'!$Q$6:$Q$279,A52)</f>
        <v>0</v>
      </c>
      <c r="C52" s="27" t="n">
        <f aca="false">COUNTIFS('Full Register'!$Q$6:$Q$279,A52,'Full Register'!$G$6:$G$279,"MANDATORY")</f>
        <v>0</v>
      </c>
      <c r="D52" s="28" t="n">
        <f aca="false">IFERROR(B52/COUNTA('Full Register'!$A$6:$A$279),0)</f>
        <v>0</v>
      </c>
    </row>
    <row r="53" customFormat="false" ht="15" hidden="false" customHeight="false" outlineLevel="0" collapsed="false">
      <c r="A53" s="6" t="s">
        <v>710</v>
      </c>
      <c r="B53" s="27" t="n">
        <f aca="false">COUNTIF('Full Register'!$Q$6:$Q$279,A53)</f>
        <v>0</v>
      </c>
      <c r="C53" s="27" t="n">
        <f aca="false">COUNTIFS('Full Register'!$Q$6:$Q$279,A53,'Full Register'!$G$6:$G$279,"MANDATORY")</f>
        <v>0</v>
      </c>
      <c r="D53" s="28" t="n">
        <f aca="false">IFERROR(B53/COUNTA('Full Register'!$A$6:$A$279),0)</f>
        <v>0</v>
      </c>
    </row>
    <row r="54" customFormat="false" ht="15" hidden="false" customHeight="false" outlineLevel="0" collapsed="false">
      <c r="A54" s="6" t="s">
        <v>711</v>
      </c>
      <c r="B54" s="27" t="n">
        <f aca="false">COUNTIF('Full Register'!$Q$6:$Q$279,A54)</f>
        <v>0</v>
      </c>
      <c r="C54" s="27" t="n">
        <f aca="false">COUNTIFS('Full Register'!$Q$6:$Q$279,A54,'Full Register'!$G$6:$G$279,"MANDATORY")</f>
        <v>0</v>
      </c>
      <c r="D54" s="28" t="n">
        <f aca="false">IFERROR(B54/COUNTA('Full Register'!$A$6:$A$279),0)</f>
        <v>0</v>
      </c>
    </row>
    <row r="55" customFormat="false" ht="15" hidden="false" customHeight="false" outlineLevel="0" collapsed="false">
      <c r="A55" s="6" t="s">
        <v>712</v>
      </c>
      <c r="B55" s="27" t="n">
        <f aca="false">COUNTIF('Full Register'!$Q$6:$Q$279,A55)</f>
        <v>0</v>
      </c>
      <c r="C55" s="27" t="n">
        <f aca="false">COUNTIFS('Full Register'!$Q$6:$Q$279,A55,'Full Register'!$G$6:$G$279,"MANDATORY")</f>
        <v>0</v>
      </c>
      <c r="D55" s="28" t="n">
        <f aca="false">IFERROR(B55/COUNTA('Full Register'!$A$6:$A$279),0)</f>
        <v>0</v>
      </c>
    </row>
    <row r="56" customFormat="false" ht="15" hidden="false" customHeight="false" outlineLevel="0" collapsed="false">
      <c r="A56" s="6" t="s">
        <v>713</v>
      </c>
      <c r="B56" s="27" t="n">
        <f aca="false">COUNTIF('Full Register'!$Q$6:$Q$279,A56)</f>
        <v>0</v>
      </c>
      <c r="C56" s="27" t="n">
        <f aca="false">COUNTIFS('Full Register'!$Q$6:$Q$279,A56,'Full Register'!$G$6:$G$279,"MANDATORY")</f>
        <v>0</v>
      </c>
      <c r="D56" s="28" t="n">
        <f aca="false">IFERROR(B56/COUNTA('Full Register'!$A$6:$A$279),0)</f>
        <v>0</v>
      </c>
    </row>
    <row r="57" customFormat="false" ht="15" hidden="false" customHeight="false" outlineLevel="0" collapsed="false">
      <c r="A57" s="6" t="s">
        <v>714</v>
      </c>
      <c r="B57" s="27" t="n">
        <f aca="false">COUNTIF('Full Register'!$Q$6:$Q$279,A57)</f>
        <v>0</v>
      </c>
      <c r="C57" s="27" t="n">
        <f aca="false">COUNTIFS('Full Register'!$Q$6:$Q$279,A57,'Full Register'!$G$6:$G$279,"MANDATORY")</f>
        <v>0</v>
      </c>
      <c r="D57" s="28" t="n">
        <f aca="false">IFERROR(B57/COUNTA('Full Register'!$A$6:$A$279),0)</f>
        <v>0</v>
      </c>
    </row>
    <row r="58" customFormat="false" ht="15" hidden="false" customHeight="false" outlineLevel="0" collapsed="false">
      <c r="A58" s="6" t="s">
        <v>715</v>
      </c>
      <c r="B58" s="27" t="n">
        <f aca="false">COUNTIF('Full Register'!$Q$6:$Q$279,A58)</f>
        <v>0</v>
      </c>
      <c r="C58" s="27" t="n">
        <f aca="false">COUNTIFS('Full Register'!$Q$6:$Q$279,A58,'Full Register'!$G$6:$G$279,"MANDATORY")</f>
        <v>0</v>
      </c>
      <c r="D58" s="28" t="n">
        <f aca="false">IFERROR(B58/COUNTA('Full Register'!$A$6:$A$279),0)</f>
        <v>0</v>
      </c>
    </row>
    <row r="59" customFormat="false" ht="15" hidden="false" customHeight="false" outlineLevel="0" collapsed="false">
      <c r="A59" s="6" t="s">
        <v>716</v>
      </c>
      <c r="B59" s="27" t="n">
        <f aca="false">COUNTIF('Full Register'!$Q$6:$Q$279,A59)</f>
        <v>0</v>
      </c>
      <c r="C59" s="27" t="n">
        <f aca="false">COUNTIFS('Full Register'!$Q$6:$Q$279,A59,'Full Register'!$G$6:$G$279,"MANDATORY")</f>
        <v>0</v>
      </c>
      <c r="D59" s="28" t="n">
        <f aca="false">IFERROR(B59/COUNTA('Full Register'!$A$6:$A$279),0)</f>
        <v>0</v>
      </c>
    </row>
    <row r="60" customFormat="false" ht="15" hidden="false" customHeight="false" outlineLevel="0" collapsed="false">
      <c r="A60" s="6" t="s">
        <v>717</v>
      </c>
      <c r="B60" s="27" t="n">
        <f aca="false">COUNTIF('Full Register'!$Q$6:$Q$279,A60)</f>
        <v>0</v>
      </c>
      <c r="C60" s="27" t="n">
        <f aca="false">COUNTIFS('Full Register'!$Q$6:$Q$279,A60,'Full Register'!$G$6:$G$279,"MANDATORY")</f>
        <v>0</v>
      </c>
      <c r="D60" s="28" t="n">
        <f aca="false">IFERROR(B60/COUNTA('Full Register'!$A$6:$A$279),0)</f>
        <v>0</v>
      </c>
    </row>
    <row r="61" customFormat="false" ht="15" hidden="false" customHeight="false" outlineLevel="0" collapsed="false">
      <c r="A61" s="6" t="s">
        <v>718</v>
      </c>
      <c r="B61" s="27" t="n">
        <f aca="false">COUNTIF('Full Register'!$Q$6:$Q$279,A61)</f>
        <v>0</v>
      </c>
      <c r="C61" s="27" t="n">
        <f aca="false">COUNTIFS('Full Register'!$Q$6:$Q$279,A61,'Full Register'!$G$6:$G$279,"MANDATORY")</f>
        <v>0</v>
      </c>
      <c r="D61" s="28" t="n">
        <f aca="false">IFERROR(B61/COUNTA('Full Register'!$A$6:$A$279),0)</f>
        <v>0</v>
      </c>
    </row>
    <row r="63" customFormat="false" ht="15" hidden="false" customHeight="false" outlineLevel="0" collapsed="false">
      <c r="A63" s="3" t="s">
        <v>765</v>
      </c>
    </row>
    <row r="64" customFormat="false" ht="24" hidden="false" customHeight="true" outlineLevel="0" collapsed="false">
      <c r="A64" s="5" t="s">
        <v>114</v>
      </c>
      <c r="B64" s="5" t="s">
        <v>766</v>
      </c>
      <c r="C64" s="5" t="s">
        <v>767</v>
      </c>
      <c r="D64" s="5" t="s">
        <v>768</v>
      </c>
      <c r="E64" s="5" t="s">
        <v>769</v>
      </c>
      <c r="F64" s="5" t="s">
        <v>770</v>
      </c>
    </row>
    <row r="65" customFormat="false" ht="15" hidden="false" customHeight="false" outlineLevel="0" collapsed="false">
      <c r="A65" s="6" t="s">
        <v>128</v>
      </c>
      <c r="B65" s="27" t="n">
        <f aca="false">COUNTIF('Full Register'!$I$6:$I$279,A65)</f>
        <v>21</v>
      </c>
      <c r="C65" s="27" t="n">
        <f aca="false">COUNTIFS('Full Register'!$I$6:$I$279,A65,'Full Register'!$G$6:$G$279,"MANDATORY")</f>
        <v>2</v>
      </c>
      <c r="D65" s="27" t="n">
        <f aca="false">COUNTIFS('Full Register'!$I$6:$I$279,A65,'Full Register'!$K$6:$K$279,"&lt;&gt;")</f>
        <v>0</v>
      </c>
      <c r="E65" s="27" t="n">
        <f aca="false">COUNTIFS('Full Register'!$I$6:$I$279,A65,'Full Register'!$O$6:$O$279,"&gt;=3")</f>
        <v>0</v>
      </c>
      <c r="F65" s="27" t="n">
        <f aca="false">COUNTIF('Full Register'!$I$6:$I$279,A65)-COUNTIFS('Full Register'!$I$6:$I$279,A65,'Full Register'!$P$6:$P$279,"&gt;0")</f>
        <v>21</v>
      </c>
    </row>
    <row r="66" customFormat="false" ht="15" hidden="false" customHeight="false" outlineLevel="0" collapsed="false">
      <c r="A66" s="6" t="s">
        <v>180</v>
      </c>
      <c r="B66" s="27" t="n">
        <f aca="false">COUNTIF('Full Register'!$I$6:$I$279,A66)</f>
        <v>70</v>
      </c>
      <c r="C66" s="27" t="n">
        <f aca="false">COUNTIFS('Full Register'!$I$6:$I$279,A66,'Full Register'!$G$6:$G$279,"MANDATORY")</f>
        <v>6</v>
      </c>
      <c r="D66" s="27" t="n">
        <f aca="false">COUNTIFS('Full Register'!$I$6:$I$279,A66,'Full Register'!$K$6:$K$279,"&lt;&gt;")</f>
        <v>0</v>
      </c>
      <c r="E66" s="27" t="n">
        <f aca="false">COUNTIFS('Full Register'!$I$6:$I$279,A66,'Full Register'!$O$6:$O$279,"&gt;=3")</f>
        <v>0</v>
      </c>
      <c r="F66" s="27" t="n">
        <f aca="false">COUNTIF('Full Register'!$I$6:$I$279,A66)-COUNTIFS('Full Register'!$I$6:$I$279,A66,'Full Register'!$P$6:$P$279,"&gt;0")</f>
        <v>70</v>
      </c>
    </row>
    <row r="67" customFormat="false" ht="15" hidden="false" customHeight="false" outlineLevel="0" collapsed="false">
      <c r="A67" s="6" t="s">
        <v>294</v>
      </c>
      <c r="B67" s="27" t="n">
        <f aca="false">COUNTIF('Full Register'!$I$6:$I$279,A67)</f>
        <v>110</v>
      </c>
      <c r="C67" s="27" t="n">
        <f aca="false">COUNTIFS('Full Register'!$I$6:$I$279,A67,'Full Register'!$G$6:$G$279,"MANDATORY")</f>
        <v>21</v>
      </c>
      <c r="D67" s="27" t="n">
        <f aca="false">COUNTIFS('Full Register'!$I$6:$I$279,A67,'Full Register'!$K$6:$K$279,"&lt;&gt;")</f>
        <v>0</v>
      </c>
      <c r="E67" s="27" t="n">
        <f aca="false">COUNTIFS('Full Register'!$I$6:$I$279,A67,'Full Register'!$O$6:$O$279,"&gt;=3")</f>
        <v>0</v>
      </c>
      <c r="F67" s="27" t="n">
        <f aca="false">COUNTIF('Full Register'!$I$6:$I$279,A67)-COUNTIFS('Full Register'!$I$6:$I$279,A67,'Full Register'!$P$6:$P$279,"&gt;0")</f>
        <v>110</v>
      </c>
    </row>
    <row r="68" customFormat="false" ht="15" hidden="false" customHeight="false" outlineLevel="0" collapsed="false">
      <c r="A68" s="6" t="s">
        <v>484</v>
      </c>
      <c r="B68" s="27" t="n">
        <f aca="false">COUNTIF('Full Register'!$I$6:$I$279,A68)</f>
        <v>73</v>
      </c>
      <c r="C68" s="27" t="n">
        <f aca="false">COUNTIFS('Full Register'!$I$6:$I$279,A68,'Full Register'!$G$6:$G$279,"MANDATORY")</f>
        <v>15</v>
      </c>
      <c r="D68" s="27" t="n">
        <f aca="false">COUNTIFS('Full Register'!$I$6:$I$279,A68,'Full Register'!$K$6:$K$279,"&lt;&gt;")</f>
        <v>0</v>
      </c>
      <c r="E68" s="27" t="n">
        <f aca="false">COUNTIFS('Full Register'!$I$6:$I$279,A68,'Full Register'!$O$6:$O$279,"&gt;=3")</f>
        <v>0</v>
      </c>
      <c r="F68" s="27" t="n">
        <f aca="false">COUNTIF('Full Register'!$I$6:$I$279,A68)-COUNTIFS('Full Register'!$I$6:$I$279,A68,'Full Register'!$P$6:$P$279,"&gt;0")</f>
        <v>73</v>
      </c>
    </row>
    <row r="70" customFormat="false" ht="15" hidden="false" customHeight="false" outlineLevel="0" collapsed="false">
      <c r="A70" s="3" t="s">
        <v>771</v>
      </c>
    </row>
    <row r="71" customFormat="false" ht="15" hidden="false" customHeight="true" outlineLevel="0" collapsed="false">
      <c r="A71" s="10" t="s">
        <v>772</v>
      </c>
      <c r="B71" s="10"/>
      <c r="C71" s="10"/>
      <c r="D71" s="10"/>
      <c r="E71" s="10"/>
      <c r="F71" s="10"/>
    </row>
    <row r="72" customFormat="false" ht="15" hidden="false" customHeight="false" outlineLevel="0" collapsed="false">
      <c r="A72" s="10"/>
      <c r="B72" s="10"/>
      <c r="C72" s="10"/>
      <c r="D72" s="10"/>
      <c r="E72" s="10"/>
      <c r="F72" s="10"/>
    </row>
    <row r="73" customFormat="false" ht="15" hidden="false" customHeight="false" outlineLevel="0" collapsed="false">
      <c r="A73" s="10"/>
      <c r="B73" s="10"/>
      <c r="C73" s="10"/>
      <c r="D73" s="10"/>
      <c r="E73" s="10"/>
      <c r="F73" s="10"/>
    </row>
  </sheetData>
  <mergeCells count="1">
    <mergeCell ref="A71:F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6"/>
    <col collapsed="false" customWidth="true" hidden="false" outlineLevel="0" max="4" min="4" style="0" width="20"/>
    <col collapsed="false" customWidth="true" hidden="false" outlineLevel="0" max="5" min="5" style="0" width="58"/>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26"/>
  </cols>
  <sheetData>
    <row r="1" customFormat="false" ht="17.35" hidden="false" customHeight="false" outlineLevel="0" collapsed="false">
      <c r="A1" s="1" t="s">
        <v>773</v>
      </c>
    </row>
    <row r="2" customFormat="false" ht="15" hidden="false" customHeight="false" outlineLevel="0" collapsed="false">
      <c r="A2" s="2" t="s">
        <v>774</v>
      </c>
    </row>
    <row r="4" customFormat="false" ht="39.75" hidden="false" customHeight="true" outlineLevel="0" collapsed="false">
      <c r="A4" s="13" t="s">
        <v>775</v>
      </c>
      <c r="B4" s="13" t="s">
        <v>776</v>
      </c>
      <c r="C4" s="13" t="s">
        <v>108</v>
      </c>
      <c r="D4" s="13" t="s">
        <v>777</v>
      </c>
      <c r="E4" s="13" t="s">
        <v>778</v>
      </c>
      <c r="F4" s="13" t="s">
        <v>779</v>
      </c>
      <c r="G4" s="13" t="s">
        <v>780</v>
      </c>
      <c r="H4" s="13" t="s">
        <v>781</v>
      </c>
      <c r="I4" s="13" t="s">
        <v>782</v>
      </c>
      <c r="J4" s="13" t="s">
        <v>783</v>
      </c>
      <c r="K4" s="13" t="s">
        <v>784</v>
      </c>
      <c r="L4" s="13" t="s">
        <v>785</v>
      </c>
    </row>
    <row r="5" customFormat="false" ht="22.35" hidden="false" customHeight="false" outlineLevel="0" collapsed="false">
      <c r="A5" s="29" t="s">
        <v>786</v>
      </c>
      <c r="B5" s="29" t="s">
        <v>787</v>
      </c>
      <c r="C5" s="29" t="s">
        <v>788</v>
      </c>
      <c r="D5" s="29" t="s">
        <v>789</v>
      </c>
      <c r="E5" s="29" t="s">
        <v>790</v>
      </c>
      <c r="F5" s="29" t="s">
        <v>791</v>
      </c>
      <c r="G5" s="29" t="s">
        <v>792</v>
      </c>
      <c r="H5" s="29" t="s">
        <v>793</v>
      </c>
      <c r="I5" s="29" t="s">
        <v>794</v>
      </c>
      <c r="J5" s="29" t="s">
        <v>795</v>
      </c>
      <c r="K5" s="29" t="s">
        <v>796</v>
      </c>
      <c r="L5" s="29"/>
    </row>
    <row r="7" customFormat="false" ht="15" hidden="false" customHeight="false" outlineLevel="0" collapsed="false">
      <c r="A7" s="2" t="s">
        <v>797</v>
      </c>
    </row>
  </sheetData>
  <dataValidations count="1">
    <dataValidation allowBlank="true" errorStyle="stop" operator="between" showDropDown="false" showErrorMessage="false" showInputMessage="false" sqref="D5:D400" type="list">
      <formula1>"Execution capacity,Process gap,Tool gap,Training gap,Evidence gap,Effectiveness gap"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6"/>
    <col collapsed="false" customWidth="true" hidden="false" outlineLevel="0" max="3" min="3" style="0" width="26"/>
    <col collapsed="false" customWidth="true" hidden="false" outlineLevel="0" max="4" min="4" style="0" width="18"/>
    <col collapsed="false" customWidth="true" hidden="false" outlineLevel="0" max="5" min="5" style="0" width="14"/>
  </cols>
  <sheetData>
    <row r="1" customFormat="false" ht="17.35" hidden="false" customHeight="false" outlineLevel="0" collapsed="false">
      <c r="A1" s="1" t="s">
        <v>798</v>
      </c>
    </row>
    <row r="2" customFormat="false" ht="15" hidden="false" customHeight="false" outlineLevel="0" collapsed="false">
      <c r="A2" s="2" t="s">
        <v>799</v>
      </c>
    </row>
    <row r="4" customFormat="false" ht="39.75" hidden="false" customHeight="true" outlineLevel="0" collapsed="false">
      <c r="A4" s="13" t="s">
        <v>800</v>
      </c>
      <c r="B4" s="13" t="s">
        <v>801</v>
      </c>
      <c r="C4" s="13" t="s">
        <v>802</v>
      </c>
      <c r="D4" s="13" t="s">
        <v>782</v>
      </c>
      <c r="E4" s="13" t="s">
        <v>803</v>
      </c>
    </row>
    <row r="5" customFormat="false" ht="45.75" hidden="false" customHeight="true" outlineLevel="0" collapsed="false">
      <c r="A5" s="6" t="s">
        <v>804</v>
      </c>
      <c r="B5" s="6" t="s">
        <v>805</v>
      </c>
      <c r="C5" s="6" t="s">
        <v>806</v>
      </c>
      <c r="D5" s="16"/>
      <c r="E5" s="16"/>
    </row>
    <row r="6" customFormat="false" ht="45.75" hidden="false" customHeight="true" outlineLevel="0" collapsed="false">
      <c r="A6" s="6" t="s">
        <v>807</v>
      </c>
      <c r="B6" s="6" t="s">
        <v>808</v>
      </c>
      <c r="C6" s="6" t="s">
        <v>809</v>
      </c>
      <c r="D6" s="16"/>
      <c r="E6" s="16"/>
    </row>
    <row r="7" customFormat="false" ht="45.75" hidden="false" customHeight="true" outlineLevel="0" collapsed="false">
      <c r="A7" s="6" t="s">
        <v>810</v>
      </c>
      <c r="B7" s="6" t="s">
        <v>811</v>
      </c>
      <c r="C7" s="6" t="s">
        <v>812</v>
      </c>
      <c r="D7" s="16"/>
      <c r="E7" s="16"/>
    </row>
    <row r="8" customFormat="false" ht="45.75" hidden="false" customHeight="true" outlineLevel="0" collapsed="false">
      <c r="A8" s="6" t="s">
        <v>813</v>
      </c>
      <c r="B8" s="6" t="s">
        <v>814</v>
      </c>
      <c r="C8" s="6" t="s">
        <v>815</v>
      </c>
      <c r="D8" s="16"/>
      <c r="E8" s="16"/>
    </row>
    <row r="9" customFormat="false" ht="45.75" hidden="false" customHeight="true" outlineLevel="0" collapsed="false">
      <c r="A9" s="6" t="s">
        <v>816</v>
      </c>
      <c r="B9" s="6" t="s">
        <v>817</v>
      </c>
      <c r="C9" s="6" t="s">
        <v>818</v>
      </c>
      <c r="D9" s="16"/>
      <c r="E9" s="16"/>
    </row>
    <row r="10" customFormat="false" ht="45.75" hidden="false" customHeight="true" outlineLevel="0" collapsed="false">
      <c r="A10" s="6" t="s">
        <v>819</v>
      </c>
      <c r="B10" s="6" t="s">
        <v>820</v>
      </c>
      <c r="C10" s="6" t="s">
        <v>821</v>
      </c>
      <c r="D10" s="16"/>
      <c r="E10" s="16"/>
    </row>
    <row r="11" customFormat="false" ht="45.75" hidden="false" customHeight="true" outlineLevel="0" collapsed="false">
      <c r="A11" s="6" t="s">
        <v>822</v>
      </c>
      <c r="B11" s="6" t="s">
        <v>823</v>
      </c>
      <c r="C11" s="6" t="s">
        <v>824</v>
      </c>
      <c r="D11" s="16"/>
      <c r="E11" s="16"/>
    </row>
    <row r="12" customFormat="false" ht="45.75" hidden="false" customHeight="true" outlineLevel="0" collapsed="false">
      <c r="A12" s="6" t="s">
        <v>825</v>
      </c>
      <c r="B12" s="6" t="s">
        <v>826</v>
      </c>
      <c r="C12" s="6" t="s">
        <v>827</v>
      </c>
      <c r="D12" s="16"/>
      <c r="E12" s="16"/>
    </row>
    <row r="13" customFormat="false" ht="45.75" hidden="false" customHeight="true" outlineLevel="0" collapsed="false">
      <c r="A13" s="6" t="s">
        <v>828</v>
      </c>
      <c r="B13" s="6" t="s">
        <v>829</v>
      </c>
      <c r="C13" s="6" t="s">
        <v>827</v>
      </c>
      <c r="D13" s="16"/>
      <c r="E13" s="16"/>
    </row>
    <row r="14" customFormat="false" ht="15" hidden="false" customHeight="false" outlineLevel="0" collapsed="false">
      <c r="A14" s="3" t="s">
        <v>830</v>
      </c>
    </row>
    <row r="15" customFormat="false" ht="15" hidden="false" customHeight="false" outlineLevel="0" collapsed="false">
      <c r="A15" s="23" t="s">
        <v>831</v>
      </c>
      <c r="B15" s="23" t="s">
        <v>832</v>
      </c>
    </row>
    <row r="16" customFormat="false" ht="15" hidden="false" customHeight="false" outlineLevel="0" collapsed="false">
      <c r="A16" s="23" t="s">
        <v>833</v>
      </c>
      <c r="B16" s="23" t="s">
        <v>834</v>
      </c>
    </row>
    <row r="17" customFormat="false" ht="15" hidden="false" customHeight="false" outlineLevel="0" collapsed="false">
      <c r="A17" s="23" t="s">
        <v>835</v>
      </c>
      <c r="B17" s="23" t="s">
        <v>836</v>
      </c>
    </row>
    <row r="18" customFormat="false" ht="15" hidden="false" customHeight="false" outlineLevel="0" collapsed="false">
      <c r="A18" s="23" t="s">
        <v>837</v>
      </c>
      <c r="B18" s="23" t="s">
        <v>838</v>
      </c>
    </row>
    <row r="19" customFormat="false" ht="15" hidden="false" customHeight="false" outlineLevel="0" collapsed="false">
      <c r="A19" s="23" t="s">
        <v>839</v>
      </c>
      <c r="B19" s="23" t="s">
        <v>840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2026-08-18T16:23:11Z</dcterms:created>
  <dc:creator>openpyxl</dc:creator>
  <dc:description/>
  <dc:language>en-US</dc:language>
  <cp:lastModifiedBy/>
  <dcterms:modified xsi:type="dcterms:W3CDTF">2026-08-18T16:23:11Z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