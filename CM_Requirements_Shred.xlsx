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Requirements" sheetId="2" state="visible" r:id="rId4"/>
    <sheet name="Principles" sheetId="3" state="visible" r:id="rId5"/>
    <sheet name="References" sheetId="4" state="visible" r:id="rId6"/>
    <sheet name="Summary" sheetId="5" state="visible" r:id="rId7"/>
  </sheets>
  <definedNames>
    <definedName function="false" hidden="true" localSheetId="2" name="_xlnm._FilterDatabase" vbProcedure="false">Principles!$A$1:$E$41</definedName>
    <definedName function="false" hidden="true" localSheetId="1" name="_xlnm._FilterDatabase" vbProcedure="false">Requirements!$A$1:$T$407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<sst xmlns="http://schemas.openxmlformats.org/spreadsheetml/2006/main" count="4775" uniqueCount="1550">
  <si>
    <t xml:space="preserve">Configuration Management Requirements — Shred / Compliance Matrix</t>
  </si>
  <si>
    <t xml:space="preserve">Source document: Pure_shred.docx (Configuration Management Requirements)</t>
  </si>
  <si>
    <t xml:space="preserve">What this workbook contains</t>
  </si>
  <si>
    <t xml:space="preserve">Requirements</t>
  </si>
  <si>
    <t xml:space="preserve">Every numbered paragraph of the source, one per row, with its clause reference, parent context, obligation verb and cited references. Blank columns O–T are yours to fill in.</t>
  </si>
  <si>
    <t xml:space="preserve">Principles</t>
  </si>
  <si>
    <t xml:space="preserve">The boxed "Principle CM-x / CMP-x / CI-x / CCM-x" statements, kept separate because they are stated intent rather than directly verifiable requirements.</t>
  </si>
  <si>
    <t xml:space="preserve">References</t>
  </si>
  <si>
    <t xml:space="preserve">Every Data Item Description (DI-xxxx-xxxxx) and external standard cited, with the clauses that cite it.</t>
  </si>
  <si>
    <t xml:space="preserve">Summary</t>
  </si>
  <si>
    <t xml:space="preserve">Counts by section and live compliance roll-up. Updates automatically as you fill in the matrix.</t>
  </si>
  <si>
    <t xml:space="preserve">Columns you fill in (shaded yellow on the Requirements tab)</t>
  </si>
  <si>
    <t xml:space="preserve">O  Compliance Status</t>
  </si>
  <si>
    <t xml:space="preserve">Comply / Comply with Exception / Not Comply / Not Applicable / Not Yet Assessed</t>
  </si>
  <si>
    <t xml:space="preserve">P  Applicability</t>
  </si>
  <si>
    <t xml:space="preserve">Applicable / Tailored Out / Not Applicable — use to record contract tailoring</t>
  </si>
  <si>
    <t xml:space="preserve">Q  Verification Method</t>
  </si>
  <si>
    <t xml:space="preserve">Inspection / Analysis / Demonstration / Test / Audit / Document Review</t>
  </si>
  <si>
    <t xml:space="preserve">R  Implementing Document</t>
  </si>
  <si>
    <t xml:space="preserve">Your CMP paragraph, procedure or work instruction that satisfies the clause</t>
  </si>
  <si>
    <t xml:space="preserve">S  Owner</t>
  </si>
  <si>
    <t xml:space="preserve">Person or function accountable</t>
  </si>
  <si>
    <t xml:space="preserve">T  Comments</t>
  </si>
  <si>
    <t xml:space="preserve">Rationale, exceptions, action items</t>
  </si>
  <si>
    <t xml:space="preserve">Example of a completed row</t>
  </si>
  <si>
    <t xml:space="preserve">Req ID</t>
  </si>
  <si>
    <t xml:space="preserve">Clause Ref</t>
  </si>
  <si>
    <t xml:space="preserve">Requirement Text</t>
  </si>
  <si>
    <t xml:space="preserve">Compliance Status</t>
  </si>
  <si>
    <t xml:space="preserve">Verification Method</t>
  </si>
  <si>
    <t xml:space="preserve">Implementing Document</t>
  </si>
  <si>
    <t xml:space="preserve">Owner</t>
  </si>
  <si>
    <t xml:space="preserve">REQ-003</t>
  </si>
  <si>
    <t xml:space="preserve">3(2)</t>
  </si>
  <si>
    <t xml:space="preserve">The Supplier shall require its Sub-suppliers to comply with or suitably tailor the same CM requirements that are being imposed upon the Supplier.</t>
  </si>
  <si>
    <t xml:space="preserve">Comply</t>
  </si>
  <si>
    <t xml:space="preserve">Audit</t>
  </si>
  <si>
    <t xml:space="preserve">CMP-100 Rev C, §4.2 (flow-down clause)</t>
  </si>
  <si>
    <t xml:space="preserve">J. Rivera, CM Lead</t>
  </si>
  <si>
    <t xml:space="preserve">Note on section numbering</t>
  </si>
  <si>
    <t xml:space="preserve">The Word file restarts its outline numbering at 1, but the document refers to itself as section 3 — "Apply the criteria identified in 3.2.1" and "listed in 3.1.1". Column C therefore uses the document’s own numbering (3 through 3.5.5), so clause references here match the cross-references in the text and the source standard. Column D keeps the number as it renders in the DOCX (1 through 1.5.5) so any row can still be traced back to the file on screen. Everything below the section level — the (1)/(2), a./b., and i./ii. levels — is reproduced exactly as numbered in the document. Separately, four passages were repaired where the diagonal copy-control watermark had collided with the body text and removed the spaces between words; wording was restored from the rendered document.</t>
  </si>
  <si>
    <t xml:space="preserve">Section</t>
  </si>
  <si>
    <t xml:space="preserve">Section (as rendered in DOCX)</t>
  </si>
  <si>
    <t xml:space="preserve">Section Title</t>
  </si>
  <si>
    <t xml:space="preserve">Level</t>
  </si>
  <si>
    <t xml:space="preserve">Item Type</t>
  </si>
  <si>
    <t xml:space="preserve">Obligation</t>
  </si>
  <si>
    <t xml:space="preserve">Responsible Party</t>
  </si>
  <si>
    <t xml:space="preserve">Compliance Required</t>
  </si>
  <si>
    <t xml:space="preserve">Parent Clause / Context</t>
  </si>
  <si>
    <t xml:space="preserve">Cited DIDs</t>
  </si>
  <si>
    <t xml:space="preserve">Cited References</t>
  </si>
  <si>
    <t xml:space="preserve">Applicability</t>
  </si>
  <si>
    <t xml:space="preserve">Comments</t>
  </si>
  <si>
    <t xml:space="preserve">REQ-001</t>
  </si>
  <si>
    <t xml:space="preserve">3(1)</t>
  </si>
  <si>
    <t xml:space="preserve">3</t>
  </si>
  <si>
    <t xml:space="preserve">1</t>
  </si>
  <si>
    <t xml:space="preserve">CONFIGURATION MANAGEMENT REQUIREMENTS</t>
  </si>
  <si>
    <t xml:space="preserve">Requirement</t>
  </si>
  <si>
    <t xml:space="preserve">Shall</t>
  </si>
  <si>
    <t xml:space="preserve">Supplier</t>
  </si>
  <si>
    <t xml:space="preserve">Yes</t>
  </si>
  <si>
    <t xml:space="preserve">The Supplier shall comply with CM requirements in this document as tailored in the contract.</t>
  </si>
  <si>
    <t xml:space="preserve">REQ-002</t>
  </si>
  <si>
    <t xml:space="preserve">Note</t>
  </si>
  <si>
    <t xml:space="preserve">Must</t>
  </si>
  <si>
    <t xml:space="preserve">No</t>
  </si>
  <si>
    <t xml:space="preserve">NOTE: This requirement must be included as part of the contract.</t>
  </si>
  <si>
    <t xml:space="preserve">REQ-004</t>
  </si>
  <si>
    <t xml:space="preserve">3(3)</t>
  </si>
  <si>
    <t xml:space="preserve">The Supplier shall establish and execute a CM process to control all configuration documentation representing or comprising the configuration item.</t>
  </si>
  <si>
    <t xml:space="preserve">REQ-005</t>
  </si>
  <si>
    <t xml:space="preserve">3(4)</t>
  </si>
  <si>
    <t xml:space="preserve">The Supplier shall support the Acquirer’s requests to audit and verify Supplier and Sub-supplier CM process requirements.</t>
  </si>
  <si>
    <t xml:space="preserve">REQ-006</t>
  </si>
  <si>
    <t xml:space="preserve">3.1(1)</t>
  </si>
  <si>
    <t xml:space="preserve">3.1</t>
  </si>
  <si>
    <t xml:space="preserve">1.1</t>
  </si>
  <si>
    <t xml:space="preserve">Planning and Management</t>
  </si>
  <si>
    <t xml:space="preserve">Supplier shall perform CM planning to define the following factors:</t>
  </si>
  <si>
    <t xml:space="preserve">REQ-007</t>
  </si>
  <si>
    <t xml:space="preserve">3.1(1)a</t>
  </si>
  <si>
    <t xml:space="preserve">Sub-requirement</t>
  </si>
  <si>
    <t xml:space="preserve">Shall (inherited)</t>
  </si>
  <si>
    <t xml:space="preserve">Objectives of the CM program and of each applicable CM element.</t>
  </si>
  <si>
    <t xml:space="preserve">REQ-008</t>
  </si>
  <si>
    <t xml:space="preserve">3.1(1)b</t>
  </si>
  <si>
    <t xml:space="preserve">Appropriate level of CM activity for each CM function throughout the product’s life cycle.</t>
  </si>
  <si>
    <t xml:space="preserve">REQ-009</t>
  </si>
  <si>
    <t xml:space="preserve">3.1(1)c</t>
  </si>
  <si>
    <t xml:space="preserve">CM organization and organizational relationships.</t>
  </si>
  <si>
    <t xml:space="preserve">REQ-010</t>
  </si>
  <si>
    <t xml:space="preserve">3.1(1)d</t>
  </si>
  <si>
    <t xml:space="preserve">Responsibilities and authority of CM professionals.</t>
  </si>
  <si>
    <t xml:space="preserve">REQ-011</t>
  </si>
  <si>
    <t xml:space="preserve">3.1(1)e</t>
  </si>
  <si>
    <t xml:space="preserve">CM resources to be used (tools, techniques, training, and methodologies).</t>
  </si>
  <si>
    <t xml:space="preserve">REQ-012</t>
  </si>
  <si>
    <t xml:space="preserve">3.1(1)f</t>
  </si>
  <si>
    <t xml:space="preserve">Supplier / Acquirer</t>
  </si>
  <si>
    <t xml:space="preserve">Coordination activities to be used with internal and external agencies (e.g., Acquirer, other Suppliers, other Government agencies, foreign governments).</t>
  </si>
  <si>
    <t xml:space="preserve">REQ-013</t>
  </si>
  <si>
    <t xml:space="preserve">3.1(1)g</t>
  </si>
  <si>
    <t xml:space="preserve">Functions, responsibility, and authority of CCBs.</t>
  </si>
  <si>
    <t xml:space="preserve">REQ-014</t>
  </si>
  <si>
    <t xml:space="preserve">3.1(1)h</t>
  </si>
  <si>
    <t xml:space="preserve">A release process for product configuration documentation.</t>
  </si>
  <si>
    <t xml:space="preserve">REQ-015</t>
  </si>
  <si>
    <t xml:space="preserve">3.1(1)i</t>
  </si>
  <si>
    <t xml:space="preserve">Methods used to determine the effectiveness of Sub-supplier/Sub-vendor CM processes, to include actions when determination of CM processes are ineffective.</t>
  </si>
  <si>
    <t xml:space="preserve">REQ-016</t>
  </si>
  <si>
    <t xml:space="preserve">3.1(1)j</t>
  </si>
  <si>
    <t xml:space="preserve">CSA activities for creating, editing, reviewing, approving, releasing, publishing, and distributing product configuration documentation and configuration change documentation.</t>
  </si>
  <si>
    <t xml:space="preserve">REQ-017</t>
  </si>
  <si>
    <t xml:space="preserve">3.1(1)k</t>
  </si>
  <si>
    <t xml:space="preserve">Identification and labeling structure for Configuration Items.</t>
  </si>
  <si>
    <t xml:space="preserve">REQ-018</t>
  </si>
  <si>
    <t xml:space="preserve">May</t>
  </si>
  <si>
    <t xml:space="preserve">NOTE: The Acquiring Activity may cite DI-SESS-80858 Supplier's Configuration Management Plan and DI-MISC- 80508 Technical Report–Study/Services, for specifying the delivery of the data product that emanates from meeting this requirement.</t>
  </si>
  <si>
    <t xml:space="preserve">DI-MISC-80508; DI-SESS-80858</t>
  </si>
  <si>
    <t xml:space="preserve">REQ-019</t>
  </si>
  <si>
    <t xml:space="preserve">3.1.1</t>
  </si>
  <si>
    <t xml:space="preserve">1.1.1</t>
  </si>
  <si>
    <t xml:space="preserve">Monitoring Configuration Management Performance</t>
  </si>
  <si>
    <t xml:space="preserve">Guidance</t>
  </si>
  <si>
    <t xml:space="preserve">Acquirer</t>
  </si>
  <si>
    <t xml:space="preserve">The purpose of monitoring an organization’s CM performance is to assess, appraise, and evaluate the value of its CM processes in order to provide continuous improvements of the processes. Assessments can be conducted with Acquirer oversight and agreed upon by both parties during the project’s life cycle.</t>
  </si>
  <si>
    <t xml:space="preserve">REQ-020</t>
  </si>
  <si>
    <t xml:space="preserve">3.1.1(1)</t>
  </si>
  <si>
    <t xml:space="preserve">The Supplier shall include in their Configuration Management Plan (CMP) a methodology for generating, measuring, and reporting CM performance data.</t>
  </si>
  <si>
    <t xml:space="preserve">REQ-021</t>
  </si>
  <si>
    <t xml:space="preserve">3.1.1(2)</t>
  </si>
  <si>
    <t xml:space="preserve">The Supplier shall make CM performance data available to the Acquirer.</t>
  </si>
  <si>
    <t xml:space="preserve">REQ-022</t>
  </si>
  <si>
    <t xml:space="preserve">Suggested performance metrics may include but are not limited to:</t>
  </si>
  <si>
    <t xml:space="preserve">REQ-023</t>
  </si>
  <si>
    <t xml:space="preserve">3.1.1(2)a</t>
  </si>
  <si>
    <t xml:space="preserve">Number of open changes and variances awaiting Acquirer disposition</t>
  </si>
  <si>
    <t xml:space="preserve">REQ-024</t>
  </si>
  <si>
    <t xml:space="preserve">3.1.1(2)b</t>
  </si>
  <si>
    <t xml:space="preserve">Number of closed Supplier changes and variances</t>
  </si>
  <si>
    <t xml:space="preserve">REQ-025</t>
  </si>
  <si>
    <t xml:space="preserve">3.1.1(2)c</t>
  </si>
  <si>
    <t xml:space="preserve">Number of minor changes/variances</t>
  </si>
  <si>
    <t xml:space="preserve">REQ-026</t>
  </si>
  <si>
    <t xml:space="preserve">3.1.1(2)d</t>
  </si>
  <si>
    <t xml:space="preserve">Number of major changes/variances</t>
  </si>
  <si>
    <t xml:space="preserve">REQ-027</t>
  </si>
  <si>
    <t xml:space="preserve">3.1.1(2)e</t>
  </si>
  <si>
    <t xml:space="preserve">Change processing cycle time</t>
  </si>
  <si>
    <t xml:space="preserve">REQ-028</t>
  </si>
  <si>
    <t xml:space="preserve">3.1.1(2)f</t>
  </si>
  <si>
    <t xml:space="preserve">Average amount of time (days) changes or variances remain open</t>
  </si>
  <si>
    <t xml:space="preserve">REQ-029</t>
  </si>
  <si>
    <t xml:space="preserve">3.1.1(2)g</t>
  </si>
  <si>
    <t xml:space="preserve">Percentage of requests for change/variance by category, nomenclature, Configuration Item identifier number, etc.</t>
  </si>
  <si>
    <t xml:space="preserve">REQ-030</t>
  </si>
  <si>
    <t xml:space="preserve">3.1.1(2)h</t>
  </si>
  <si>
    <t xml:space="preserve">Change request rejection rate and reason for rejection</t>
  </si>
  <si>
    <t xml:space="preserve">REQ-031</t>
  </si>
  <si>
    <t xml:space="preserve">3.1.2(1)</t>
  </si>
  <si>
    <t xml:space="preserve">3.1.2</t>
  </si>
  <si>
    <t xml:space="preserve">1.1.2</t>
  </si>
  <si>
    <t xml:space="preserve">Supplier’s Configuration Management Plan</t>
  </si>
  <si>
    <t xml:space="preserve">Supplier shall submit to the Acquirer for review and approval the CM Plan describing the processes, methods and procedures used to manage the functional and physical characteristics of the assigned CI(s) for the life of the contract and shall include the CM performance of Sub-tier suppliers.</t>
  </si>
  <si>
    <t xml:space="preserve">REQ-032</t>
  </si>
  <si>
    <t xml:space="preserve">NOTE: The Acquiring Activity may cite DI-SESS-80858 Supplier's Configuration Management Plan, for specifying the delivery of the data product that emanates from meeting this requirement.</t>
  </si>
  <si>
    <t xml:space="preserve">DI-SESS-80858</t>
  </si>
  <si>
    <t xml:space="preserve">REQ-033</t>
  </si>
  <si>
    <t xml:space="preserve">3.1.3(1)</t>
  </si>
  <si>
    <t xml:space="preserve">3.1.3</t>
  </si>
  <si>
    <t xml:space="preserve">1.1.3</t>
  </si>
  <si>
    <t xml:space="preserve">Technical Reviews</t>
  </si>
  <si>
    <t xml:space="preserve">The Supplier shall provide configuration documentation to support each Technical Review.</t>
  </si>
  <si>
    <t xml:space="preserve">REQ-034</t>
  </si>
  <si>
    <t xml:space="preserve">These reviews may include the following:</t>
  </si>
  <si>
    <t xml:space="preserve">REQ-035</t>
  </si>
  <si>
    <t xml:space="preserve">3.1.3(1)a</t>
  </si>
  <si>
    <t xml:space="preserve">Alternative Systems Review (ASR)</t>
  </si>
  <si>
    <t xml:space="preserve">REQ-036</t>
  </si>
  <si>
    <t xml:space="preserve">3.1.3(1)b</t>
  </si>
  <si>
    <t xml:space="preserve">System Requirements Review (SRR)</t>
  </si>
  <si>
    <t xml:space="preserve">REQ-037</t>
  </si>
  <si>
    <t xml:space="preserve">3.1.3(1)c</t>
  </si>
  <si>
    <t xml:space="preserve">System Functional Review (SFR) (establishing the Functional Baseline)</t>
  </si>
  <si>
    <t xml:space="preserve">REQ-038</t>
  </si>
  <si>
    <t xml:space="preserve">3.1.3(1)d</t>
  </si>
  <si>
    <t xml:space="preserve">Preliminary Design Review (PDR) (establishing Allocated Baseline)</t>
  </si>
  <si>
    <t xml:space="preserve">REQ-039</t>
  </si>
  <si>
    <t xml:space="preserve">3.1.3(1)e</t>
  </si>
  <si>
    <t xml:space="preserve">Critical Design Review (CDR) (establishing the Product Baseline (initial))</t>
  </si>
  <si>
    <t xml:space="preserve">REQ-040</t>
  </si>
  <si>
    <t xml:space="preserve">3.1.3(1)f</t>
  </si>
  <si>
    <t xml:space="preserve">Test Readiness Review (TRR)</t>
  </si>
  <si>
    <t xml:space="preserve">REQ-041</t>
  </si>
  <si>
    <t xml:space="preserve">3.1.3(1)g</t>
  </si>
  <si>
    <t xml:space="preserve">System Verification Review (SVR)</t>
  </si>
  <si>
    <t xml:space="preserve">REQ-042</t>
  </si>
  <si>
    <t xml:space="preserve">3.1.3(1)h</t>
  </si>
  <si>
    <t xml:space="preserve">Production Readiness Review (PRR)</t>
  </si>
  <si>
    <t xml:space="preserve">REQ-043</t>
  </si>
  <si>
    <t xml:space="preserve">3.1.3(1)i</t>
  </si>
  <si>
    <t xml:space="preserve">Other technical reviews, whether periodic or ad hoc, as prescribed by the contract</t>
  </si>
  <si>
    <t xml:space="preserve">REQ-044</t>
  </si>
  <si>
    <t xml:space="preserve">NOTE: Refer to reference IEEE 15288.2 Technical Reviews and Audits on Defense Programs for how the reviews are to be conducted.</t>
  </si>
  <si>
    <t xml:space="preserve">IEEE 15288.2</t>
  </si>
  <si>
    <t xml:space="preserve">REQ-045</t>
  </si>
  <si>
    <t xml:space="preserve">3.1.4(1)</t>
  </si>
  <si>
    <t xml:space="preserve">3.1.4</t>
  </si>
  <si>
    <t xml:space="preserve">1.1.4</t>
  </si>
  <si>
    <t xml:space="preserve">Product Configuration Documentation Processes</t>
  </si>
  <si>
    <t xml:space="preserve">The Supplier shall address contractually specified product configuration documentation requirements in its CMP, especially data handling, processing, storage, retention, integrity, transfer, releasability/disclosure, security, and maintenance documentation requirements.</t>
  </si>
  <si>
    <t xml:space="preserve">REQ-046</t>
  </si>
  <si>
    <t xml:space="preserve">3.1.4(2)</t>
  </si>
  <si>
    <t xml:space="preserve">The Supplier shall inform the Acquirer of any requirements that will be imposed on the Acquirer to maintain the security and integrity of shared data.</t>
  </si>
  <si>
    <t xml:space="preserve">REQ-047</t>
  </si>
  <si>
    <t xml:space="preserve">3.2</t>
  </si>
  <si>
    <t xml:space="preserve">1.2</t>
  </si>
  <si>
    <t xml:space="preserve">Configuration Identification</t>
  </si>
  <si>
    <t xml:space="preserve">The purpose of Configuration Identification is to establish and maintain a definitive basis for control and status accounting for a product and associated configuration documentation as it evolves throughout its life cycle. The responsibility for configuration documentation information is passed between design engineering and CM as it is developed, analyzed at design reviews, and then officially managed by CM to become part of formal baselines.</t>
  </si>
  <si>
    <t xml:space="preserve">REQ-048</t>
  </si>
  <si>
    <t xml:space="preserve">3.2(1)</t>
  </si>
  <si>
    <t xml:space="preserve">The Supplier shall use a documented process for configuration identification.</t>
  </si>
  <si>
    <t xml:space="preserve">REQ-049</t>
  </si>
  <si>
    <t xml:space="preserve">3.2(2)</t>
  </si>
  <si>
    <t xml:space="preserve">The Supplier shall accomplish the following for hardware, software, and services:</t>
  </si>
  <si>
    <t xml:space="preserve">REQ-050</t>
  </si>
  <si>
    <t xml:space="preserve">3.2(2)a</t>
  </si>
  <si>
    <t xml:space="preserve">Apply the criteria identified in 3.2.1 to select Configuration Items.</t>
  </si>
  <si>
    <t xml:space="preserve">REQ-051</t>
  </si>
  <si>
    <t xml:space="preserve">3.2(2)b</t>
  </si>
  <si>
    <t xml:space="preserve">Establish a Configuration Item structure and hierarchy.</t>
  </si>
  <si>
    <t xml:space="preserve">REQ-052</t>
  </si>
  <si>
    <t xml:space="preserve">3.2(2)c</t>
  </si>
  <si>
    <t xml:space="preserve">Select configuration documentation to be used to define configuration baselines for each CI.</t>
  </si>
  <si>
    <t xml:space="preserve">REQ-053</t>
  </si>
  <si>
    <t xml:space="preserve">3.2(2)d</t>
  </si>
  <si>
    <t xml:space="preserve">Identify and control interfaces.</t>
  </si>
  <si>
    <t xml:space="preserve">REQ-054</t>
  </si>
  <si>
    <t xml:space="preserve">3.2(2)e</t>
  </si>
  <si>
    <t xml:space="preserve">Will</t>
  </si>
  <si>
    <t xml:space="preserve">Assign identifiers (i.e., enterprise, product, unit, group, and document) to Configuration Items and their component parts and associated configuration documentation. This will include DAI and PIN including prefixes and suffixes, and serial, lot, or batch numbers will remain the same, with a specific Acquirer type designation, as appropriate.</t>
  </si>
  <si>
    <t xml:space="preserve">REQ-055</t>
  </si>
  <si>
    <t xml:space="preserve">3.2(2)f</t>
  </si>
  <si>
    <t xml:space="preserve">Whenever an item is modified to a new configuration that is not interchangeable with the existing configuration, the part or identifying number (PIN) must change. Although the PIN is changing, the part must retain its original unit identifier (batch, lot, or serial number) to provide traceability to the original configuration.</t>
  </si>
  <si>
    <t xml:space="preserve">REQ-056</t>
  </si>
  <si>
    <t xml:space="preserve">3.2(2)g</t>
  </si>
  <si>
    <t xml:space="preserve">Include the CAGE Code of the design activity for hardware and software and affix those CAGE codes to all Configuration Items, their subordinate parts and assemblies, configuration documentation, software media, and products.</t>
  </si>
  <si>
    <t xml:space="preserve">REQ-057</t>
  </si>
  <si>
    <t xml:space="preserve">3.2(2)h</t>
  </si>
  <si>
    <t xml:space="preserve">Place each item of configuration documentation (e.g., item, material, or process specifications) and software specification, Software Version Description (SVD), etc. under configuration control.</t>
  </si>
  <si>
    <t xml:space="preserve">REQ-058</t>
  </si>
  <si>
    <t xml:space="preserve">3.2(2)i</t>
  </si>
  <si>
    <t xml:space="preserve">Establish and manage the functional, allocated and product baselines at the appropriate points in the system/Configuration Item life cycle.</t>
  </si>
  <si>
    <t xml:space="preserve">REQ-059</t>
  </si>
  <si>
    <t xml:space="preserve">3.2(2)j</t>
  </si>
  <si>
    <t xml:space="preserve">Mark or label items and documentation with their applicable identifiers that correlates to the item, configuration documentation and other associated data.</t>
  </si>
  <si>
    <t xml:space="preserve">REQ-060</t>
  </si>
  <si>
    <t xml:space="preserve">3.2(2)k</t>
  </si>
  <si>
    <t xml:space="preserve">Obtain Acquirer approval of the type designation and nomenclature for each Configuration Item that is designated by the Acquirer for control, tracking and logistics purposes.</t>
  </si>
  <si>
    <t xml:space="preserve">REQ-061</t>
  </si>
  <si>
    <t xml:space="preserve">NOTE: Refer to MIL-STD-196 Joint Electronics Type Designation System, MIL-STD-1464 Army Nomenclature System, MIL-STD-1661 Mark and Mod Nomenclature System, ASME Y 14.100 Engineering Drawing and Related Documentation Practices.</t>
  </si>
  <si>
    <t xml:space="preserve">ASME Y 14.100; MIL-STD-1464; MIL-STD-1661; MIL-STD-196</t>
  </si>
  <si>
    <t xml:space="preserve">REQ-062</t>
  </si>
  <si>
    <t xml:space="preserve">NOTE: Refer to DODI 5230.24 Distribution Statements on Technical Documents.</t>
  </si>
  <si>
    <t xml:space="preserve">DODI 5230.24</t>
  </si>
  <si>
    <t xml:space="preserve">REQ-063</t>
  </si>
  <si>
    <t xml:space="preserve">NOTE: The Acquiring Activity may cite DI-SESS-81254 Request for Nomenclature, DI-SESS-81121 Baseline Description Document, for specifying the delivery of the data product that emanates from meeting this requirement.</t>
  </si>
  <si>
    <t xml:space="preserve">DI-SESS-81121; DI-SESS-81254</t>
  </si>
  <si>
    <t xml:space="preserve">REQ-064</t>
  </si>
  <si>
    <t xml:space="preserve">3.2(3)</t>
  </si>
  <si>
    <t xml:space="preserve">In addition to the list above, the Supplier shall accomplish the following for software:</t>
  </si>
  <si>
    <t xml:space="preserve">REQ-065</t>
  </si>
  <si>
    <t xml:space="preserve">3.2(3)a</t>
  </si>
  <si>
    <t xml:space="preserve">Assign system product-unique identifiers to elements of the software development environment such as Commercial-Off-the-Shelf (COTS) development products like compilers, linkers, loaders, binary developmental libraries, configuration settings, automation scripts, and other elements that are part of the system and will conform to the format specified in the CMP.</t>
  </si>
  <si>
    <t xml:space="preserve">REQ-066</t>
  </si>
  <si>
    <t xml:space="preserve">3.2(3)b</t>
  </si>
  <si>
    <t xml:space="preserve">Provide a part number representing the device with the embedded code (in cases where both the hardware device and the embedded code are controlled via a single engineering Altered Item Drawing).</t>
  </si>
  <si>
    <t xml:space="preserve">REQ-067</t>
  </si>
  <si>
    <t xml:space="preserve">3.2(3)c</t>
  </si>
  <si>
    <t xml:space="preserve">Part number and the software medium is labeled with the Supplier’s code/name identification and marked separately on the device.</t>
  </si>
  <si>
    <t xml:space="preserve">REQ-068</t>
  </si>
  <si>
    <t xml:space="preserve">3.2(3)d</t>
  </si>
  <si>
    <t xml:space="preserve">Designate computer software as Configuration Items.</t>
  </si>
  <si>
    <t xml:space="preserve">REQ-069</t>
  </si>
  <si>
    <t xml:space="preserve">NOTE: The Acquiring Activity may cite DI-SESS-81011 Drawing/Model Number Assignment Report, for specifying the delivery of the data product that emanates from meeting this requirement.</t>
  </si>
  <si>
    <t xml:space="preserve">DI-SESS-81011</t>
  </si>
  <si>
    <t xml:space="preserve">REQ-070</t>
  </si>
  <si>
    <t xml:space="preserve">3.2.1(1)</t>
  </si>
  <si>
    <t xml:space="preserve">3.2.1</t>
  </si>
  <si>
    <t xml:space="preserve">1.2.1</t>
  </si>
  <si>
    <t xml:space="preserve">Configuration Item Selection</t>
  </si>
  <si>
    <t xml:space="preserve">The Supplier shall select and submit potential CIs for Acquirer review and selection concurrence.</t>
  </si>
  <si>
    <t xml:space="preserve">REQ-071</t>
  </si>
  <si>
    <t xml:space="preserve">3.2.1(2)</t>
  </si>
  <si>
    <t xml:space="preserve">The Supplier shall identify as a Configuration Item any item that satisfies a system end use function and designates it for separate CM because the item meets or impacts one or more of the following:</t>
  </si>
  <si>
    <t xml:space="preserve">REQ-072</t>
  </si>
  <si>
    <t xml:space="preserve">3.2.1(2)a</t>
  </si>
  <si>
    <t xml:space="preserve">An item critical to the functioning of the system.</t>
  </si>
  <si>
    <t xml:space="preserve">REQ-073</t>
  </si>
  <si>
    <t xml:space="preserve">3.2.1(2)b</t>
  </si>
  <si>
    <t xml:space="preserve">An item whose failure might result in serious injury, loss of life or loss of primary system capability.</t>
  </si>
  <si>
    <t xml:space="preserve">REQ-074</t>
  </si>
  <si>
    <t xml:space="preserve">3.2.1(2)c</t>
  </si>
  <si>
    <t xml:space="preserve">An item whose technology is complex, not well known, and critical to meeting acquisition, operational or supportability goals of the program.</t>
  </si>
  <si>
    <t xml:space="preserve">REQ-075</t>
  </si>
  <si>
    <t xml:space="preserve">3.2.1(2)d</t>
  </si>
  <si>
    <t xml:space="preserve">Is under control as designated by the Acquirer.</t>
  </si>
  <si>
    <t xml:space="preserve">REQ-076</t>
  </si>
  <si>
    <t xml:space="preserve">3.2.1(2)e</t>
  </si>
  <si>
    <t xml:space="preserve">Requires separate type designation, versions, or nomenclatures.</t>
  </si>
  <si>
    <t xml:space="preserve">REQ-077</t>
  </si>
  <si>
    <t xml:space="preserve">3.2.1(2)f</t>
  </si>
  <si>
    <t xml:space="preserve">Is critical or high risk and failure would have significant financial impact.</t>
  </si>
  <si>
    <t xml:space="preserve">REQ-078</t>
  </si>
  <si>
    <t xml:space="preserve">3.2.1(2)g</t>
  </si>
  <si>
    <t xml:space="preserve">Requires any one or more of the following logistics elements:</t>
  </si>
  <si>
    <t xml:space="preserve">REQ-079</t>
  </si>
  <si>
    <t xml:space="preserve">3.2.1(2)g.1</t>
  </si>
  <si>
    <t xml:space="preserve">Supply support Allowance Parts List (APL)</t>
  </si>
  <si>
    <t xml:space="preserve">REQ-080</t>
  </si>
  <si>
    <t xml:space="preserve">3.2.1(2)g.2</t>
  </si>
  <si>
    <t xml:space="preserve">Supply support Allowance Equipage List (AEL)</t>
  </si>
  <si>
    <t xml:space="preserve">REQ-081</t>
  </si>
  <si>
    <t xml:space="preserve">3.2.1(2)g.3</t>
  </si>
  <si>
    <t xml:space="preserve">Supply support Allowance Component List (ACL)</t>
  </si>
  <si>
    <t xml:space="preserve">REQ-082</t>
  </si>
  <si>
    <t xml:space="preserve">3.2.1(2)g.4</t>
  </si>
  <si>
    <t xml:space="preserve">Test equipment (e.g., General Purpose, Special Purpose, or Built-in)</t>
  </si>
  <si>
    <t xml:space="preserve">REQ-083</t>
  </si>
  <si>
    <t xml:space="preserve">3.2.1(2)g.5</t>
  </si>
  <si>
    <t xml:space="preserve">Technical manuals</t>
  </si>
  <si>
    <t xml:space="preserve">REQ-084</t>
  </si>
  <si>
    <t xml:space="preserve">3.2.1(2)g.6</t>
  </si>
  <si>
    <t xml:space="preserve">Planned Maintenance System (PMS) Maintenance Index Pages (MIP) and Maintenance Requirement Cards (MRC)</t>
  </si>
  <si>
    <t xml:space="preserve">REQ-085</t>
  </si>
  <si>
    <t xml:space="preserve">3.2.1(2)g.7</t>
  </si>
  <si>
    <t xml:space="preserve">Danger or Caution Tag Out requirements</t>
  </si>
  <si>
    <t xml:space="preserve">REQ-086</t>
  </si>
  <si>
    <t xml:space="preserve">NOTE: The Acquiring Activity may cite DI-SESS-81254 Request for Nomenclature and DI-SESS-82007 Configuration Item Documentation Recommendation, for specifying the delivery of the data products that emanates from meeting this requirement.</t>
  </si>
  <si>
    <t xml:space="preserve">DI-SESS-81254; DI-SESS-82007</t>
  </si>
  <si>
    <t xml:space="preserve">REQ-087</t>
  </si>
  <si>
    <t xml:space="preserve">3.2.2(1)</t>
  </si>
  <si>
    <t xml:space="preserve">3.2.2</t>
  </si>
  <si>
    <t xml:space="preserve">1.2.2</t>
  </si>
  <si>
    <t xml:space="preserve">Engineering Release System</t>
  </si>
  <si>
    <t xml:space="preserve">The Supplier shall use an Engineering Release process, which employs formal release records to authorize the use of new or revised configuration documentation.</t>
  </si>
  <si>
    <t xml:space="preserve">REQ-088</t>
  </si>
  <si>
    <t xml:space="preserve">3.2.2(2)</t>
  </si>
  <si>
    <t xml:space="preserve">The Supplier shall use an engineering release system to issue initial and subsequent approved, including minor changes to the product configuration documentation.</t>
  </si>
  <si>
    <t xml:space="preserve">REQ-089</t>
  </si>
  <si>
    <t xml:space="preserve">3.2.2(3)</t>
  </si>
  <si>
    <t xml:space="preserve">The Supplier shall use an engineering release process to authorize the use of configuration documentation associated with an approved configuration.</t>
  </si>
  <si>
    <t xml:space="preserve">REQ-090</t>
  </si>
  <si>
    <t xml:space="preserve">3.2.2(4)</t>
  </si>
  <si>
    <t xml:space="preserve">The Supplier shall incorporate approved configuration documentation and Engineering Release Record into their CSA system.</t>
  </si>
  <si>
    <t xml:space="preserve">REQ-091</t>
  </si>
  <si>
    <t xml:space="preserve">NOTE: The Acquiring Activity may cite DI-SESS-80463 Engineering Release Record for specifying the delivery of the data product that emanates from meeting this requirement.</t>
  </si>
  <si>
    <t xml:space="preserve">DI-SESS-80463</t>
  </si>
  <si>
    <t xml:space="preserve">REQ-092</t>
  </si>
  <si>
    <t xml:space="preserve">3.2.3</t>
  </si>
  <si>
    <t xml:space="preserve">1.2.3</t>
  </si>
  <si>
    <t xml:space="preserve">Configuration Baselines Types</t>
  </si>
  <si>
    <t xml:space="preserve">There are three major configuration baseline types established during the life cycle of a product: Functional (FBL), Allocated (ABL) and Product (PBL). The FBL and ABL are part of the design requirements development process and used as inputs to the detailed design realization process. The PBL constitutes the final output of the design realization process. Each of these baselines must be maintained and configuration controlled by the acquiring activity or supplying activity as required by the contract.</t>
  </si>
  <si>
    <t xml:space="preserve">REQ-093</t>
  </si>
  <si>
    <t xml:space="preserve">3.2.3.1(1)</t>
  </si>
  <si>
    <t xml:space="preserve">3.2.3.1</t>
  </si>
  <si>
    <t xml:space="preserve">1.2.3.1</t>
  </si>
  <si>
    <t xml:space="preserve">Configuration Baselines and Their Configuration Documentation</t>
  </si>
  <si>
    <t xml:space="preserve">The Supplier shall generate the configuration documentation required for the configuration baselines being established by the Acquirer, as tailored in the contract.</t>
  </si>
  <si>
    <t xml:space="preserve">REQ-094</t>
  </si>
  <si>
    <t xml:space="preserve">NOTE: The Acquiring Activity may use MIL-STD-31000 Technical Data Packages and its associated Data Item Descriptions (DIDs) for specifying the delivery of the data product that emanates from meeting this requirement.</t>
  </si>
  <si>
    <t xml:space="preserve">MIL-STD-31000</t>
  </si>
  <si>
    <t xml:space="preserve">REQ-095</t>
  </si>
  <si>
    <t xml:space="preserve">3.2.3.1(2)</t>
  </si>
  <si>
    <t xml:space="preserve">The Supplier shall trace each succeeding baseline to its predecessor(s) including a detailed extension.</t>
  </si>
  <si>
    <t xml:space="preserve">REQ-096</t>
  </si>
  <si>
    <t xml:space="preserve">3.2.3.2(1)</t>
  </si>
  <si>
    <t xml:space="preserve">3.2.3.2</t>
  </si>
  <si>
    <t xml:space="preserve">1.2.3.2</t>
  </si>
  <si>
    <t xml:space="preserve">Functional Configuration Documentation (FCD)</t>
  </si>
  <si>
    <t xml:space="preserve">The supplier shall document the FBL of a system by:</t>
  </si>
  <si>
    <t xml:space="preserve">REQ-097</t>
  </si>
  <si>
    <t xml:space="preserve">3.2.3.2(1)a</t>
  </si>
  <si>
    <t xml:space="preserve">Describing its functional, performance, interoperability, and interface requirements.</t>
  </si>
  <si>
    <t xml:space="preserve">REQ-098</t>
  </si>
  <si>
    <t xml:space="preserve">3.2.3.2(1)b</t>
  </si>
  <si>
    <t xml:space="preserve">Describing the verifications required to demonstrate achievement of those requirements.</t>
  </si>
  <si>
    <t xml:space="preserve">REQ-099</t>
  </si>
  <si>
    <t xml:space="preserve">3.2.3.2(1)c</t>
  </si>
  <si>
    <t xml:space="preserve">Identifying any specialized software and documenting the operating environment used to author the above requirements.</t>
  </si>
  <si>
    <t xml:space="preserve">REQ-100</t>
  </si>
  <si>
    <t xml:space="preserve">NOTE: The FBL is made up of the contract and the A-level specification, End Item, or System level specification.</t>
  </si>
  <si>
    <t xml:space="preserve">REQ-101</t>
  </si>
  <si>
    <t xml:space="preserve">3.2.3.2.1(1)</t>
  </si>
  <si>
    <t xml:space="preserve">3.2.3.2.1</t>
  </si>
  <si>
    <t xml:space="preserve">1.2.3.2.1</t>
  </si>
  <si>
    <t xml:space="preserve">Allocated Configuration Documentation (ACD)</t>
  </si>
  <si>
    <t xml:space="preserve">The Supplier shall document the ABL of a Configuration Item by:</t>
  </si>
  <si>
    <t xml:space="preserve">REQ-102</t>
  </si>
  <si>
    <t xml:space="preserve">3.2.3.2.1(1)a</t>
  </si>
  <si>
    <t xml:space="preserve">Describing its functional, performance, and interoperability requirements that are allocated from those of a system or higher-level Configuration Item, and interface requirements with interfacing Configuration Items.</t>
  </si>
  <si>
    <t xml:space="preserve">REQ-103</t>
  </si>
  <si>
    <t xml:space="preserve">3.2.3.2.1(1)b</t>
  </si>
  <si>
    <t xml:space="preserve">REQ-104</t>
  </si>
  <si>
    <t xml:space="preserve">3.2.3.2.1(1)c</t>
  </si>
  <si>
    <t xml:space="preserve">REQ-105</t>
  </si>
  <si>
    <t xml:space="preserve">3.2.3.2.2(1)</t>
  </si>
  <si>
    <t xml:space="preserve">3.2.3.2.2</t>
  </si>
  <si>
    <t xml:space="preserve">1.2.3.2.2</t>
  </si>
  <si>
    <t xml:space="preserve">Product Configuration Documentation (PCD)</t>
  </si>
  <si>
    <t xml:space="preserve">The Supplier shall document the PBL of a Configuration Item by:</t>
  </si>
  <si>
    <t xml:space="preserve">REQ-106</t>
  </si>
  <si>
    <t xml:space="preserve">3.2.3.2.2(1)a</t>
  </si>
  <si>
    <t xml:space="preserve">Describing its detailed design including necessary physical (form, fit, and function) characteristics and selected functional/performance requirements selected for production test, qualification, and acceptance test.</t>
  </si>
  <si>
    <t xml:space="preserve">REQ-107</t>
  </si>
  <si>
    <t xml:space="preserve">3.2.3.2.2(1)b</t>
  </si>
  <si>
    <t xml:space="preserve">Identifying the verifications necessary for accepting product deliveries (first article and acceptance instructions).</t>
  </si>
  <si>
    <t xml:space="preserve">REQ-108</t>
  </si>
  <si>
    <t xml:space="preserve">3.2.3.2.2(1)c</t>
  </si>
  <si>
    <t xml:space="preserve">Identifying and documenting the design of any special tooling, software, equipment, and facilities required to manufacture, operate, maintain, calibrate, or inspect items contained in the design.</t>
  </si>
  <si>
    <t xml:space="preserve">REQ-109</t>
  </si>
  <si>
    <t xml:space="preserve">3.2.3.2.2(1)d</t>
  </si>
  <si>
    <t xml:space="preserve">Identifying and documenting the design of any special packaging parts required to package the CI.</t>
  </si>
  <si>
    <t xml:space="preserve">REQ-110</t>
  </si>
  <si>
    <t xml:space="preserve">3.2.3.2.2(1)e</t>
  </si>
  <si>
    <t xml:space="preserve">Including any form, fit, function and quality assurance provisions required to accept deliveries of the Configuration Item (first article or acceptance inspection).</t>
  </si>
  <si>
    <t xml:space="preserve">REQ-111</t>
  </si>
  <si>
    <t xml:space="preserve">3.2.3.2.2(1)f</t>
  </si>
  <si>
    <t xml:space="preserve">Including any unique process specifications required to manufacture, operate, maintain, or calibrate items contained in the design.</t>
  </si>
  <si>
    <t xml:space="preserve">REQ-112</t>
  </si>
  <si>
    <t xml:space="preserve">3.2.3.2.2(1)g</t>
  </si>
  <si>
    <t xml:space="preserve">Identifying any specialized software and documenting the operating environment used to author the detailed design.</t>
  </si>
  <si>
    <t xml:space="preserve">REQ-113</t>
  </si>
  <si>
    <t xml:space="preserve">3.2.3.2.2(1)h</t>
  </si>
  <si>
    <t xml:space="preserve">If required by contract, may include technical data, which provides instructions for the installation, operation, maintenance, training, and support of a system or equipment.</t>
  </si>
  <si>
    <t xml:space="preserve">REQ-114</t>
  </si>
  <si>
    <t xml:space="preserve">3.2.3.2.2(1)i</t>
  </si>
  <si>
    <t xml:space="preserve">Identifying and documenting any COTS hardware or software used in the detailed design.</t>
  </si>
  <si>
    <t xml:space="preserve">REQ-115</t>
  </si>
  <si>
    <t xml:space="preserve">3.2.3.2.2(2)</t>
  </si>
  <si>
    <t xml:space="preserve">The Supplier shall document the PBL of a privately developed Configuration Item by including any verification provisions required to accept deliveries of the Configuration Item (first article or acceptance inspection).</t>
  </si>
  <si>
    <t xml:space="preserve">REQ-116</t>
  </si>
  <si>
    <t xml:space="preserve">3.2.3.3(1)</t>
  </si>
  <si>
    <t xml:space="preserve">3.2.3.3</t>
  </si>
  <si>
    <t xml:space="preserve">1.2.3.3</t>
  </si>
  <si>
    <t xml:space="preserve">Maintenance of Configuration Documentation</t>
  </si>
  <si>
    <t xml:space="preserve">The Supplier shall maintain the current approved configuration documentation by creating a new revision to configuration documentation after the change approval, unless it applies to only TDPs controlled by the Supplier, or unless otherwise stated in the contract or agreement. The new revision to the configuration document shall provide traceability by detailing conditions before and after the change is incorporated and by identifying the change as the revision authority.</t>
  </si>
  <si>
    <t xml:space="preserve">REQ-117</t>
  </si>
  <si>
    <t xml:space="preserve">3.2.4(1)</t>
  </si>
  <si>
    <t xml:space="preserve">3.2.4</t>
  </si>
  <si>
    <t xml:space="preserve">1.2.4</t>
  </si>
  <si>
    <t xml:space="preserve">Configuration Identifiers</t>
  </si>
  <si>
    <t xml:space="preserve">The Supplier shall uniquely identify each CI. Each Configuration Item and component shall be assigned a unique product identifier (e.g., PN/PIN).</t>
  </si>
  <si>
    <t xml:space="preserve">REQ-118</t>
  </si>
  <si>
    <t xml:space="preserve">3.2.4(2)</t>
  </si>
  <si>
    <t xml:space="preserve">The Supplier shall determine the types of configuration documentation required for each Configuration Item and component.</t>
  </si>
  <si>
    <t xml:space="preserve">REQ-119</t>
  </si>
  <si>
    <t xml:space="preserve">3.2.4(3)</t>
  </si>
  <si>
    <t xml:space="preserve">The Supplier shall assign unique identifier and other identifiers for the Configuration Item and to the technical documentation that comprises the Configuration Item configuration documentation.</t>
  </si>
  <si>
    <t xml:space="preserve">REQ-120</t>
  </si>
  <si>
    <t xml:space="preserve">3.2.4(4)</t>
  </si>
  <si>
    <t xml:space="preserve">The design document identifier (i.e., CAD model, engineering drawing) shall be the same as, or traceable to, the PN/PIN.</t>
  </si>
  <si>
    <t xml:space="preserve">REQ-121</t>
  </si>
  <si>
    <t xml:space="preserve">3.2.4.1(1)</t>
  </si>
  <si>
    <t xml:space="preserve">3.2.4.1</t>
  </si>
  <si>
    <t xml:space="preserve">1.2.4.1</t>
  </si>
  <si>
    <t xml:space="preserve">Product Identification/Marking</t>
  </si>
  <si>
    <t xml:space="preserve">The Supplier shall identify all Configuration Items including their sets, groups, units, assemblies, subassemblies, parts, or other items by marking in accordance with MIL-STD-130, MIL-STD-1285, or MIL-STD-13231, as applicable.</t>
  </si>
  <si>
    <t xml:space="preserve">MIL-STD-1285; MIL-STD-130; MIL-STD-13231</t>
  </si>
  <si>
    <t xml:space="preserve">REQ-122</t>
  </si>
  <si>
    <t xml:space="preserve">3.2.4.1(2)</t>
  </si>
  <si>
    <t xml:space="preserve">The Supplier shall adhere to DoD Item Unique Identification (IUID) directives, instructions, and standards as tailored in the contract.</t>
  </si>
  <si>
    <t xml:space="preserve">REQ-123</t>
  </si>
  <si>
    <t xml:space="preserve">NOTE: For DoD IUID directives, instructions and standards for each applicable Unique Identification and Unique Item Identifier CI, refer to MIL-STD-130.</t>
  </si>
  <si>
    <t xml:space="preserve">MIL-STD-130</t>
  </si>
  <si>
    <t xml:space="preserve">REQ-124</t>
  </si>
  <si>
    <t xml:space="preserve">3.2.4.1(3)</t>
  </si>
  <si>
    <t xml:space="preserve">When required in acquisition documents, IUID marking shall be in accordance with MIL-STD-130. Identification marking may be applied direct to an item or by separate means in accordance with MIL-DTL-15024.</t>
  </si>
  <si>
    <t xml:space="preserve">REQ-125</t>
  </si>
  <si>
    <t xml:space="preserve">3.2.4.1(4)</t>
  </si>
  <si>
    <t xml:space="preserve">For Configuration Items marked with Unique Item Identifier (UII), the Supplier shall check DoD IUID Registry to determine that the UII has not been previously assigned to an item.</t>
  </si>
  <si>
    <t xml:space="preserve">REQ-126</t>
  </si>
  <si>
    <t xml:space="preserve">3.2.4.2(1)</t>
  </si>
  <si>
    <t xml:space="preserve">3.2.4.2</t>
  </si>
  <si>
    <t xml:space="preserve">1.2.4.2</t>
  </si>
  <si>
    <t xml:space="preserve">Software Marking and Labeling</t>
  </si>
  <si>
    <t xml:space="preserve">The Supplier shall mark and label software as follows:</t>
  </si>
  <si>
    <t xml:space="preserve">REQ-127</t>
  </si>
  <si>
    <t xml:space="preserve">3.2.4.2(1)a</t>
  </si>
  <si>
    <t xml:space="preserve">Embed software identifier and version in the source and executable code header including technical and administrative.</t>
  </si>
  <si>
    <t xml:space="preserve">REQ-128</t>
  </si>
  <si>
    <t xml:space="preserve">3.2.4.2(1)b</t>
  </si>
  <si>
    <t xml:space="preserve">Mark each software medium (e.g., disks, hard drives) with a label to include distribution statement, ITAR statement and classification and that all identifiers shall be repeated on the media, as applicable.</t>
  </si>
  <si>
    <t xml:space="preserve">REQ-129</t>
  </si>
  <si>
    <t xml:space="preserve">3.2.4.2(1)c</t>
  </si>
  <si>
    <t xml:space="preserve">Each label shall contain, or provide cross-reference to, a list of the applicable software identifiers of the entities it contains.</t>
  </si>
  <si>
    <t xml:space="preserve">REQ-130</t>
  </si>
  <si>
    <t xml:space="preserve">3.2.4.2(1)d</t>
  </si>
  <si>
    <t xml:space="preserve">The label shall also indicate the status of the software maturity on the medium (i.e., whether this software is a release candidate or if the software has been tested and verified).</t>
  </si>
  <si>
    <t xml:space="preserve">REQ-131</t>
  </si>
  <si>
    <t xml:space="preserve">3.2.4.2(1)e</t>
  </si>
  <si>
    <t xml:space="preserve">Mark with a label all Computer Software Configuration Items deliverable media. Label shall contain:</t>
  </si>
  <si>
    <t xml:space="preserve">REQ-132</t>
  </si>
  <si>
    <t xml:space="preserve">3.2.4.2(1)e.1</t>
  </si>
  <si>
    <t xml:space="preserve">Acquirer Contract number.</t>
  </si>
  <si>
    <t xml:space="preserve">REQ-133</t>
  </si>
  <si>
    <t xml:space="preserve">3.2.4.2(1)e.2</t>
  </si>
  <si>
    <t xml:space="preserve">Computer Software Configuration Items Number (include a designator indicating whether source or executable code).</t>
  </si>
  <si>
    <t xml:space="preserve">REQ-134</t>
  </si>
  <si>
    <t xml:space="preserve">3.2.4.2(1)e.3</t>
  </si>
  <si>
    <t xml:space="preserve">Design activity CAGE Code.</t>
  </si>
  <si>
    <t xml:space="preserve">REQ-135</t>
  </si>
  <si>
    <t xml:space="preserve">3.2.4.2(1)e.4</t>
  </si>
  <si>
    <t xml:space="preserve">Media Number (e.g., 1 of 2, 2 of 2) if there are multiple units per set. Each time a new version of software is issued, new copy numbers, starting from one, must be assigned.</t>
  </si>
  <si>
    <t xml:space="preserve">REQ-136</t>
  </si>
  <si>
    <t xml:space="preserve">3.2.5.1(1)</t>
  </si>
  <si>
    <t xml:space="preserve">3.2.5.1</t>
  </si>
  <si>
    <t xml:space="preserve">1.2.5.1</t>
  </si>
  <si>
    <t xml:space="preserve">Interface Identification and Documentation</t>
  </si>
  <si>
    <t xml:space="preserve">The Supplier shall identify the internal and external interface requirements for the system and its Configuration Items.</t>
  </si>
  <si>
    <t xml:space="preserve">REQ-137</t>
  </si>
  <si>
    <t xml:space="preserve">3.2.5.1(2)</t>
  </si>
  <si>
    <t xml:space="preserve">The Supplier shall incorporate into the FCD, ACD, and PCD all interface information.</t>
  </si>
  <si>
    <t xml:space="preserve">REQ-138</t>
  </si>
  <si>
    <t xml:space="preserve">3.2.5.1(3)</t>
  </si>
  <si>
    <t xml:space="preserve">The Supplier shall maintain configuration control of interface requirements defined in baseline specifications.</t>
  </si>
  <si>
    <t xml:space="preserve">REQ-139</t>
  </si>
  <si>
    <t xml:space="preserve">NOTE: The Acquiring Activity may cite DI-SESS-81248 Interface Control Document, for specifying the delivery of the data product that emanates from meeting this requirement.</t>
  </si>
  <si>
    <t xml:space="preserve">DI-SESS-81248</t>
  </si>
  <si>
    <t xml:space="preserve">REQ-140</t>
  </si>
  <si>
    <t xml:space="preserve">3.2.5.2(1)</t>
  </si>
  <si>
    <t xml:space="preserve">3.2.5.2</t>
  </si>
  <si>
    <t xml:space="preserve">1.2.5.2</t>
  </si>
  <si>
    <t xml:space="preserve">Interface Control Working Group (ICWG) Membership</t>
  </si>
  <si>
    <t xml:space="preserve">Each interfacing Supplier shall support and provide a representative to the Acquirer’s ICWG.</t>
  </si>
  <si>
    <t xml:space="preserve">REQ-141</t>
  </si>
  <si>
    <t xml:space="preserve">3.2.5.2(2)</t>
  </si>
  <si>
    <t xml:space="preserve">The ICWG Supplier representative shall be empowered to:</t>
  </si>
  <si>
    <t xml:space="preserve">REQ-142</t>
  </si>
  <si>
    <t xml:space="preserve">3.2.5.2(2)a</t>
  </si>
  <si>
    <t xml:space="preserve">Commit the interfacing Sub-supplier to specific interface actions and agreements.</t>
  </si>
  <si>
    <t xml:space="preserve">REQ-143</t>
  </si>
  <si>
    <t xml:space="preserve">3.2.5.2(2)b</t>
  </si>
  <si>
    <t xml:space="preserve">Provide assigned and agreed-to draft interface control documentation at a specified period prior to the Acquirer’s ICWG meeting where it will be discussed.</t>
  </si>
  <si>
    <t xml:space="preserve">REQ-144</t>
  </si>
  <si>
    <t xml:space="preserve">3.2.5.2(2)c</t>
  </si>
  <si>
    <t xml:space="preserve">Update, release, control, and re-release interface control documentation reflecting the ICWG decisions.</t>
  </si>
  <si>
    <t xml:space="preserve">REQ-145</t>
  </si>
  <si>
    <t xml:space="preserve">3.2.5.2(2)d</t>
  </si>
  <si>
    <t xml:space="preserve">Distribute copies of such released interface control documentation to other ICWG participants.</t>
  </si>
  <si>
    <t xml:space="preserve">REQ-146</t>
  </si>
  <si>
    <t xml:space="preserve">3.3(1)</t>
  </si>
  <si>
    <t xml:space="preserve">3.3</t>
  </si>
  <si>
    <t xml:space="preserve">1.3</t>
  </si>
  <si>
    <t xml:space="preserve">Configuration Change Management</t>
  </si>
  <si>
    <t xml:space="preserve">The Supplier shall apply configuration control to each Configuration Item and its components and configuration documentation.</t>
  </si>
  <si>
    <t xml:space="preserve">REQ-147</t>
  </si>
  <si>
    <t xml:space="preserve">3.3(2)</t>
  </si>
  <si>
    <t xml:space="preserve">The Supplier shall confirm that:</t>
  </si>
  <si>
    <t xml:space="preserve">REQ-148</t>
  </si>
  <si>
    <t xml:space="preserve">3.3(2)a</t>
  </si>
  <si>
    <t xml:space="preserve">Configuration baselines are maintained and controlled.</t>
  </si>
  <si>
    <t xml:space="preserve">REQ-149</t>
  </si>
  <si>
    <t xml:space="preserve">3.3(2)b</t>
  </si>
  <si>
    <t xml:space="preserve">Configuration identification control of all Configuration Items and their associated configuration documentation is maintained.</t>
  </si>
  <si>
    <t xml:space="preserve">REQ-150</t>
  </si>
  <si>
    <t xml:space="preserve">3.3(2)c</t>
  </si>
  <si>
    <t xml:space="preserve">Product configuration changes and variances are documented, coordinated, evaluated, dispositioned, and recorded in a configuration status accounting system and reported to the Acquirer.</t>
  </si>
  <si>
    <t xml:space="preserve">REQ-151</t>
  </si>
  <si>
    <t xml:space="preserve">3.3(2)d</t>
  </si>
  <si>
    <t xml:space="preserve">Requested configuration changes and variances address all areas of impact, to include cost, operational, sustainment, implementation actions (e.g., ordering material, designing tooling, manufacturing planning, and interface design, support equipment, software code, producing parts, retrofit).</t>
  </si>
  <si>
    <t xml:space="preserve">REQ-152</t>
  </si>
  <si>
    <t xml:space="preserve">3.3(2)e</t>
  </si>
  <si>
    <t xml:space="preserve">Released/approved configuration changes are incorporated into all product configuration information including the CM/status accounting system, and implemented into each product/CI/component impacted in a timely manner.</t>
  </si>
  <si>
    <t xml:space="preserve">REQ-153</t>
  </si>
  <si>
    <t xml:space="preserve">3.3(2)f</t>
  </si>
  <si>
    <t xml:space="preserve">Released/approved configuration changes are verified as being incorporated in product configuration information to maintain control and consistency, as well as, prepare release authorization documentation.</t>
  </si>
  <si>
    <t xml:space="preserve">REQ-154</t>
  </si>
  <si>
    <t xml:space="preserve">3.3(2)g</t>
  </si>
  <si>
    <t xml:space="preserve">Released/approved variance corrective actions are implemented and verified.</t>
  </si>
  <si>
    <t xml:space="preserve">REQ-155</t>
  </si>
  <si>
    <t xml:space="preserve">3.3(3)</t>
  </si>
  <si>
    <t xml:space="preserve">Supplier shall support a joint Acquirer/Supplier Configuration Control Board(s).</t>
  </si>
  <si>
    <t xml:space="preserve">REQ-156</t>
  </si>
  <si>
    <t xml:space="preserve">3.3.1(1)</t>
  </si>
  <si>
    <t xml:space="preserve">3.3.1</t>
  </si>
  <si>
    <t xml:space="preserve">1.3.1</t>
  </si>
  <si>
    <t xml:space="preserve">Engineering Change Proposal (ECP)</t>
  </si>
  <si>
    <t xml:space="preserve">The Supplier shall use an ECP to document changes to the approved baseline(s) via their configuration documentation and submit to the Acquirer or Acquirer’s designated change authority.</t>
  </si>
  <si>
    <t xml:space="preserve">REQ-157</t>
  </si>
  <si>
    <t xml:space="preserve">3.3.1.1(1)</t>
  </si>
  <si>
    <t xml:space="preserve">3.3.1.1</t>
  </si>
  <si>
    <t xml:space="preserve">1.3.1.1</t>
  </si>
  <si>
    <t xml:space="preserve">Engineering Change Process</t>
  </si>
  <si>
    <t xml:space="preserve">When an engineering change affects documentation previously approved by the Acquirer, the Supplier shall perform the following actions:</t>
  </si>
  <si>
    <t xml:space="preserve">REQ-158</t>
  </si>
  <si>
    <t xml:space="preserve">3.3.1.1(1)a</t>
  </si>
  <si>
    <t xml:space="preserve">Define the need for the change.</t>
  </si>
  <si>
    <t xml:space="preserve">REQ-159</t>
  </si>
  <si>
    <t xml:space="preserve">3.3.1.1(1)b</t>
  </si>
  <si>
    <t xml:space="preserve">Review product model and other technical data to determine what specific changes will need to be made.</t>
  </si>
  <si>
    <t xml:space="preserve">REQ-160</t>
  </si>
  <si>
    <t xml:space="preserve">3.3.1.1(1)c</t>
  </si>
  <si>
    <t xml:space="preserve">Prepare an ECP, Notice of Revision (NOR) and technical data supporting the change.</t>
  </si>
  <si>
    <t xml:space="preserve">REQ-161</t>
  </si>
  <si>
    <t xml:space="preserve">3.3.1.1(1)d</t>
  </si>
  <si>
    <t xml:space="preserve">Prepare a separate ECP for each engineering change, which has its own distinct objective.</t>
  </si>
  <si>
    <t xml:space="preserve">REQ-162</t>
  </si>
  <si>
    <t xml:space="preserve">3.3.1.1(1)e</t>
  </si>
  <si>
    <t xml:space="preserve">Incorporate the approved ECP into the configuration documentation in a timely manner (unless otherwise stated in the contract, approved ECPs will be incorporated into the configuration documentation upon ECP approval.)</t>
  </si>
  <si>
    <t xml:space="preserve">REQ-163</t>
  </si>
  <si>
    <t xml:space="preserve">3.3.1.1(1)f</t>
  </si>
  <si>
    <t xml:space="preserve">Implement and update configuration documentation with approved changes described in the ECP, using a documented engineering release system.</t>
  </si>
  <si>
    <t xml:space="preserve">REQ-164</t>
  </si>
  <si>
    <t xml:space="preserve">3.3.1.1(1)g</t>
  </si>
  <si>
    <t xml:space="preserve">Record all changes in the CSA system database.</t>
  </si>
  <si>
    <t xml:space="preserve">REQ-165</t>
  </si>
  <si>
    <t xml:space="preserve">3.3.1.1(1)h</t>
  </si>
  <si>
    <t xml:space="preserve">Verify that the approved change was implemented correctly.</t>
  </si>
  <si>
    <t xml:space="preserve">REQ-166</t>
  </si>
  <si>
    <t xml:space="preserve">3.3.1.1(1)i</t>
  </si>
  <si>
    <t xml:space="preserve">Identify superseding revisions to ECPs. An ECP must be revised when alterations or changes to the initial ECP are necessary.</t>
  </si>
  <si>
    <t xml:space="preserve">REQ-167</t>
  </si>
  <si>
    <t xml:space="preserve">3.3.1.1(1)j</t>
  </si>
  <si>
    <t xml:space="preserve">Provide an implementation timeline schedule for each ECP.</t>
  </si>
  <si>
    <t xml:space="preserve">REQ-168</t>
  </si>
  <si>
    <t xml:space="preserve">3.3.1.1(1)k</t>
  </si>
  <si>
    <t xml:space="preserve">State in ECP any effects on the program in case the ECP is not approved.</t>
  </si>
  <si>
    <t xml:space="preserve">REQ-169</t>
  </si>
  <si>
    <t xml:space="preserve">3.3.1.1(1)l</t>
  </si>
  <si>
    <t xml:space="preserve">Notify the Acquirer when there are changes to Commercial off the Shelf (COTS) hardware or software via an ECP that may affect interface or interoperability characteristics.</t>
  </si>
  <si>
    <t xml:space="preserve">REQ-170</t>
  </si>
  <si>
    <t xml:space="preserve">3.3.1.2(1)</t>
  </si>
  <si>
    <t xml:space="preserve">3.3.1.2</t>
  </si>
  <si>
    <t xml:space="preserve">1.3.1.2</t>
  </si>
  <si>
    <t xml:space="preserve">Classification and Authority of ECP</t>
  </si>
  <si>
    <t xml:space="preserve">The Supplier shall use content in “DD Form 1692” or equivalent for assigning a Major (Class I) or Minor (Class II) classification to an ECP.</t>
  </si>
  <si>
    <t xml:space="preserve">DD Form 1692</t>
  </si>
  <si>
    <t xml:space="preserve">REQ-171</t>
  </si>
  <si>
    <t xml:space="preserve">3.3.1.2(2)</t>
  </si>
  <si>
    <t xml:space="preserve">An ECP shall be classified as a Major (Class I) change, after the establishment of the product baseline, when it has one or more combination of the following criteria:</t>
  </si>
  <si>
    <t xml:space="preserve">REQ-172</t>
  </si>
  <si>
    <t xml:space="preserve">3.3.1.2(2)a</t>
  </si>
  <si>
    <t xml:space="preserve">A change to approved configuration documentation for which the Acquirer is the Current Document Change Authority or that has been included in the contract or statement of work by the tasking activity.</t>
  </si>
  <si>
    <t xml:space="preserve">REQ-173</t>
  </si>
  <si>
    <t xml:space="preserve">3.3.1.2(2)b</t>
  </si>
  <si>
    <t xml:space="preserve">A change, which affects any physical or functional requirement in approved functional or allocated configuration documentation.</t>
  </si>
  <si>
    <t xml:space="preserve">REQ-174</t>
  </si>
  <si>
    <t xml:space="preserve">3.3.1.2(2)c</t>
  </si>
  <si>
    <t xml:space="preserve">A change which affects or changes any approved acquisition baseline (FBL, ABL, and PBL) that is owned by the Acquirer.</t>
  </si>
  <si>
    <t xml:space="preserve">REQ-175</t>
  </si>
  <si>
    <t xml:space="preserve">3.3.1.2(2)d</t>
  </si>
  <si>
    <t xml:space="preserve">A change which affects compatibility with interfacing products (including such products as test equipment, support equipment, software, and products furnished by an Acquirer) or that affects one or more of the following:</t>
  </si>
  <si>
    <t xml:space="preserve">REQ-176</t>
  </si>
  <si>
    <t xml:space="preserve">3.3.1.2(2)d.1</t>
  </si>
  <si>
    <t xml:space="preserve">Delivered operation or servicing instructions of products, assemblies, or components.</t>
  </si>
  <si>
    <t xml:space="preserve">REQ-177</t>
  </si>
  <si>
    <t xml:space="preserve">3.3.1.2(2)d.2</t>
  </si>
  <si>
    <t xml:space="preserve">Should</t>
  </si>
  <si>
    <t xml:space="preserve">Required calibration to the extent that product identification should be changed.</t>
  </si>
  <si>
    <t xml:space="preserve">REQ-178</t>
  </si>
  <si>
    <t xml:space="preserve">3.3.1.2(2)e</t>
  </si>
  <si>
    <t xml:space="preserve">A change, which affects or changes the current system requirements or any specification type. This may include but not be limited to the following:</t>
  </si>
  <si>
    <t xml:space="preserve">REQ-179</t>
  </si>
  <si>
    <t xml:space="preserve">3.3.1.2(2)e.1</t>
  </si>
  <si>
    <t xml:space="preserve">A change or correction to an approved program or project specification or equivalent;</t>
  </si>
  <si>
    <t xml:space="preserve">REQ-180</t>
  </si>
  <si>
    <t xml:space="preserve">3.3.1.2(2)e.2</t>
  </si>
  <si>
    <t xml:space="preserve">The software requirements specification;</t>
  </si>
  <si>
    <t xml:space="preserve">REQ-181</t>
  </si>
  <si>
    <t xml:space="preserve">3.3.1.2(2)e.3</t>
  </si>
  <si>
    <t xml:space="preserve">Any interface characteristics and documents for those requirements or specifications;</t>
  </si>
  <si>
    <t xml:space="preserve">REQ-182</t>
  </si>
  <si>
    <t xml:space="preserve">3.3.1.2(2)e.4</t>
  </si>
  <si>
    <t xml:space="preserve">Any imposed qualification and acceptance requirements;</t>
  </si>
  <si>
    <t xml:space="preserve">REQ-183</t>
  </si>
  <si>
    <t xml:space="preserve">3.3.1.2(2)e.5</t>
  </si>
  <si>
    <t xml:space="preserve">Any other imposed technical requirements definition documents;</t>
  </si>
  <si>
    <t xml:space="preserve">REQ-184</t>
  </si>
  <si>
    <t xml:space="preserve">3.3.1.2(2)e.6</t>
  </si>
  <si>
    <t xml:space="preserve">A change which affects or changes specified and approved requirements including:</t>
  </si>
  <si>
    <t xml:space="preserve">REQ-185</t>
  </si>
  <si>
    <t xml:space="preserve">Safety;</t>
  </si>
  <si>
    <t xml:space="preserve">REQ-186</t>
  </si>
  <si>
    <t xml:space="preserve">Reliability;</t>
  </si>
  <si>
    <t xml:space="preserve">REQ-187</t>
  </si>
  <si>
    <t xml:space="preserve">Maintainability;</t>
  </si>
  <si>
    <t xml:space="preserve">REQ-188</t>
  </si>
  <si>
    <t xml:space="preserve">Durability;</t>
  </si>
  <si>
    <t xml:space="preserve">REQ-189</t>
  </si>
  <si>
    <t xml:space="preserve">Survivability;</t>
  </si>
  <si>
    <t xml:space="preserve">REQ-190</t>
  </si>
  <si>
    <t xml:space="preserve">Supportability; and</t>
  </si>
  <si>
    <t xml:space="preserve">REQ-191</t>
  </si>
  <si>
    <t xml:space="preserve">Quantitative requirements that result in product attributes that would be outside specified limits or specified tolerances.</t>
  </si>
  <si>
    <t xml:space="preserve">REQ-192</t>
  </si>
  <si>
    <t xml:space="preserve">3.3.1.2(2)f</t>
  </si>
  <si>
    <t xml:space="preserve">A change which affects required interchangeability (form, fit, function (F3I)), substitutability and replaceability of products, assemblies, or components at the end item or non-repairable subassembly level;</t>
  </si>
  <si>
    <t xml:space="preserve">REQ-193</t>
  </si>
  <si>
    <t xml:space="preserve">3.3.1.2(2)g</t>
  </si>
  <si>
    <t xml:space="preserve">A change which affects sources defined by a Source Control Drawing;</t>
  </si>
  <si>
    <t xml:space="preserve">REQ-194</t>
  </si>
  <si>
    <t xml:space="preserve">3.3.1.2(2)h</t>
  </si>
  <si>
    <t xml:space="preserve">A change which affects any software build, version or release of the operational, test and checkout or maintenance software;</t>
  </si>
  <si>
    <t xml:space="preserve">REQ-195</t>
  </si>
  <si>
    <t xml:space="preserve">3.3.1.2(2)i</t>
  </si>
  <si>
    <t xml:space="preserve">A change which affects software or hardware interface compatibility;</t>
  </si>
  <si>
    <t xml:space="preserve">REQ-196</t>
  </si>
  <si>
    <t xml:space="preserve">3.3.1.2(2)j</t>
  </si>
  <si>
    <t xml:space="preserve">A change which affects operational, test, or maintenance computer programs;</t>
  </si>
  <si>
    <t xml:space="preserve">REQ-197</t>
  </si>
  <si>
    <t xml:space="preserve">3.3.1.2(2)k</t>
  </si>
  <si>
    <t xml:space="preserve">A change which affects the required hardware’s form, fit, or function, its interface, or the software version of the embedded code;</t>
  </si>
  <si>
    <t xml:space="preserve">REQ-198</t>
  </si>
  <si>
    <t xml:space="preserve">3.3.1.2(2)l</t>
  </si>
  <si>
    <t xml:space="preserve">A change which affects operator and maintenance manuals (when the change is material);</t>
  </si>
  <si>
    <t xml:space="preserve">REQ-199</t>
  </si>
  <si>
    <t xml:space="preserve">3.3.1.2(2)m</t>
  </si>
  <si>
    <t xml:space="preserve">A change which affects or changes the hardware or software of maintenance and operating training systems;</t>
  </si>
  <si>
    <t xml:space="preserve">REQ-200</t>
  </si>
  <si>
    <t xml:space="preserve">3.3.1.2(2)n</t>
  </si>
  <si>
    <t xml:space="preserve">A change which affects Security such as: Informational (INFOSEC), Operations (OPSEC) and or Cyber (CYBER SECURITY);</t>
  </si>
  <si>
    <t xml:space="preserve">REQ-201</t>
  </si>
  <si>
    <t xml:space="preserve">3.3.1.2(2)o</t>
  </si>
  <si>
    <t xml:space="preserve">A change which has significant environmental Impact;</t>
  </si>
  <si>
    <t xml:space="preserve">REQ-202</t>
  </si>
  <si>
    <t xml:space="preserve">3.3.1.2(2)p</t>
  </si>
  <si>
    <t xml:space="preserve">A change which affects or changes the contractual Life cycle costs and savings associated with the current system or an existing ECP;</t>
  </si>
  <si>
    <t xml:space="preserve">REQ-203</t>
  </si>
  <si>
    <t xml:space="preserve">3.3.1.2(2)q</t>
  </si>
  <si>
    <t xml:space="preserve">A change which affects or changes user skills or user physical attributes;</t>
  </si>
  <si>
    <t xml:space="preserve">REQ-204</t>
  </si>
  <si>
    <t xml:space="preserve">3.3.1.2(2)r</t>
  </si>
  <si>
    <t xml:space="preserve">A change which affects contractual work performance and schedules;</t>
  </si>
  <si>
    <t xml:space="preserve">REQ-205</t>
  </si>
  <si>
    <t xml:space="preserve">3.3.1.2(2)s</t>
  </si>
  <si>
    <t xml:space="preserve">A change which requires retrofit of delivered products (e.g., by product recall, modification kit installation, attrition, replacement during maintenance using modified spares);</t>
  </si>
  <si>
    <t xml:space="preserve">REQ-206</t>
  </si>
  <si>
    <t xml:space="preserve">3.3.1.2(2)t</t>
  </si>
  <si>
    <t xml:space="preserve">A change which affects or changes weight, balance, moment of inertia (when a factor);</t>
  </si>
  <si>
    <t xml:space="preserve">REQ-207</t>
  </si>
  <si>
    <t xml:space="preserve">3.3.1.2(2)u</t>
  </si>
  <si>
    <t xml:space="preserve">A change which affects or changes electromagnetic characteristics (when a factor);</t>
  </si>
  <si>
    <t xml:space="preserve">REQ-208</t>
  </si>
  <si>
    <t xml:space="preserve">3.3.1.2(2)v</t>
  </si>
  <si>
    <t xml:space="preserve">A change which affects, changes, or has a significant impact to logistical support requirements such as training, technical or operational manuals, spares, maintenance procedures, or equipment, etc.;</t>
  </si>
  <si>
    <t xml:space="preserve">REQ-209</t>
  </si>
  <si>
    <t xml:space="preserve">3.3.1.2(2)w</t>
  </si>
  <si>
    <t xml:space="preserve">A change which requires or mandates that a re-qualification of the item undergoing the change must occur;</t>
  </si>
  <si>
    <t xml:space="preserve">REQ-210</t>
  </si>
  <si>
    <t xml:space="preserve">3.3.1.2(2)x</t>
  </si>
  <si>
    <t xml:space="preserve">A change which requires a new or updated Domain certification (e.g., airworthiness, sea worthiness, etc.) to occur;</t>
  </si>
  <si>
    <t xml:space="preserve">REQ-211</t>
  </si>
  <si>
    <t xml:space="preserve">3.3.1.2(2)y</t>
  </si>
  <si>
    <t xml:space="preserve">A change which affects or changes Biomedical factors;</t>
  </si>
  <si>
    <t xml:space="preserve">REQ-212</t>
  </si>
  <si>
    <t xml:space="preserve">3.3.1.2(2)z</t>
  </si>
  <si>
    <t xml:space="preserve">A change which affects or changes personnel manning;</t>
  </si>
  <si>
    <t xml:space="preserve">REQ-213</t>
  </si>
  <si>
    <t xml:space="preserve">3.3.1.2(2)aa</t>
  </si>
  <si>
    <t xml:space="preserve">A change which corrects deficiencies;</t>
  </si>
  <si>
    <t xml:space="preserve">REQ-214</t>
  </si>
  <si>
    <t xml:space="preserve">3.3.1.2(2)ab</t>
  </si>
  <si>
    <t xml:space="preserve">A change, which affects or changes interoperability requirements;</t>
  </si>
  <si>
    <t xml:space="preserve">REQ-215</t>
  </si>
  <si>
    <t xml:space="preserve">3.3.1.2(2)ac</t>
  </si>
  <si>
    <t xml:space="preserve">A change, which changes the operational capabilities or logistics supportability of the system or item, and the change is significant and measurably changes the system effectiveness;</t>
  </si>
  <si>
    <t xml:space="preserve">REQ-216</t>
  </si>
  <si>
    <t xml:space="preserve">3.3.1.2(2)ad</t>
  </si>
  <si>
    <t xml:space="preserve">A change which prevents slippage in an approved production schedule, (if contractually affected);</t>
  </si>
  <si>
    <t xml:space="preserve">REQ-217</t>
  </si>
  <si>
    <t xml:space="preserve">3.3.1.2(2)ae</t>
  </si>
  <si>
    <t xml:space="preserve">A change to approved configuration documentation that incorporates or integrates COTS hardware or software;</t>
  </si>
  <si>
    <t xml:space="preserve">REQ-218</t>
  </si>
  <si>
    <t xml:space="preserve">3.3.1.2(2)af</t>
  </si>
  <si>
    <t xml:space="preserve">A change which changes or impacts non-technical issues such as fees, incentives, costs, cost schedules, price, and delivery to customer(s), including incentives and fees, guarantees, warranties, contracted deliveries, schedule milestones, or contract milestones.</t>
  </si>
  <si>
    <t xml:space="preserve">REQ-219</t>
  </si>
  <si>
    <t xml:space="preserve">3.3.1.2(2)af.1</t>
  </si>
  <si>
    <t xml:space="preserve">Minor (Class II) ECPs do not impact the criteria above for Major (Class I) changes.</t>
  </si>
  <si>
    <t xml:space="preserve">REQ-220</t>
  </si>
  <si>
    <t xml:space="preserve">3.3.1.2(2)af.2</t>
  </si>
  <si>
    <t xml:space="preserve">For military derivatives of commercial products regulated by the Federal Aviation Administration (FAA) under Code of Federal Regulations (CFA), Title 14, Chapter I, Subchapter C, Part 21, Subpart D – Changes to Type Certificates; Major/minor classification may have a different meaning and criteria with regard to FAA certification.</t>
  </si>
  <si>
    <t xml:space="preserve">REQ-221</t>
  </si>
  <si>
    <t xml:space="preserve">3.3.1.3(1)</t>
  </si>
  <si>
    <t xml:space="preserve">3.3.1.3</t>
  </si>
  <si>
    <t xml:space="preserve">1.3.1.3</t>
  </si>
  <si>
    <t xml:space="preserve">ECP Format</t>
  </si>
  <si>
    <t xml:space="preserve">The Supplier shall use appropriate form/text, such as "DD Form 1692,” or equivalent for referencing and managing a change. Unless otherwise negotiated between Acquirer and Supplier, the Supplier shall prepare ECPs on DD Form 1692-series of forms or its own forms provided that the information requirements of DD Form 1692-series are satisfied.</t>
  </si>
  <si>
    <t xml:space="preserve">REQ-222</t>
  </si>
  <si>
    <t xml:space="preserve">3.3.1.3(2)</t>
  </si>
  <si>
    <t xml:space="preserve">The Supplier shall obtain approval from the Acquirer if the Supplier wants to use its own ECP format for Major (Class I) and Minor (Class II) ECPs.</t>
  </si>
  <si>
    <t xml:space="preserve">REQ-223</t>
  </si>
  <si>
    <t xml:space="preserve">NOTE: The Acquiring Activity may cite DI-SESS-80639 Engineering Change Proposal, for specifying the delivery of the data product that emanates from meeting this requirement.</t>
  </si>
  <si>
    <t xml:space="preserve">DI-SESS-80639</t>
  </si>
  <si>
    <t xml:space="preserve">REQ-224</t>
  </si>
  <si>
    <t xml:space="preserve">3.3.1.4(1)</t>
  </si>
  <si>
    <t xml:space="preserve">3.3.1.4</t>
  </si>
  <si>
    <t xml:space="preserve">1.3.1.4</t>
  </si>
  <si>
    <t xml:space="preserve">Supporting Data</t>
  </si>
  <si>
    <t xml:space="preserve">The Supplier shall support ECPs with drawings and other data (e.g., Logistics Product Data (LPD), detailed cost proposal data, test data and analyses, quality, packaging, interchangeability factors) to better understand and evaluate the change and its impacts upon the system, its operation and support.</t>
  </si>
  <si>
    <t xml:space="preserve">REQ-225</t>
  </si>
  <si>
    <t xml:space="preserve">3.3.1.4(2)</t>
  </si>
  <si>
    <t xml:space="preserve">The Supplier shall include in the ECP implementation production and retrofit costs, when the contract references life cycle cost and/or operation and support cost model, the following costs:</t>
  </si>
  <si>
    <t xml:space="preserve">REQ-226</t>
  </si>
  <si>
    <t xml:space="preserve">3.3.1.4(2)a</t>
  </si>
  <si>
    <t xml:space="preserve">All future production and spare items projected to be procured for the program.</t>
  </si>
  <si>
    <t xml:space="preserve">REQ-227</t>
  </si>
  <si>
    <t xml:space="preserve">3.3.1.4(2)b</t>
  </si>
  <si>
    <t xml:space="preserve">All projected operation and support costs for operation of the total inventory of items by the Acquirer.</t>
  </si>
  <si>
    <t xml:space="preserve">REQ-228</t>
  </si>
  <si>
    <t xml:space="preserve">3.3.1.4(3)</t>
  </si>
  <si>
    <t xml:space="preserve">The Supplier shall include in the ECP, as supporting data, a summary of any testing done by the Supplier to validate concepts or new technology to be employed in the proposed change and details of such test data vital to the decision regarding acceptance of the change.</t>
  </si>
  <si>
    <t xml:space="preserve">REQ-229</t>
  </si>
  <si>
    <t xml:space="preserve">3.3.1.5</t>
  </si>
  <si>
    <t xml:space="preserve">1.3.1.5</t>
  </si>
  <si>
    <t xml:space="preserve">ECP Decisions</t>
  </si>
  <si>
    <t xml:space="preserve">NOTE: Usually proposed ECPs (regardless of class) are not implemented until an approval has been obtained by the designated Configuration Approval Authority. If the Supplier chooses to proceed with implementation prior to that approval then they do so at their own risk with the possibility that any such implementation work will have to be undone or scrapped, at their own cost, if the proposed change is disapproved.</t>
  </si>
  <si>
    <t xml:space="preserve">REQ-230</t>
  </si>
  <si>
    <t xml:space="preserve">The Acquirer is configuration approval authority for all Major (Class I) engineering changes for the Configuration Item once the Acquirer has configuration control of the baseline.</t>
  </si>
  <si>
    <t xml:space="preserve">REQ-231</t>
  </si>
  <si>
    <t xml:space="preserve">3.3.1.6</t>
  </si>
  <si>
    <t xml:space="preserve">1.3.1.6</t>
  </si>
  <si>
    <t xml:space="preserve">Engineering Change Priorities</t>
  </si>
  <si>
    <t xml:space="preserve">The Acquirer uses the engineering change priority recommendation of emergency (48 hours), urgent (30 days), or routine (90 calendar days) to determine the time frame in which the ECP is to be reviewed, evaluated, ordered, and implemented.</t>
  </si>
  <si>
    <t xml:space="preserve">REQ-232</t>
  </si>
  <si>
    <t xml:space="preserve">3.3.1.6(1)</t>
  </si>
  <si>
    <t xml:space="preserve">The Supplier shall assign an Emergency or Urgent Engineering Change Priority to a Major (Class I) ECP with prior Acquirer approval.</t>
  </si>
  <si>
    <t xml:space="preserve">REQ-233</t>
  </si>
  <si>
    <t xml:space="preserve">3.3.1.7</t>
  </si>
  <si>
    <t xml:space="preserve">1.3.1.7</t>
  </si>
  <si>
    <t xml:space="preserve">Related Engineering Changes</t>
  </si>
  <si>
    <t xml:space="preserve">A related engineering change occurs when the desired engineering change in one item (the basic or original engineering change) requires related engineering changes in other items to retain (or attain) either an interface match or compatibility and interoperability of the associated items.</t>
  </si>
  <si>
    <t xml:space="preserve">REQ-234</t>
  </si>
  <si>
    <t xml:space="preserve">3.3.1.7.1(1)</t>
  </si>
  <si>
    <t xml:space="preserve">3.3.1.7.1</t>
  </si>
  <si>
    <t xml:space="preserve">1.3.1.7.1</t>
  </si>
  <si>
    <t xml:space="preserve">Related Engineering Changes - Single Prime, Single Procuring Activity</t>
  </si>
  <si>
    <t xml:space="preserve">The single prime/procuring Supplier shall include all support data and interface items in one basic/original uniquely numbered engineering change.</t>
  </si>
  <si>
    <t xml:space="preserve">REQ-235</t>
  </si>
  <si>
    <t xml:space="preserve">3.3.1.7.2(1)</t>
  </si>
  <si>
    <t xml:space="preserve">3.3.1.7.2</t>
  </si>
  <si>
    <t xml:space="preserve">1.3.1.7.2</t>
  </si>
  <si>
    <t xml:space="preserve">Related Engineering Changes - Single Prime Multiple Procuring Activities</t>
  </si>
  <si>
    <t xml:space="preserve">The Supplier shall assign a number to the basic ECP.</t>
  </si>
  <si>
    <t xml:space="preserve">REQ-236</t>
  </si>
  <si>
    <t xml:space="preserve">3.3.1.7.2(2)</t>
  </si>
  <si>
    <t xml:space="preserve">The Supplier shall use the basic ECP number, plus a separate dash number, for related ECPs submitted to other procuring activities.</t>
  </si>
  <si>
    <t xml:space="preserve">REQ-237</t>
  </si>
  <si>
    <t xml:space="preserve">3.3.1.7.3(1)</t>
  </si>
  <si>
    <t xml:space="preserve">3.3.1.7.3</t>
  </si>
  <si>
    <t xml:space="preserve">1.3.1.7.3</t>
  </si>
  <si>
    <t xml:space="preserve">Related Engineering Changes - Separate Primes</t>
  </si>
  <si>
    <t xml:space="preserve">The Supplier shall submit a coordinated basic ECP when a desired engineering change in one product (the basic ECP) requires related engineering changes in other products that are the responsibility of other prime Suppliers who are participating in a specific item development or production program.</t>
  </si>
  <si>
    <t xml:space="preserve">REQ-238</t>
  </si>
  <si>
    <t xml:space="preserve">3.3.1.7.3(2)</t>
  </si>
  <si>
    <t xml:space="preserve">The Supplier’s coordinated basic ECP shall include data showing the extent of the coordination and its results to the related ECPs of the other prime Suppliers.</t>
  </si>
  <si>
    <t xml:space="preserve">REQ-239</t>
  </si>
  <si>
    <t xml:space="preserve">3.3.1.7.3(3)</t>
  </si>
  <si>
    <t xml:space="preserve">The Supplier shall include in the basic ECP the impact on the other items.</t>
  </si>
  <si>
    <t xml:space="preserve">REQ-240</t>
  </si>
  <si>
    <t xml:space="preserve">3.3.1.7.3(4)</t>
  </si>
  <si>
    <t xml:space="preserve">The Supplier shall cross-reference basic and other related ECPs.</t>
  </si>
  <si>
    <t xml:space="preserve">REQ-241</t>
  </si>
  <si>
    <t xml:space="preserve">3.3.1.8(1)</t>
  </si>
  <si>
    <t xml:space="preserve">3.3.1.8</t>
  </si>
  <si>
    <t xml:space="preserve">1.3.1.8</t>
  </si>
  <si>
    <t xml:space="preserve">Minor (Class II) ECP</t>
  </si>
  <si>
    <t xml:space="preserve">The Supplier shall assign an ECP classification of Minor (Class II) to an ECP whose engineering change does not meet the criteria for a Major (Class I) change. Minor (Class II) ECPs are limited to administrative, documentation clarifications, corrections, or configuration changes, which do not affect interchangeability.</t>
  </si>
  <si>
    <t xml:space="preserve">REQ-242</t>
  </si>
  <si>
    <t xml:space="preserve">3.3.1.8.1(1)</t>
  </si>
  <si>
    <t xml:space="preserve">3.3.1.8.1</t>
  </si>
  <si>
    <t xml:space="preserve">1.3.1.8.1</t>
  </si>
  <si>
    <t xml:space="preserve">Concurrence in Classification</t>
  </si>
  <si>
    <t xml:space="preserve">The Supplier shall obtain Acquirer classification concurrence of any Minor (Class II) ECP. The Acquirer may delegate authority to an Acquirer’s designated representative, Supplier or retain within the government, for the concurrence of classification for Minor (Class II) ECPs as tailored in the contract.</t>
  </si>
  <si>
    <t xml:space="preserve">REQ-243</t>
  </si>
  <si>
    <t xml:space="preserve">3.3.1.8.1(2)</t>
  </si>
  <si>
    <t xml:space="preserve">The Supplier shall cancel a Minor (Class II) ECP if the Acquirer disagrees with the classification of the ECP. The Supplier may revise and resubmit the proposed change as a Major (Class I) ECP.</t>
  </si>
  <si>
    <t xml:space="preserve">REQ-244</t>
  </si>
  <si>
    <t xml:space="preserve">3.3.1.8.1(3)</t>
  </si>
  <si>
    <t xml:space="preserve">The Supplier shall submit to the Acquirer for final decision, any classification disagreements between the Supplier and the Acquirer’s designated representatives when retained within the government.</t>
  </si>
  <si>
    <t xml:space="preserve">REQ-245</t>
  </si>
  <si>
    <t xml:space="preserve">3.3.1.8.2(1)</t>
  </si>
  <si>
    <t xml:space="preserve">3.3.1.8.2</t>
  </si>
  <si>
    <t xml:space="preserve">1.3.1.8.2</t>
  </si>
  <si>
    <t xml:space="preserve">Concurrence of Minor (Class II) Changes</t>
  </si>
  <si>
    <t xml:space="preserve">The Supplier shall submit the Minor (Class II) change to the Configuration Approval Authority for concurrence, approval, or disapproval after the classification review and prior to delivery of the product.</t>
  </si>
  <si>
    <t xml:space="preserve">REQ-246</t>
  </si>
  <si>
    <t xml:space="preserve">3.3.2(1)</t>
  </si>
  <si>
    <t xml:space="preserve">3.3.2</t>
  </si>
  <si>
    <t xml:space="preserve">1.3.2</t>
  </si>
  <si>
    <t xml:space="preserve">Requests for Variance (RFV)</t>
  </si>
  <si>
    <t xml:space="preserve">The Supplier shall obtain the Acquirer’s or its designated representative approval on any Configuration Item or component, including COTS hardware or software, which is non-conforming to its requirements by preparation and submittal of an RFV.</t>
  </si>
  <si>
    <t xml:space="preserve">REQ-247</t>
  </si>
  <si>
    <t xml:space="preserve">NOTE: RFVs may be submitted by an Engineering Variance (i.e., before the item is produced and the Supplier is aware in advance of a need to deviate from the items requirements), or Production/Procurement Variance (i.e., a non-conformance is discovered after an item is produced).</t>
  </si>
  <si>
    <t xml:space="preserve">REQ-248</t>
  </si>
  <si>
    <t xml:space="preserve">3.3.2(2)</t>
  </si>
  <si>
    <t xml:space="preserve">If the Acquirer determines that the Engineering Variance would be permanently acceptable, then the Supplier shall submit an ECP to accomplish the change and results in closure or removal from the CSA information.</t>
  </si>
  <si>
    <t xml:space="preserve">REQ-249</t>
  </si>
  <si>
    <t xml:space="preserve">3.3.2(3)</t>
  </si>
  <si>
    <t xml:space="preserve">The Supplier shall provide for:</t>
  </si>
  <si>
    <t xml:space="preserve">REQ-250</t>
  </si>
  <si>
    <t xml:space="preserve">3.3.2(3)a</t>
  </si>
  <si>
    <t xml:space="preserve">Production/Procurement Variance (aka Post Production RFV) – the quantity of items affected by the nonconformance and the extent the affected items do not meet the Acquirer's contractual requirements. The Supplier shall provide per unit and total cost impact and will be calculated based on estimates to complete repairs or replace the affected item(s). When supplies or services are accepted with minor nonconformances, the identified amount shall be used to determine if the savings to the Supplier exceed the cost to the Acquirer to modify the contract. When supplies or services are accepted with critical or major nonconformances, the Acquirer’s contracting officer must modify the contract to provide for an equitable price reduction or other consideration as per FAR 46.407 -- Nonconforming Supplies or Services.</t>
  </si>
  <si>
    <t xml:space="preserve">FAR 46.407</t>
  </si>
  <si>
    <t xml:space="preserve">REQ-251</t>
  </si>
  <si>
    <t xml:space="preserve">3.3.2(3)b</t>
  </si>
  <si>
    <t xml:space="preserve">Engineering Variance (aka Pre-Production RFV) – the quantity of items affected and the extent of the proposed departure from an approved product definition information. In case of self-inflicted need for departure from design and/or requirements, the Supplier shall provide per unit and total savings when submitting the request for Engineering Variance. When supplies or services are accepted with critical or major nonconformances, the Acquirer’s contracting officer must modify the contract to provide for an equitable price reduction or other consideration as per FAR 46.407 -- Nonconforming Supplies or Services.</t>
  </si>
  <si>
    <t xml:space="preserve">REQ-252</t>
  </si>
  <si>
    <t xml:space="preserve">3.3.2(4)</t>
  </si>
  <si>
    <t xml:space="preserve">The Supplier shall document the following elements of the dispositioned RFV in the CSA system: Type of Variance (non-conformance)</t>
  </si>
  <si>
    <t xml:space="preserve">REQ-253</t>
  </si>
  <si>
    <t xml:space="preserve">3.3.2(4)a</t>
  </si>
  <si>
    <t xml:space="preserve">Description; Impact of the variance (pre-production or post production) inclusive of any impact to any additional product/part;</t>
  </si>
  <si>
    <t xml:space="preserve">REQ-254</t>
  </si>
  <si>
    <t xml:space="preserve">3.3.2(4)b</t>
  </si>
  <si>
    <t xml:space="preserve">Criteria used in establishing the need for corrective action appropriate to the effects of the variance and when applicable;</t>
  </si>
  <si>
    <t xml:space="preserve">REQ-255</t>
  </si>
  <si>
    <t xml:space="preserve">3.3.2(4)c</t>
  </si>
  <si>
    <t xml:space="preserve">Action taken/accomplished by the Supplier to prevent reoccurrence of the non-conformance.</t>
  </si>
  <si>
    <t xml:space="preserve">REQ-256</t>
  </si>
  <si>
    <t xml:space="preserve">NOTE: The Acquiring Activity may cite DI-SESS-80640 Request for Variance, for specifying the delivery of the data product that emanates from meeting this requirement.</t>
  </si>
  <si>
    <t xml:space="preserve">DI-SESS-80640</t>
  </si>
  <si>
    <t xml:space="preserve">REQ-257</t>
  </si>
  <si>
    <t xml:space="preserve">3.3.2.1(1)</t>
  </si>
  <si>
    <t xml:space="preserve">3.3.2.1</t>
  </si>
  <si>
    <t xml:space="preserve">1.3.2.1</t>
  </si>
  <si>
    <t xml:space="preserve">Recurring Variances</t>
  </si>
  <si>
    <t xml:space="preserve">The Supplier shall obtain the Acquirer’s approval before submitting a reoccurring RFV with the same nonconformance. Corrective action plans included in a RFV should reduce the need for recurring Variances.</t>
  </si>
  <si>
    <t xml:space="preserve">REQ-258</t>
  </si>
  <si>
    <t xml:space="preserve">3.3.2.1(2)</t>
  </si>
  <si>
    <t xml:space="preserve">The Supplier shall evaluate recurring engineering variances for possible submittal of an ECP. RFVs are limited to their documented effectivity, which must be less than or equal to the remaining contract period for all produced items/units. RFVs can only apply to the contract under which it is submitted. The RFV cannot apply to future contracts.</t>
  </si>
  <si>
    <t xml:space="preserve">REQ-259</t>
  </si>
  <si>
    <t xml:space="preserve">3.3.2.2(1)</t>
  </si>
  <si>
    <t xml:space="preserve">3.3.2.2</t>
  </si>
  <si>
    <t xml:space="preserve">1.3.2.2</t>
  </si>
  <si>
    <t xml:space="preserve">Classification of Variances</t>
  </si>
  <si>
    <t xml:space="preserve">The Supplier shall use content in “DD Form 1694” for assigning a Critical/Major or Minor classification to an RFV. Classification based on the impact of the variance:</t>
  </si>
  <si>
    <t xml:space="preserve">DD Form 1694</t>
  </si>
  <si>
    <t xml:space="preserve">REQ-260</t>
  </si>
  <si>
    <t xml:space="preserve">3.3.2.2(1)a</t>
  </si>
  <si>
    <t xml:space="preserve">Critical. Use this classification when it is a departure from requirements affecting one or more of the following:</t>
  </si>
  <si>
    <t xml:space="preserve">REQ-261</t>
  </si>
  <si>
    <t xml:space="preserve">3.3.2.2(1)a.i</t>
  </si>
  <si>
    <t xml:space="preserve">Safety</t>
  </si>
  <si>
    <t xml:space="preserve">REQ-262</t>
  </si>
  <si>
    <t xml:space="preserve">3.3.2.2(1)a.ii</t>
  </si>
  <si>
    <t xml:space="preserve">Human health</t>
  </si>
  <si>
    <t xml:space="preserve">REQ-263</t>
  </si>
  <si>
    <t xml:space="preserve">3.3.2.2(1)a.iii</t>
  </si>
  <si>
    <t xml:space="preserve">Environment</t>
  </si>
  <si>
    <t xml:space="preserve">REQ-264</t>
  </si>
  <si>
    <t xml:space="preserve">3.3.2.2(1)a.iv</t>
  </si>
  <si>
    <t xml:space="preserve">Security (local program or national)</t>
  </si>
  <si>
    <t xml:space="preserve">REQ-265</t>
  </si>
  <si>
    <t xml:space="preserve">3.3.2.2(1)b</t>
  </si>
  <si>
    <t xml:space="preserve">Major. Use this classification when it is a departure from requirements affecting one or more of the following:</t>
  </si>
  <si>
    <t xml:space="preserve">REQ-266</t>
  </si>
  <si>
    <t xml:space="preserve">3.3.2.2(1)b.i</t>
  </si>
  <si>
    <t xml:space="preserve">Performance or operational limits</t>
  </si>
  <si>
    <t xml:space="preserve">REQ-267</t>
  </si>
  <si>
    <t xml:space="preserve">3.3.2.2(1)b.ii</t>
  </si>
  <si>
    <t xml:space="preserve">Interchangeability, reliability, survivability, maintainability or durability of the item or its repair parts</t>
  </si>
  <si>
    <t xml:space="preserve">REQ-268</t>
  </si>
  <si>
    <t xml:space="preserve">3.3.2.2(1)b.iii</t>
  </si>
  <si>
    <t xml:space="preserve">Structural strength</t>
  </si>
  <si>
    <t xml:space="preserve">REQ-269</t>
  </si>
  <si>
    <t xml:space="preserve">3.3.2.2(1)b.iv</t>
  </si>
  <si>
    <t xml:space="preserve">Effective use or operation</t>
  </si>
  <si>
    <t xml:space="preserve">REQ-270</t>
  </si>
  <si>
    <t xml:space="preserve">3.3.2.2(1)b.v</t>
  </si>
  <si>
    <t xml:space="preserve">Weight, moment of inertia, center of gravity</t>
  </si>
  <si>
    <t xml:space="preserve">REQ-271</t>
  </si>
  <si>
    <t xml:space="preserve">3.3.2.2(1)b.vi</t>
  </si>
  <si>
    <t xml:space="preserve">Appearance</t>
  </si>
  <si>
    <t xml:space="preserve">REQ-272</t>
  </si>
  <si>
    <t xml:space="preserve">3.3.2.2(1)b.vii</t>
  </si>
  <si>
    <t xml:space="preserve">Limits on product use or operation</t>
  </si>
  <si>
    <t xml:space="preserve">REQ-273</t>
  </si>
  <si>
    <t xml:space="preserve">3.3.2.2(1)b.viii</t>
  </si>
  <si>
    <t xml:space="preserve">Temporary use of alternate items</t>
  </si>
  <si>
    <t xml:space="preserve">REQ-274</t>
  </si>
  <si>
    <t xml:space="preserve">3.3.2.2(1)b.ix</t>
  </si>
  <si>
    <t xml:space="preserve">When the configuration documentation defining the requirements for the item classifies the departure from the requirement as major</t>
  </si>
  <si>
    <t xml:space="preserve">REQ-275</t>
  </si>
  <si>
    <t xml:space="preserve">3.3.2.2(1)c</t>
  </si>
  <si>
    <t xml:space="preserve">Minor. Use this classification when it consists of a departure that does not involve any of the factors listed for critical or major, or when the configuration documentation defining the requirements for the item classifies the departure from the requirement as minor.</t>
  </si>
  <si>
    <t xml:space="preserve">REQ-276</t>
  </si>
  <si>
    <t xml:space="preserve">NOTE: Departures from the requirements that do not meet the definition of critical or major and are not classified in any configuration documentation (i.e., unlisted characteristic) are treated as minor.</t>
  </si>
  <si>
    <t xml:space="preserve">REQ-277</t>
  </si>
  <si>
    <t xml:space="preserve">3.3.2.2(2)</t>
  </si>
  <si>
    <t xml:space="preserve">The Supplier shall submit to the Acquirer for final decision, any classification disagreements between the Supplier and the Acquirer’s designated representatives.</t>
  </si>
  <si>
    <t xml:space="preserve">REQ-278</t>
  </si>
  <si>
    <t xml:space="preserve">3.3.2.2(3)</t>
  </si>
  <si>
    <t xml:space="preserve">Suppliers shall provide an implementation timeline for Critical and Major classified RFVs.</t>
  </si>
  <si>
    <t xml:space="preserve">REQ-279</t>
  </si>
  <si>
    <t xml:space="preserve">3.3.2.3</t>
  </si>
  <si>
    <t xml:space="preserve">1.3.2.3</t>
  </si>
  <si>
    <t xml:space="preserve">RFV Decisions</t>
  </si>
  <si>
    <t xml:space="preserve">The Acquirer is configuration approval authority for all Critical and Major RFVs. The Configuration Approval Authority for all Critical, Major or Minor RFVs is the Acquirer or Acquirer’s designated representative.</t>
  </si>
  <si>
    <t xml:space="preserve">REQ-280</t>
  </si>
  <si>
    <t xml:space="preserve">3.3.2.3(1)</t>
  </si>
  <si>
    <t xml:space="preserve">The Supplier shall submit all proposed Critical and Major RFVs to the Acquirer with data from the Acquirer’s designated representative, if available.</t>
  </si>
  <si>
    <t xml:space="preserve">REQ-281</t>
  </si>
  <si>
    <t xml:space="preserve">3.3.2.3(2)</t>
  </si>
  <si>
    <t xml:space="preserve">The Supplier shall submit all requested Minor RFVs to the Acquirer or Acquirer’s designated representative.</t>
  </si>
  <si>
    <t xml:space="preserve">REQ-282</t>
  </si>
  <si>
    <t xml:space="preserve">3.3.2.4(1)</t>
  </si>
  <si>
    <t xml:space="preserve">3.3.2.4</t>
  </si>
  <si>
    <t xml:space="preserve">1.3.2.4</t>
  </si>
  <si>
    <t xml:space="preserve">Minor RFVs</t>
  </si>
  <si>
    <t xml:space="preserve">The Supplier shall assign an RFV classification of Minor to an RFV that does not meet the criteria for a Critical or Major.</t>
  </si>
  <si>
    <t xml:space="preserve">REQ-283</t>
  </si>
  <si>
    <t xml:space="preserve">3.3.3(1)</t>
  </si>
  <si>
    <t xml:space="preserve">3.3.3</t>
  </si>
  <si>
    <t xml:space="preserve">1.3.3</t>
  </si>
  <si>
    <t xml:space="preserve">Specification Change Notice (SCN)</t>
  </si>
  <si>
    <t xml:space="preserve">The Supplier (design activity for, or the current change authority of a specification not generated by word processing) shall prepare a separate proposed SCN for each contractual specification that would require revision.</t>
  </si>
  <si>
    <t xml:space="preserve">REQ-284</t>
  </si>
  <si>
    <t xml:space="preserve">3.3.3(2)</t>
  </si>
  <si>
    <t xml:space="preserve">The Supplier shall submit SCNs in conjunction with any ECP that affects a specification. Program/project organizations not being in possession of interactive digital files shall prepare a proposed change on specifications in NOR format.</t>
  </si>
  <si>
    <t xml:space="preserve">REQ-285</t>
  </si>
  <si>
    <t xml:space="preserve">NOTE: The Acquiring Activity may cite DI-SESS-80643 Specification Change Notice, for specifying the delivery of the data product that emanates from meeting this requirement.</t>
  </si>
  <si>
    <t xml:space="preserve">DI-SESS-80643</t>
  </si>
  <si>
    <t xml:space="preserve">REQ-286</t>
  </si>
  <si>
    <t xml:space="preserve">3.3.4(1)</t>
  </si>
  <si>
    <t xml:space="preserve">3.3.4</t>
  </si>
  <si>
    <t xml:space="preserve">1.3.4</t>
  </si>
  <si>
    <t xml:space="preserve">Notices of Revision (NORs)</t>
  </si>
  <si>
    <t xml:space="preserve">The Supplier shall submit a NOR or contractor format if so allowed for each document affected by an ECP.</t>
  </si>
  <si>
    <t xml:space="preserve">REQ-287</t>
  </si>
  <si>
    <t xml:space="preserve">3.3.4(2)</t>
  </si>
  <si>
    <t xml:space="preserve">The Supplier shall prepare and submit with each NOR all information required to disposition the NOR and its associated ECP.</t>
  </si>
  <si>
    <t xml:space="preserve">REQ-288</t>
  </si>
  <si>
    <t xml:space="preserve">NOTE: The Acquiring Activity may cite DI-SESS-80642 Notice of Revision, for specifying the delivery of the data product that emanates from meeting this requirement.</t>
  </si>
  <si>
    <t xml:space="preserve">DI-SESS-80642</t>
  </si>
  <si>
    <t xml:space="preserve">REQ-289</t>
  </si>
  <si>
    <t xml:space="preserve">3.4</t>
  </si>
  <si>
    <t xml:space="preserve">1.4</t>
  </si>
  <si>
    <t xml:space="preserve">Configuration Status Accounting (CSA)</t>
  </si>
  <si>
    <t xml:space="preserve">CSA formalizes the recording and reporting of the accurate and timely established product configuration information. CSA provides status of proposed changes, the implementation of approved changes and changes occurring to product units due to operation and maintenance.</t>
  </si>
  <si>
    <t xml:space="preserve">REQ-290</t>
  </si>
  <si>
    <t xml:space="preserve">3.4(1)</t>
  </si>
  <si>
    <t xml:space="preserve">The Supplier shall maintain the legitimacy of the CSA by storing valid data in the CSA system.</t>
  </si>
  <si>
    <t xml:space="preserve">REQ-291</t>
  </si>
  <si>
    <t xml:space="preserve">3.4(2)</t>
  </si>
  <si>
    <t xml:space="preserve">The Supplier shall perform CSA analysis to detect and identify trends and report problems.</t>
  </si>
  <si>
    <t xml:space="preserve">REQ-292</t>
  </si>
  <si>
    <t xml:space="preserve">3.4.1</t>
  </si>
  <si>
    <t xml:space="preserve">1.4.1</t>
  </si>
  <si>
    <t xml:space="preserve">Supplier CSA System</t>
  </si>
  <si>
    <t xml:space="preserve">The Supplier may utilize any information technology tools or systems desired to meet CSA functional process requirements described herein.</t>
  </si>
  <si>
    <t xml:space="preserve">REQ-293</t>
  </si>
  <si>
    <t xml:space="preserve">3.4.1(1)</t>
  </si>
  <si>
    <t xml:space="preserve">The Supplier’s CSA system shall be closely linked to the data repository used to store and manage the product configuration and product operational information.</t>
  </si>
  <si>
    <t xml:space="preserve">REQ-294</t>
  </si>
  <si>
    <t xml:space="preserve">This close linkage may be accomplished via use of an all-encompassing product data management system (with CM, data repository, requirements management, and traceability functionality all in the same product) or by integration of separate stand-alone IT tools/systems.</t>
  </si>
  <si>
    <t xml:space="preserve">REQ-295</t>
  </si>
  <si>
    <t xml:space="preserve">3.4.1(2)</t>
  </si>
  <si>
    <t xml:space="preserve">The Supplier shall use a CSA system to capture, store, and maintain product configuration information about the product that is either provided by the Acquirer or created by the Supplier during the duration of the contract.</t>
  </si>
  <si>
    <t xml:space="preserve">REQ-296</t>
  </si>
  <si>
    <t xml:space="preserve">3.4.1(3)</t>
  </si>
  <si>
    <t xml:space="preserve">The Supplier shall establish and maintain a CSA system for support of the CDRL Data Items that has the following capabilities:</t>
  </si>
  <si>
    <t xml:space="preserve">REQ-297</t>
  </si>
  <si>
    <t xml:space="preserve">3.4.1(3)a</t>
  </si>
  <si>
    <t xml:space="preserve">Capture and maintain the currently approved product configuration information by the identification number assigned to each Configuration Item and component.</t>
  </si>
  <si>
    <t xml:space="preserve">REQ-298</t>
  </si>
  <si>
    <t xml:space="preserve">3.4.1(3)b</t>
  </si>
  <si>
    <t xml:space="preserve">Capture and maintain all historical product configuration information with traceability detailing product configuration from contract award to the present.</t>
  </si>
  <si>
    <t xml:space="preserve">REQ-299</t>
  </si>
  <si>
    <t xml:space="preserve">3.4.1(3)c</t>
  </si>
  <si>
    <t xml:space="preserve">Store and manage all product configuration information.</t>
  </si>
  <si>
    <t xml:space="preserve">REQ-300</t>
  </si>
  <si>
    <t xml:space="preserve">3.4.1(3)d</t>
  </si>
  <si>
    <t xml:space="preserve">Identify dependencies among Configuration Items.</t>
  </si>
  <si>
    <t xml:space="preserve">REQ-301</t>
  </si>
  <si>
    <t xml:space="preserve">3.4.1(3)e</t>
  </si>
  <si>
    <t xml:space="preserve">Report the status of both proposed and approved configuration changes and variances to all Configuration Items.</t>
  </si>
  <si>
    <t xml:space="preserve">REQ-302</t>
  </si>
  <si>
    <t xml:space="preserve">3.4.1(3)f</t>
  </si>
  <si>
    <t xml:space="preserve">Record, track and report implementation status and engineering release of configuration documentation for approved configuration changes.</t>
  </si>
  <si>
    <t xml:space="preserve">REQ-303</t>
  </si>
  <si>
    <t xml:space="preserve">3.4.1(3)g</t>
  </si>
  <si>
    <t xml:space="preserve">Record, track and report the status of corrective actions (repairs, “use as is”) for nonconforming materiel addressed by the RFVs, which affects the configuration of any Configuration Items.</t>
  </si>
  <si>
    <t xml:space="preserve">REQ-304</t>
  </si>
  <si>
    <t xml:space="preserve">3.4.1(3)h</t>
  </si>
  <si>
    <t xml:space="preserve">Record and report the planning and results of configuration audits to include the status and final disposition of identified discrepancies.</t>
  </si>
  <si>
    <t xml:space="preserve">REQ-305</t>
  </si>
  <si>
    <t xml:space="preserve">3.4.1(3)i</t>
  </si>
  <si>
    <t xml:space="preserve">Provide performance metrics that measure the execution of the Supplier’s CM process and functions.</t>
  </si>
  <si>
    <t xml:space="preserve">REQ-306</t>
  </si>
  <si>
    <t xml:space="preserve">3.4.1(3)j</t>
  </si>
  <si>
    <t xml:space="preserve">Record and report all product data inherited from Sub-tier suppliers, to include vendor part numbers and serial numbers, and provide clear traceability from these components to their respective next higher assemblies.</t>
  </si>
  <si>
    <t xml:space="preserve">REQ-307</t>
  </si>
  <si>
    <t xml:space="preserve">3.4.1(4)</t>
  </si>
  <si>
    <t xml:space="preserve">The Supplier shall:</t>
  </si>
  <si>
    <t xml:space="preserve">REQ-308</t>
  </si>
  <si>
    <t xml:space="preserve">3.4.1(4)a</t>
  </si>
  <si>
    <t xml:space="preserve">Make CSA system and product configuration information readily available to the Acquirer or Acquirer’s designated representative, via on-site inspection, remote access, or regular submissions of CSA information and updates in accordance with the contract.</t>
  </si>
  <si>
    <t xml:space="preserve">REQ-309</t>
  </si>
  <si>
    <t xml:space="preserve">3.4.1(4)b</t>
  </si>
  <si>
    <t xml:space="preserve">Comply with Cyber Security requirements for the purpose of interoperating with the Acquirer’s system as in an integrated digital environment.</t>
  </si>
  <si>
    <t xml:space="preserve">REQ-310</t>
  </si>
  <si>
    <t xml:space="preserve">3.4.1(4)c</t>
  </si>
  <si>
    <t xml:space="preserve">Adequately secure, safeguard and retrieve, after extended storage, recorded product configuration information.</t>
  </si>
  <si>
    <t xml:space="preserve">REQ-311</t>
  </si>
  <si>
    <t xml:space="preserve">3.4.1(5)</t>
  </si>
  <si>
    <t xml:space="preserve">The Supplier shall provide a digital delivery to the Acquirer upon the completion of the contract, CSA information and configuration baseline documentation created, collected, and managed during the contract. The form, format and delivery date for this data delivery shall be in accordance Contract Data Requirements List (CDRL) specified within the contract.</t>
  </si>
  <si>
    <t xml:space="preserve">REQ-312</t>
  </si>
  <si>
    <t xml:space="preserve">NOTE: The Acquiring Activity may cite DI-SESS-81253 Configuration Status Accounting Information, for specifying the delivery of the data product that emanates from meeting this requirement.</t>
  </si>
  <si>
    <t xml:space="preserve">DI-SESS-81253</t>
  </si>
  <si>
    <t xml:space="preserve">REQ-313</t>
  </si>
  <si>
    <t xml:space="preserve">3.4.1(6)</t>
  </si>
  <si>
    <t xml:space="preserve">The Supplier shall document the incorporation of all retrofit changes to those units identified for retrofit when so tasked by contract provisions.</t>
  </si>
  <si>
    <t xml:space="preserve">REQ-314</t>
  </si>
  <si>
    <t xml:space="preserve">NOTE: The Acquiring Activity may cite DI-SESS-81245 Installation Completion Notification, for specifying the delivery of the data product that emanates from meeting this requirement.</t>
  </si>
  <si>
    <t xml:space="preserve">DI-SESS-81245</t>
  </si>
  <si>
    <t xml:space="preserve">REQ-315</t>
  </si>
  <si>
    <t xml:space="preserve">3.4.2(1)</t>
  </si>
  <si>
    <t xml:space="preserve">3.4.2</t>
  </si>
  <si>
    <t xml:space="preserve">1.4.2</t>
  </si>
  <si>
    <t xml:space="preserve">CSA Analysis Requirements</t>
  </si>
  <si>
    <t xml:space="preserve">The Supplier shall evaluate CSA corrective actions to verify that problems have been resolved, metrics of adverse trends have been reversed and changes have been correctly implemented in the appropriate processes and products; and determine whether additional problems have been introduced.</t>
  </si>
  <si>
    <t xml:space="preserve">REQ-316</t>
  </si>
  <si>
    <t xml:space="preserve">Suggested performance metrics may include but are not limited to those that are listed in 3.1.1.</t>
  </si>
  <si>
    <t xml:space="preserve">REQ-317</t>
  </si>
  <si>
    <t xml:space="preserve">3.5</t>
  </si>
  <si>
    <t xml:space="preserve">1.5</t>
  </si>
  <si>
    <t xml:space="preserve">Configuration Verification and Audits</t>
  </si>
  <si>
    <t xml:space="preserve">The audit verifies that the product during development or modification has achieved specified requirements and the design is accurately and completely documented in configuration baseline information. Verifying the documentation determines that it is adequate for its intended purposes and accurately reflects a design compliant with the product’s functional and physical requirements. DoD utilizes Functional and Physical Configuration Audits (FCA/PCA) to achieve these goals.</t>
  </si>
  <si>
    <t xml:space="preserve">REQ-318</t>
  </si>
  <si>
    <t xml:space="preserve">3.5.1(1)</t>
  </si>
  <si>
    <t xml:space="preserve">3.5.1</t>
  </si>
  <si>
    <t xml:space="preserve">1.5.1</t>
  </si>
  <si>
    <t xml:space="preserve">Common Supplier Audit Responsibilities</t>
  </si>
  <si>
    <t xml:space="preserve">REQ-319</t>
  </si>
  <si>
    <t xml:space="preserve">3.5.1(1)a</t>
  </si>
  <si>
    <t xml:space="preserve">Conduct the FCAs and PCAs for designated Configuration Items to verify the system allocated and product configuration baselines including the prime supplier’s designated Sub-tier level.</t>
  </si>
  <si>
    <t xml:space="preserve">REQ-320</t>
  </si>
  <si>
    <t xml:space="preserve">3.5.1(1)b</t>
  </si>
  <si>
    <t xml:space="preserve">Support and participate in the FCAs and PCAs for related Configuration Items, as identified by the Acquirer.</t>
  </si>
  <si>
    <t xml:space="preserve">REQ-321</t>
  </si>
  <si>
    <t xml:space="preserve">3.5.1(1)c</t>
  </si>
  <si>
    <t xml:space="preserve">Conduct incremental, lower-level Configuration Item audits leading up to the system level audits.</t>
  </si>
  <si>
    <t xml:space="preserve">REQ-322</t>
  </si>
  <si>
    <t xml:space="preserve">3.5.1(1)d</t>
  </si>
  <si>
    <t xml:space="preserve">Establish the schedule for audits to be conducted at Supplier or Sub-supplier facilities including the agenda for each configuration audit in consonance with the Integrated Master Schedule (IMS) and obtain Acquirer’s approval.</t>
  </si>
  <si>
    <t xml:space="preserve">REQ-323</t>
  </si>
  <si>
    <t xml:space="preserve">3.5.1(1)e</t>
  </si>
  <si>
    <t xml:space="preserve">Confirm that each configuration audit schedule is compatible with the availability of the necessary information and contract articles (e.g., system engineering data, released engineering documentation, trade study results, producibility analysis results, risk analysis results, product specifications, quality control records, manuals, drawings, reports, hardware, Interface Design Document (IDD), and SVD for software).</t>
  </si>
  <si>
    <t xml:space="preserve">REQ-324</t>
  </si>
  <si>
    <t xml:space="preserve">3.5.1(1)f</t>
  </si>
  <si>
    <t xml:space="preserve">Sub-suppliers participate in planning and conducting configuration audits and prepare an audit plan to identify their requirements and responsibilities.</t>
  </si>
  <si>
    <t xml:space="preserve">REQ-325</t>
  </si>
  <si>
    <t xml:space="preserve">3.5.1(1)g</t>
  </si>
  <si>
    <t xml:space="preserve">Designate a representative for the audit.</t>
  </si>
  <si>
    <t xml:space="preserve">REQ-326</t>
  </si>
  <si>
    <t xml:space="preserve">3.5.1(1)h</t>
  </si>
  <si>
    <t xml:space="preserve">Provide a current listing of all RFVs, SCNs, NORs, and ECPs against the Configuration Item either requested or approved.</t>
  </si>
  <si>
    <t xml:space="preserve">REQ-327</t>
  </si>
  <si>
    <t xml:space="preserve">3.5.1(1)i</t>
  </si>
  <si>
    <t xml:space="preserve">Participating Supplier and Sub-supplier personnel are prepared to discuss the technical detail of the presented materiel.</t>
  </si>
  <si>
    <t xml:space="preserve">REQ-328</t>
  </si>
  <si>
    <t xml:space="preserve">3.5.1(1)j</t>
  </si>
  <si>
    <t xml:space="preserve">Participate in the resolution of discrepancies identified during the FCA/PCA.</t>
  </si>
  <si>
    <t xml:space="preserve">REQ-329</t>
  </si>
  <si>
    <t xml:space="preserve">3.5.1(1)k</t>
  </si>
  <si>
    <t xml:space="preserve">Summarize conclusions and add appropriate comments summarizing the side meetings and the main meeting into the official minutes.</t>
  </si>
  <si>
    <t xml:space="preserve">REQ-330</t>
  </si>
  <si>
    <t xml:space="preserve">3.5.1(1)l</t>
  </si>
  <si>
    <t xml:space="preserve">Document significant questions and answers, action items, conclusions, and recommended courses of action resulting from each audit.</t>
  </si>
  <si>
    <t xml:space="preserve">REQ-331</t>
  </si>
  <si>
    <t xml:space="preserve">3.5.1(1)m</t>
  </si>
  <si>
    <t xml:space="preserve">Record all discrepancies identified during the audit and process each one until it is closed out or a suitable residual task, including identification of responsible activities and suspenses, have been established and which will lead to the close out of the discrepancy/action item.</t>
  </si>
  <si>
    <t xml:space="preserve">REQ-332</t>
  </si>
  <si>
    <t xml:space="preserve">3.5.1(1)n</t>
  </si>
  <si>
    <t xml:space="preserve">Verify the implementation of engineering changes and variance corrective actions to confirm consistency is maintained between the product and its product configuration information.</t>
  </si>
  <si>
    <t xml:space="preserve">REQ-333</t>
  </si>
  <si>
    <t xml:space="preserve">3.5.1(2)</t>
  </si>
  <si>
    <t xml:space="preserve">When audits are conducted in increments, the Supplier shall support a final audit to verify that all requirements of the FBL, ABL, and PBL have been satisfied.</t>
  </si>
  <si>
    <t xml:space="preserve">REQ-334</t>
  </si>
  <si>
    <t xml:space="preserve">3.5.1(3)</t>
  </si>
  <si>
    <t xml:space="preserve">Supplier shall complete all audit entry and exit criteria prior to completion or closeout of the audit.</t>
  </si>
  <si>
    <t xml:space="preserve">REQ-335</t>
  </si>
  <si>
    <t xml:space="preserve">NOTE: The Acquirer should consult IEEE 15288.2 Technical Reviews and Audits and all associated Addenda and Amplifications for tailoring PCA Entry and Exit Criteria, which are determined through acceptance of the Supplier's Systems Engineering Management Plan (SEMP).</t>
  </si>
  <si>
    <t xml:space="preserve">REQ-336</t>
  </si>
  <si>
    <t xml:space="preserve">NOTE: The Acquiring Activity may cite DI-SESS-81646 Configuration Audit Plan, DI-ADMN-81249 Conference Agenda, and DI-ADMN-81250 Conference Minutes, for specifying the delivery of the data product that emanates from meeting this requirement.</t>
  </si>
  <si>
    <t xml:space="preserve">DI-ADMN-81249; DI-ADMN-81250; DI-SESS-81646</t>
  </si>
  <si>
    <t xml:space="preserve">REQ-337</t>
  </si>
  <si>
    <t xml:space="preserve">3.5.2</t>
  </si>
  <si>
    <t xml:space="preserve">1.5.2</t>
  </si>
  <si>
    <t xml:space="preserve">Functional Configuration Audit (FCA)</t>
  </si>
  <si>
    <t xml:space="preserve">The objective of the FCA is to verify the CI’s and system’s performance against its approved functional and allocated configuration documentation, to ensure the Configuration Item’s and system’s specifications and interfaces are accurately and adequately defined, and to ensure the Supplier’s change control system is adequate to control the processing and release of configuration documentation. The Computer Software Configuration Item (or CSCI) FCA ensures that all requirements have a related test step, and the test, as performed by test engineers, passes successfully.</t>
  </si>
  <si>
    <t xml:space="preserve">REQ-338</t>
  </si>
  <si>
    <t xml:space="preserve">3.5.2(1)</t>
  </si>
  <si>
    <t xml:space="preserve">When FCAs are conducted in increments, the Supplier shall conduct a final system-level FCA to confirm that the system has been satisfied.</t>
  </si>
  <si>
    <t xml:space="preserve">REQ-339</t>
  </si>
  <si>
    <t xml:space="preserve">3.5.2(2)</t>
  </si>
  <si>
    <t xml:space="preserve">The Supplier shall conduct the FCA to verify that the Configuration Item meets its performance requirements as documented in the approved FCD, ACD and is consistent with the up-to-date PCD.</t>
  </si>
  <si>
    <t xml:space="preserve">REQ-340</t>
  </si>
  <si>
    <t xml:space="preserve">3.5.2(3)</t>
  </si>
  <si>
    <t xml:space="preserve">Each FCA non-compliance shall be documented and provided to the Acquirer for appropriate action.</t>
  </si>
  <si>
    <t xml:space="preserve">REQ-341</t>
  </si>
  <si>
    <t xml:space="preserve">3.5.2(4)</t>
  </si>
  <si>
    <t xml:space="preserve">The Supplier shall use test data from the verification of the Configuration Item for the FCA.</t>
  </si>
  <si>
    <t xml:space="preserve">REQ-342</t>
  </si>
  <si>
    <t xml:space="preserve">3.5.2(5)</t>
  </si>
  <si>
    <t xml:space="preserve">The Supplier shall audit the Configuration Item with prior Acquirer approval of the FBL and ABL of the Configuration Item or system involved.</t>
  </si>
  <si>
    <t xml:space="preserve">REQ-343</t>
  </si>
  <si>
    <t xml:space="preserve">3.5.2.1(1)</t>
  </si>
  <si>
    <t xml:space="preserve">3.5.2.1</t>
  </si>
  <si>
    <t xml:space="preserve">1.5.2.1</t>
  </si>
  <si>
    <t xml:space="preserve">Supplier FCA Responsibilities</t>
  </si>
  <si>
    <t xml:space="preserve">The Supplier shall provide the following information to the Acquirer prior to the audit date:</t>
  </si>
  <si>
    <t xml:space="preserve">REQ-344</t>
  </si>
  <si>
    <t xml:space="preserve">3.5.2.1(1)a</t>
  </si>
  <si>
    <t xml:space="preserve">List of items to be audited to include documents.</t>
  </si>
  <si>
    <t xml:space="preserve">REQ-345</t>
  </si>
  <si>
    <t xml:space="preserve">3.5.2.1(1)b</t>
  </si>
  <si>
    <t xml:space="preserve">List of tasks to be accomplished at the FCA for the Configuration Item.</t>
  </si>
  <si>
    <t xml:space="preserve">REQ-346</t>
  </si>
  <si>
    <t xml:space="preserve">3.5.2.1(1)c</t>
  </si>
  <si>
    <t xml:space="preserve">Matrix that identifies and provides traceability for all requirements; includes a cross reference to the test plans, test procedures, test programs with automatic/automated test equipment (when applicable), test reports (results of demonstrations, inspections and analyses for each requirement), and any known deficiencies supported by applicable deficiency report numbers.</t>
  </si>
  <si>
    <t xml:space="preserve">REQ-347</t>
  </si>
  <si>
    <t xml:space="preserve">3.5.2.1(2)</t>
  </si>
  <si>
    <t xml:space="preserve">The Supplier shall provide the following information and data necessary to support the FCA.</t>
  </si>
  <si>
    <t xml:space="preserve">REQ-348</t>
  </si>
  <si>
    <t xml:space="preserve">3.5.2.1(2)a</t>
  </si>
  <si>
    <t xml:space="preserve">The configuration documentation for the Configuration Item being audited.</t>
  </si>
  <si>
    <t xml:space="preserve">REQ-349</t>
  </si>
  <si>
    <t xml:space="preserve">3.5.2.1(2)b</t>
  </si>
  <si>
    <t xml:space="preserve">All approved ECPs.</t>
  </si>
  <si>
    <t xml:space="preserve">REQ-350</t>
  </si>
  <si>
    <t xml:space="preserve">3.5.2.1(2)c</t>
  </si>
  <si>
    <t xml:space="preserve">An account of the ECPs incorporated and tested as well as proposed.</t>
  </si>
  <si>
    <t xml:space="preserve">REQ-351</t>
  </si>
  <si>
    <t xml:space="preserve">3.5.2.1(2)d</t>
  </si>
  <si>
    <t xml:space="preserve">Test plans, specifications, descriptions, procedures, recorded results, and analyses for the Configuration Item.</t>
  </si>
  <si>
    <t xml:space="preserve">REQ-352</t>
  </si>
  <si>
    <t xml:space="preserve">3.5.2.1(2)e</t>
  </si>
  <si>
    <t xml:space="preserve">A general discussion of the entire Configuration Item test effort delineating problem area accomplishments.</t>
  </si>
  <si>
    <t xml:space="preserve">REQ-353</t>
  </si>
  <si>
    <t xml:space="preserve">3.5.2.1(2)f</t>
  </si>
  <si>
    <t xml:space="preserve">Configuration Item requirements that were not met, including a proposed remedy for each item.</t>
  </si>
  <si>
    <t xml:space="preserve">REQ-354</t>
  </si>
  <si>
    <t xml:space="preserve">3.5.2.1(2)g</t>
  </si>
  <si>
    <t xml:space="preserve">Complete list of test requirements not yet performed and a plan for accomplishing each requirement.</t>
  </si>
  <si>
    <t xml:space="preserve">REQ-355</t>
  </si>
  <si>
    <t xml:space="preserve">3.5.2.1(2)h</t>
  </si>
  <si>
    <t xml:space="preserve">Analyses or simulations for those requirements, which cannot be completely verified through the use of testing.</t>
  </si>
  <si>
    <t xml:space="preserve">REQ-356</t>
  </si>
  <si>
    <t xml:space="preserve">3.5.2.1(2)i</t>
  </si>
  <si>
    <t xml:space="preserve">Provide the following for Computer Software Configuration Items:</t>
  </si>
  <si>
    <t xml:space="preserve">REQ-357</t>
  </si>
  <si>
    <t xml:space="preserve">3.5.2.1(2)i.1</t>
  </si>
  <si>
    <t xml:space="preserve">Database characteristics, storage allocation data, and timing and sequencing characteristics for compliance with specified requirements.</t>
  </si>
  <si>
    <t xml:space="preserve">REQ-358</t>
  </si>
  <si>
    <t xml:space="preserve">3.5.2.1(2)i.2</t>
  </si>
  <si>
    <t xml:space="preserve">Documents that comprise or describe the contents or the use of the software product for format and completeness (e.g., Software Product specification (SPS), User’s Manual, SVD))</t>
  </si>
  <si>
    <t xml:space="preserve">REQ-359</t>
  </si>
  <si>
    <t xml:space="preserve">3.5.2.1(2)i.3</t>
  </si>
  <si>
    <t xml:space="preserve">Records that reflect the changes made to the developmental configuration for the Computer Software Configuration Items.</t>
  </si>
  <si>
    <t xml:space="preserve">REQ-360</t>
  </si>
  <si>
    <t xml:space="preserve">3.5.2.1(2)i.4</t>
  </si>
  <si>
    <t xml:space="preserve">Listing of all versions of the developmental and non-developmental software for the Computer Software Configuration Items that are in the software library.</t>
  </si>
  <si>
    <t xml:space="preserve">REQ-361</t>
  </si>
  <si>
    <t xml:space="preserve">3.5.2.1(2)i.5</t>
  </si>
  <si>
    <t xml:space="preserve">Findings of all internal CM and software QA audits of the Computer Software Configuration Items.</t>
  </si>
  <si>
    <t xml:space="preserve">REQ-362</t>
  </si>
  <si>
    <t xml:space="preserve">3.5.2.1(2)j</t>
  </si>
  <si>
    <t xml:space="preserve">Preliminary Design Review (PDR) and Critical Design Review (CDR) minutes. The Acquirer examines to ensure that all findings have been incorporated and completed and that all action items are closed.</t>
  </si>
  <si>
    <t xml:space="preserve">REQ-363</t>
  </si>
  <si>
    <t xml:space="preserve">3.5.2.1(3)</t>
  </si>
  <si>
    <t xml:space="preserve">The Supplier shall provide the FCA minutes to include the requirements traceability and test matrix.</t>
  </si>
  <si>
    <t xml:space="preserve">REQ-364</t>
  </si>
  <si>
    <t xml:space="preserve">3.5.3</t>
  </si>
  <si>
    <t xml:space="preserve">1.5.3</t>
  </si>
  <si>
    <t xml:space="preserve">Physical Configuration Audit (PCA)</t>
  </si>
  <si>
    <t xml:space="preserve">The purpose of the PCA is to provide assurance to the Acquirer that the product configuration documentation (including CAD models, drawings and software source code) accurately reflects the validated product, and the documentation is a clear, complete and accurate representation of the intended design and to establish the final product baseline. The Supplier and Acquirer conducts a PCA to examine the as-built configuration of a validated CI, comparing results against its design documentation plus any approved changes after a successful CDR. The software PCA is conducted after producing a software build, the build has to be produced and checked that it can be installed on the device or computer during a PCA and verified against the SVD, and is witnessed by QA or any other entity established by the Acquiring activity. This would include verifying all software updates have been applied, as listed on the problem reports for this build. Each PCA non-compliance identified during the audit is documented by CM and evaluated by the project lead for appropriate action.</t>
  </si>
  <si>
    <t xml:space="preserve">REQ-365</t>
  </si>
  <si>
    <t xml:space="preserve">3.5.3(1)</t>
  </si>
  <si>
    <t xml:space="preserve">The Supplier shall conduct the PCA to verify that the PCD is consistent with the validated Configuration Item.</t>
  </si>
  <si>
    <t xml:space="preserve">REQ-366</t>
  </si>
  <si>
    <t xml:space="preserve">3.5.3(2)</t>
  </si>
  <si>
    <t xml:space="preserve">The Supplier shall confirm compatibility between the Configuration Item with the Program Parts Selection List (PPSL) and examine the Configuration Item to ensure that the proper parts are actually installed.</t>
  </si>
  <si>
    <t xml:space="preserve">REQ-367</t>
  </si>
  <si>
    <t xml:space="preserve">3.5.3(3)</t>
  </si>
  <si>
    <t xml:space="preserve">When PCAs are conducted in increments, the Supplier shall conduct a final system-level PCA to confirm the system PBL is correct.</t>
  </si>
  <si>
    <t xml:space="preserve">REQ-368</t>
  </si>
  <si>
    <t xml:space="preserve">3.5.3(4)</t>
  </si>
  <si>
    <t xml:space="preserve">The Supplier shall document each PCA non-compliance and provided to the Acquirer for appropriate action.</t>
  </si>
  <si>
    <t xml:space="preserve">REQ-369</t>
  </si>
  <si>
    <t xml:space="preserve">3.5.3(5)</t>
  </si>
  <si>
    <t xml:space="preserve">If any portions of the inspections, tests, or audits need to be re-accomplished, the Supplier shall invite the Acquirer or Acquirers designated representative to witness the required inspections, tests, and audits.</t>
  </si>
  <si>
    <t xml:space="preserve">REQ-370</t>
  </si>
  <si>
    <t xml:space="preserve">3.5.3.1(1)</t>
  </si>
  <si>
    <t xml:space="preserve">3.5.3.1</t>
  </si>
  <si>
    <t xml:space="preserve">1.5.3.1</t>
  </si>
  <si>
    <t xml:space="preserve">Supplier PCA Responsibilities</t>
  </si>
  <si>
    <t xml:space="preserve">REQ-371</t>
  </si>
  <si>
    <t xml:space="preserve">3.5.3.1(1)a</t>
  </si>
  <si>
    <t xml:space="preserve">Data describing the item configuration, to include:</t>
  </si>
  <si>
    <t xml:space="preserve">REQ-372</t>
  </si>
  <si>
    <t xml:space="preserve">3.5.3.1(1)a.1</t>
  </si>
  <si>
    <t xml:space="preserve">Configuration Item specifications.</t>
  </si>
  <si>
    <t xml:space="preserve">REQ-373</t>
  </si>
  <si>
    <t xml:space="preserve">3.5.3.1(1)a.2</t>
  </si>
  <si>
    <t xml:space="preserve">A list delineating both approved and outstanding changes against the CI.</t>
  </si>
  <si>
    <t xml:space="preserve">REQ-374</t>
  </si>
  <si>
    <t xml:space="preserve">3.5.3.1(1)a.3</t>
  </si>
  <si>
    <t xml:space="preserve">Complete shortage list.</t>
  </si>
  <si>
    <t xml:space="preserve">REQ-375</t>
  </si>
  <si>
    <t xml:space="preserve">3.5.3.1(1)a.4</t>
  </si>
  <si>
    <t xml:space="preserve">Acceptance test procedures and associated test data from those procedures from the successful FCA.</t>
  </si>
  <si>
    <t xml:space="preserve">REQ-376</t>
  </si>
  <si>
    <t xml:space="preserve">3.5.3.1(1)a.5</t>
  </si>
  <si>
    <t xml:space="preserve">Engineering drawing index including revision letters.</t>
  </si>
  <si>
    <t xml:space="preserve">REQ-377</t>
  </si>
  <si>
    <t xml:space="preserve">3.5.3.1(1)a.6</t>
  </si>
  <si>
    <t xml:space="preserve">Operating and support manuals; including operator’s manuals, maintenance manuals, illustrated part breakdown, programmer’s manuals, diagnostic manuals, etc.</t>
  </si>
  <si>
    <t xml:space="preserve">REQ-378</t>
  </si>
  <si>
    <t xml:space="preserve">3.5.3.1(1)a.7</t>
  </si>
  <si>
    <t xml:space="preserve">Proposed Material Inspection and Receiving Report, DD Form 250.</t>
  </si>
  <si>
    <t xml:space="preserve">DD Form 250</t>
  </si>
  <si>
    <t xml:space="preserve">REQ-379</t>
  </si>
  <si>
    <t xml:space="preserve">3.5.3.1(1)a.8</t>
  </si>
  <si>
    <t xml:space="preserve">Approved nomenclature and nameplates.</t>
  </si>
  <si>
    <t xml:space="preserve">REQ-380</t>
  </si>
  <si>
    <t xml:space="preserve">3.5.3.1(1)a.9</t>
  </si>
  <si>
    <t xml:space="preserve">SVDs for software.</t>
  </si>
  <si>
    <t xml:space="preserve">REQ-381</t>
  </si>
  <si>
    <t xml:space="preserve">3.5.3.1(1)a.10</t>
  </si>
  <si>
    <t xml:space="preserve">FCA official minutes for each Configuration Item unless being performed incrementally.</t>
  </si>
  <si>
    <t xml:space="preserve">REQ-382</t>
  </si>
  <si>
    <t xml:space="preserve">3.5.3.1(1)a.11</t>
  </si>
  <si>
    <t xml:space="preserve">Status of the current Original Equipment Manufacturer (OEM)/Supplier Quality Assurance Programs.</t>
  </si>
  <si>
    <t xml:space="preserve">REQ-383</t>
  </si>
  <si>
    <t xml:space="preserve">3.5.3.1(1)a.12</t>
  </si>
  <si>
    <t xml:space="preserve">Parts Selection List.</t>
  </si>
  <si>
    <t xml:space="preserve">REQ-384</t>
  </si>
  <si>
    <t xml:space="preserve">3.5.3.1(1)a.13</t>
  </si>
  <si>
    <t xml:space="preserve">Interface Design Document for software.</t>
  </si>
  <si>
    <t xml:space="preserve">REQ-385</t>
  </si>
  <si>
    <t xml:space="preserve">3.5.3.1(1)a.14</t>
  </si>
  <si>
    <t xml:space="preserve">Current approved issue of hardware development and software and interface requirements specifications to include approved SCNs and approved variances.</t>
  </si>
  <si>
    <t xml:space="preserve">REQ-386</t>
  </si>
  <si>
    <t xml:space="preserve">3.5.3.1(1)a.15</t>
  </si>
  <si>
    <t xml:space="preserve">Operational test plans, specifications, descriptions, procedures, recorded results, and analyses for the CI.</t>
  </si>
  <si>
    <t xml:space="preserve">REQ-387</t>
  </si>
  <si>
    <t xml:space="preserve">3.5.3.1(1)a.16</t>
  </si>
  <si>
    <t xml:space="preserve">Configuration Item requirements that were not met, including a proposed remedy for each CI.</t>
  </si>
  <si>
    <t xml:space="preserve">REQ-388</t>
  </si>
  <si>
    <t xml:space="preserve">3.5.3.1(1)a.17</t>
  </si>
  <si>
    <t xml:space="preserve">Complete list of operational test requirements not yet performed and a plan for accomplishing each requirement.</t>
  </si>
  <si>
    <t xml:space="preserve">REQ-389</t>
  </si>
  <si>
    <t xml:space="preserve">3.5.3.1(1)a.18</t>
  </si>
  <si>
    <t xml:space="preserve">Analyses or simulations for those requirements, which cannot be completely validated through the use of testing.</t>
  </si>
  <si>
    <t xml:space="preserve">REQ-390</t>
  </si>
  <si>
    <t xml:space="preserve">3.5.3.1(1)a.19</t>
  </si>
  <si>
    <t xml:space="preserve">Identification of all changes made during test.</t>
  </si>
  <si>
    <t xml:space="preserve">REQ-391</t>
  </si>
  <si>
    <t xml:space="preserve">3.5.3.1(1)a.20</t>
  </si>
  <si>
    <t xml:space="preserve">Identification of any required changes not completed.</t>
  </si>
  <si>
    <t xml:space="preserve">REQ-392</t>
  </si>
  <si>
    <t xml:space="preserve">3.5.3.1(1)a.21</t>
  </si>
  <si>
    <t xml:space="preserve">All configuration documentation, or electronic representations of the same, required to identify the CI.</t>
  </si>
  <si>
    <t xml:space="preserve">REQ-393</t>
  </si>
  <si>
    <t xml:space="preserve">3.5.3.1(1)b</t>
  </si>
  <si>
    <t xml:space="preserve">Identification of any difference between the physical configurations of the selected production CI(s) and the development CI(s) used for the FCA, including certifications or demonstrations that these differences do not degrade the functional characteristics of the selected CI(s).</t>
  </si>
  <si>
    <t xml:space="preserve">REQ-394</t>
  </si>
  <si>
    <t xml:space="preserve">3.5.3.1(1)c</t>
  </si>
  <si>
    <t xml:space="preserve">Form, fit, and function of the product model data as well as interface or integration data as proof that the product model and derived output products are current. First Article Tests/product verification could be used to provide information in support of PCA after CDR.</t>
  </si>
  <si>
    <t xml:space="preserve">REQ-395</t>
  </si>
  <si>
    <t xml:space="preserve">3.5.3.1(2)</t>
  </si>
  <si>
    <t xml:space="preserve">The Supplier shall provide the following information and data necessary to support the PCA and provide within the minutes:</t>
  </si>
  <si>
    <t xml:space="preserve">REQ-396</t>
  </si>
  <si>
    <t xml:space="preserve">3.5.3.1(2)a</t>
  </si>
  <si>
    <t xml:space="preserve">Complete product drawings/associated lists package (3D model type, cut-away drawings, and/or Model Based Definitions) and associated manufacturing instruction sheets (and/or Computer Aided Manufacturing (CAM) data) for each item of hardware or software identified.</t>
  </si>
  <si>
    <t xml:space="preserve">REQ-397</t>
  </si>
  <si>
    <t xml:space="preserve">3.5.3.1(2)b</t>
  </si>
  <si>
    <t xml:space="preserve">Completed inspection reports for selected drawings (3D model type or cut-away drawings and/or Model Based Definitions) and associated manufacturing instructions (and/or CAM data).</t>
  </si>
  <si>
    <t xml:space="preserve">REQ-398</t>
  </si>
  <si>
    <t xml:space="preserve">3.5.3.1(2)c</t>
  </si>
  <si>
    <t xml:space="preserve">Records of the configuration baselines to compare with the Supplier’s engineering change control procedures and release system, including interim releases of spares/repair parts provisioned prior to PCA to confirm delivery of currently configured spares/repair parts.</t>
  </si>
  <si>
    <t xml:space="preserve">REQ-399</t>
  </si>
  <si>
    <t xml:space="preserve">3.5.3.1(2)d</t>
  </si>
  <si>
    <t xml:space="preserve">Confirmation on the completion of the inspection and test of Sub-supplier equipment end items at point of manufacture.</t>
  </si>
  <si>
    <t xml:space="preserve">REQ-400</t>
  </si>
  <si>
    <t xml:space="preserve">3.5.3.1(2)e</t>
  </si>
  <si>
    <t xml:space="preserve">PPSL to support examination of the Configuration Item to verify that the proper parts are actually installed.</t>
  </si>
  <si>
    <t xml:space="preserve">REQ-401</t>
  </si>
  <si>
    <t xml:space="preserve">3.5.4(1)</t>
  </si>
  <si>
    <t xml:space="preserve">3.5.4</t>
  </si>
  <si>
    <t xml:space="preserve">1.5.4</t>
  </si>
  <si>
    <t xml:space="preserve">Post-Audit Action</t>
  </si>
  <si>
    <t xml:space="preserve">The Supplier shall complete post-audit actions as assigned/directed.</t>
  </si>
  <si>
    <t xml:space="preserve">REQ-402</t>
  </si>
  <si>
    <t xml:space="preserve">3.5.5(1)</t>
  </si>
  <si>
    <t xml:space="preserve">3.5.5</t>
  </si>
  <si>
    <t xml:space="preserve">1.5.5</t>
  </si>
  <si>
    <t xml:space="preserve">Configuration Audit Summary</t>
  </si>
  <si>
    <t xml:space="preserve">REQ-403</t>
  </si>
  <si>
    <t xml:space="preserve">3.5.5(1)a</t>
  </si>
  <si>
    <t xml:space="preserve">Prepare Configuration Audit Summary Report consisting of the applicable audit action items and discrepancy information that was derived from the applicable audit checklist package.</t>
  </si>
  <si>
    <t xml:space="preserve">REQ-404</t>
  </si>
  <si>
    <t xml:space="preserve">3.5.5(1)b</t>
  </si>
  <si>
    <t xml:space="preserve">Prepare a detailed configuration audit summary report after successful verification of the completed action items has been conducted.</t>
  </si>
  <si>
    <t xml:space="preserve">REQ-405</t>
  </si>
  <si>
    <t xml:space="preserve">3.5.5(1)c</t>
  </si>
  <si>
    <t xml:space="preserve">Provide the completed configuration audit summary report.</t>
  </si>
  <si>
    <t xml:space="preserve">REQ-406</t>
  </si>
  <si>
    <t xml:space="preserve">NOTE: The Acquiring Activity may cite DI-SESS-81022 Configuration Audit Summary Report, for specifying the delivery of the data product that emanates from meeting this requirement.</t>
  </si>
  <si>
    <t xml:space="preserve">DI-SESS-81022</t>
  </si>
  <si>
    <t xml:space="preserve">Principle ID</t>
  </si>
  <si>
    <t xml:space="preserve">Section (as rendered)</t>
  </si>
  <si>
    <t xml:space="preserve">Statement</t>
  </si>
  <si>
    <t xml:space="preserve">CM-1</t>
  </si>
  <si>
    <t xml:space="preserve">Configuration Management implementation requires a balanced and continuous application of CM functions and their underlying principles throughout the product life cycle.</t>
  </si>
  <si>
    <t xml:space="preserve">CMP-1</t>
  </si>
  <si>
    <t xml:space="preserve">The foundation for CM planning, which delineates the specific CM application methods and their levels of emphasis, is an understanding of the context and environment of the product to which the CM process is to be applied.</t>
  </si>
  <si>
    <t xml:space="preserve">CMP-2</t>
  </si>
  <si>
    <t xml:space="preserve">CM Planning documents how the organization will implement CM throughout the applicable phases of the product life cycle to provide consistency between product configuration information and the product.</t>
  </si>
  <si>
    <t xml:space="preserve">CMP-3</t>
  </si>
  <si>
    <t xml:space="preserve">To implement planned CM functions, resources are identified and applied and responsibilities to perform CM activities are assigned.</t>
  </si>
  <si>
    <t xml:space="preserve">CMP-5</t>
  </si>
  <si>
    <t xml:space="preserve">CM Procedures document how each CM function is implemented to accomplish the intent of the CM planning.</t>
  </si>
  <si>
    <t xml:space="preserve">CMP-6</t>
  </si>
  <si>
    <t xml:space="preserve">Provide CM training to assure that individuals understand their responsibility, authority, accountability, and the procedures for performing CM.</t>
  </si>
  <si>
    <t xml:space="preserve">CMP-7</t>
  </si>
  <si>
    <t xml:space="preserve">Periodic assessment of the effectiveness of CM procedures and tools and of compliance with the Configuration Management plan maintains the health of the CM process.</t>
  </si>
  <si>
    <t xml:space="preserve">CMP-4</t>
  </si>
  <si>
    <t xml:space="preserve">The establishment and maintenance of CM performance and status measurements are necessary for all products where compliance with the Configuration Management planning and continuous improvement are critical.</t>
  </si>
  <si>
    <t xml:space="preserve">CMP-8</t>
  </si>
  <si>
    <t xml:space="preserve">Performing configuration management includes responsibility for the configuration management performance of the supply chain.</t>
  </si>
  <si>
    <t xml:space="preserve">CMP-9</t>
  </si>
  <si>
    <t xml:space="preserve">Information processes, including collection and processing, controlling status, providing interoperability and exchange, and long term preservation, are essential elements of effective CM planning and management.</t>
  </si>
  <si>
    <t xml:space="preserve">CI-1</t>
  </si>
  <si>
    <t xml:space="preserve">Configuration identification is the basis from which the configuration of products is defined and verified; products and their product configuration information are labeled; changes are managed; and traceability is maintained throughout the product’s life cycle.</t>
  </si>
  <si>
    <t xml:space="preserve">CI-2</t>
  </si>
  <si>
    <t xml:space="preserve">Product configuration information serves as the basis for development, production, operation, and maintenance/support of the product.</t>
  </si>
  <si>
    <t xml:space="preserve">CI-3</t>
  </si>
  <si>
    <t xml:space="preserve">Enterprise identifiers designating the responsible designer, manufacturer, or preparer provide uniqueness to the identifiers of products and product configuration information.</t>
  </si>
  <si>
    <t xml:space="preserve">CI-4</t>
  </si>
  <si>
    <t xml:space="preserve">Product identifiers are assigned so that one product can be distinguished from other products; one configuration of a product can be distinguished from another and the correct corresponding product information can be retrieved.</t>
  </si>
  <si>
    <t xml:space="preserve">CI-5</t>
  </si>
  <si>
    <t xml:space="preserve">Individual units of a product are assigned a unique product unit identifier when there is a need to distinguish one unit of the product from another.</t>
  </si>
  <si>
    <t xml:space="preserve">CI-6</t>
  </si>
  <si>
    <t xml:space="preserve">When a product is modified, it retains its original product unit identifier, even though its part identifying number is altered to reflect a new configuration.</t>
  </si>
  <si>
    <t xml:space="preserve">CI-7</t>
  </si>
  <si>
    <t xml:space="preserve">A series of like units of a product is assigned a unique product group identifier when it is unnecessary or impractical to identify individual units, but necessary to correlate units to a process, date, event, or test.</t>
  </si>
  <si>
    <t xml:space="preserve">CI-8</t>
  </si>
  <si>
    <t xml:space="preserve">Product configuration information is uniquely identified so it can be referred to precisely and is made accessible.</t>
  </si>
  <si>
    <t xml:space="preserve">CI-9</t>
  </si>
  <si>
    <t xml:space="preserve">Establishing product structure to organize product configuration information provides efficient application of the information over its lifecycle.</t>
  </si>
  <si>
    <t xml:space="preserve">CI-10</t>
  </si>
  <si>
    <t xml:space="preserve">Product release provides the appropriate process(es) and evidence necessary to validate the integrity of the product for its intended use.</t>
  </si>
  <si>
    <t xml:space="preserve">CI-11</t>
  </si>
  <si>
    <t xml:space="preserve">A configuration baseline is established by agreeing to the definition of the attributes of a product at a point in time and identifies a known configuration to which changes are addressed.</t>
  </si>
  <si>
    <t xml:space="preserve">CI-12</t>
  </si>
  <si>
    <t xml:space="preserve">A baseline for any product, or any document, plus the approved changes, is the current approved configuration.</t>
  </si>
  <si>
    <t xml:space="preserve">CI-13</t>
  </si>
  <si>
    <t xml:space="preserve">3.2.5</t>
  </si>
  <si>
    <t xml:space="preserve">1.2.5</t>
  </si>
  <si>
    <t xml:space="preserve">Interface Management</t>
  </si>
  <si>
    <t xml:space="preserve">Interfaces between products are managed by mutually agreeing to defined common product attributes, making them part of the product configuration baselines for each product, and applying a process to maintain interface integrity.</t>
  </si>
  <si>
    <t xml:space="preserve">Principle: CI-14: Configuration items are designated where distinct control is appropriate.</t>
  </si>
  <si>
    <t xml:space="preserve">CCM-1</t>
  </si>
  <si>
    <t xml:space="preserve">Changes to an approved configuration are accomplished using a systematic, measurable change process.</t>
  </si>
  <si>
    <t xml:space="preserve">CCM-2</t>
  </si>
  <si>
    <t xml:space="preserve">Justifying the need for a change provides the rationale to commit resources required to document, process, and if approved, implement the change.</t>
  </si>
  <si>
    <t xml:space="preserve">CCM-3</t>
  </si>
  <si>
    <t xml:space="preserve">A unique change identifier enables tracking of the request for change and the status of implementation and verification of the approved change.</t>
  </si>
  <si>
    <t xml:space="preserve">CCM-4</t>
  </si>
  <si>
    <t xml:space="preserve">Classification of a requested change determines the appropriate level of review and the applicable change approval authority.</t>
  </si>
  <si>
    <t xml:space="preserve">CCM-5</t>
  </si>
  <si>
    <t xml:space="preserve">As the primary vehicle for referencing and managing a change, the request for change must be clear and comprehensive from technical, cost, and scheduling perspectives.</t>
  </si>
  <si>
    <t xml:space="preserve">CCM-6</t>
  </si>
  <si>
    <t xml:space="preserve">Prior to approval, a requested change is evaluated for all impacts and risk considerations including technical, operational, support, schedule, and cost, as well as the consequences of not approving the request.</t>
  </si>
  <si>
    <t xml:space="preserve">CCM-7</t>
  </si>
  <si>
    <t xml:space="preserve">After considering all impacts and risk factors, change approval decisions are made by an appropriate authority who can commit resources to implement the change.</t>
  </si>
  <si>
    <t xml:space="preserve">CCM-8</t>
  </si>
  <si>
    <t xml:space="preserve">An approved change is implemented in accordance with documented direction approved by the appropriate level of authority.</t>
  </si>
  <si>
    <t xml:space="preserve">CCM-9</t>
  </si>
  <si>
    <t xml:space="preserve">If it is necessary to temporarily depart from approved product configuration information, a request for variance is identified, classified, documented, coordinated, evaluated, and dispositioned.</t>
  </si>
  <si>
    <t xml:space="preserve">CSA-1</t>
  </si>
  <si>
    <t xml:space="preserve">Configuration Status Accounting (CSA) provides an accurate, timely information base concerning a product and its product configuration information throughout the product life cycle.</t>
  </si>
  <si>
    <t xml:space="preserve">CSA-2</t>
  </si>
  <si>
    <t xml:space="preserve">Information about the product and the product configuration information are captured as CM tasks are performed; reporting is accessible to support program/project activities as needed.</t>
  </si>
  <si>
    <t xml:space="preserve">CSA-3</t>
  </si>
  <si>
    <t xml:space="preserve">Metrics derived from configuration status accounting information are used to evaluate and improve CM process effectiveness.</t>
  </si>
  <si>
    <t xml:space="preserve">CVA-1</t>
  </si>
  <si>
    <t xml:space="preserve">Verify CM processes to ensure appropriate consistency is established and maintained in their execution.</t>
  </si>
  <si>
    <t xml:space="preserve">CVA-2</t>
  </si>
  <si>
    <t xml:space="preserve">Verifying a product’s compliance with the physical, functional, and interface requirements in approved product configuration information confirms the basis for managing product configuration.</t>
  </si>
  <si>
    <t xml:space="preserve">CVA-3</t>
  </si>
  <si>
    <t xml:space="preserve">Verify the implementation of each change to ensure consistency is maintained between the product, its configuration information, and related support assets.</t>
  </si>
  <si>
    <t xml:space="preserve">CVA-4</t>
  </si>
  <si>
    <t xml:space="preserve">Configuration audits are a summation of the configuration verification process, where necessary to establish approved configurations at key points in the product life cycle.</t>
  </si>
  <si>
    <t xml:space="preserve">Reference</t>
  </si>
  <si>
    <t xml:space="preserve">Type</t>
  </si>
  <si>
    <t xml:space="preserve">Times Cited</t>
  </si>
  <si>
    <t xml:space="preserve">Citing Clauses</t>
  </si>
  <si>
    <t xml:space="preserve">DI-ADMN-81249</t>
  </si>
  <si>
    <t xml:space="preserve">Data Item Description (DID)</t>
  </si>
  <si>
    <t xml:space="preserve">DI-ADMN-81250</t>
  </si>
  <si>
    <t xml:space="preserve">DI-MISC-80508</t>
  </si>
  <si>
    <t xml:space="preserve">3.1; 3.1.2</t>
  </si>
  <si>
    <t xml:space="preserve">DI-SESS-81121</t>
  </si>
  <si>
    <t xml:space="preserve">DI-SESS-81254</t>
  </si>
  <si>
    <t xml:space="preserve">3.2; 3.2.1</t>
  </si>
  <si>
    <t xml:space="preserve">DI-SESS-81646</t>
  </si>
  <si>
    <t xml:space="preserve">DI-SESS-82007</t>
  </si>
  <si>
    <t xml:space="preserve">ASME Y 14.100</t>
  </si>
  <si>
    <t xml:space="preserve">Standard / regulation</t>
  </si>
  <si>
    <t xml:space="preserve">3.3.1.2(1); 3.3.1.3(1)</t>
  </si>
  <si>
    <t xml:space="preserve">3.3.2(3)a; 3.3.2(3)b</t>
  </si>
  <si>
    <t xml:space="preserve">3.1.3; 3.5.1</t>
  </si>
  <si>
    <t xml:space="preserve">MIL-STD-1285</t>
  </si>
  <si>
    <t xml:space="preserve">3.2.4.1(1); 3.2.4.1; 3.2.4.1(3)</t>
  </si>
  <si>
    <t xml:space="preserve">MIL-STD-13231</t>
  </si>
  <si>
    <t xml:space="preserve">MIL-STD-1464</t>
  </si>
  <si>
    <t xml:space="preserve">MIL-STD-1661</t>
  </si>
  <si>
    <t xml:space="preserve">MIL-STD-196</t>
  </si>
  <si>
    <t xml:space="preserve">Shred Summary</t>
  </si>
  <si>
    <t xml:space="preserve">All figures are formulas over the Requirements tab and update as you fill it in.</t>
  </si>
  <si>
    <t xml:space="preserve">Document contents</t>
  </si>
  <si>
    <t xml:space="preserve">Total rows shredded</t>
  </si>
  <si>
    <t xml:space="preserve">Binding requirements (shall / must / will)</t>
  </si>
  <si>
    <t xml:space="preserve">Top-level requirements</t>
  </si>
  <si>
    <t xml:space="preserve">Sub-requirements</t>
  </si>
  <si>
    <t xml:space="preserve">Notes</t>
  </si>
  <si>
    <t xml:space="preserve">Guidance / narrative</t>
  </si>
  <si>
    <t xml:space="preserve">Principle statements</t>
  </si>
  <si>
    <t xml:space="preserve">Distinct references cited</t>
  </si>
  <si>
    <t xml:space="preserve">Compliance status roll-up (binding requirements only)</t>
  </si>
  <si>
    <t xml:space="preserve">Status</t>
  </si>
  <si>
    <t xml:space="preserve">Count</t>
  </si>
  <si>
    <t xml:space="preserve">% of binding</t>
  </si>
  <si>
    <t xml:space="preserve">Comply with Exception</t>
  </si>
  <si>
    <t xml:space="preserve">Not Comply</t>
  </si>
  <si>
    <t xml:space="preserve">Not Applicable</t>
  </si>
  <si>
    <t xml:space="preserve">Not Yet Assessed</t>
  </si>
  <si>
    <t xml:space="preserve">Unassessed (blank)</t>
  </si>
  <si>
    <t xml:space="preserve">Breakdown by section</t>
  </si>
  <si>
    <t xml:space="preserve">Title</t>
  </si>
  <si>
    <t xml:space="preserve">Rows</t>
  </si>
  <si>
    <t xml:space="preserve">Binding requirements</t>
  </si>
  <si>
    <t xml:space="preserve">Assessed</t>
  </si>
  <si>
    <t xml:space="preserve">% assessed</t>
  </si>
</sst>
</file>

<file path=xl/styles.xml><?xml version="1.0" encoding="utf-8"?>
<styleSheet xmlns="http://schemas.openxmlformats.org/spreadsheetml/2006/main">
  <numFmts count="3">
    <numFmt numFmtId="164" formatCode="General"/>
    <numFmt numFmtId="165" formatCode="General"/>
    <numFmt numFmtId="166" formatCode="0.0%"/>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0"/>
      <name val="Arial"/>
      <family val="0"/>
      <charset val="1"/>
    </font>
    <font>
      <sz val="10"/>
      <name val="Arial"/>
      <family val="0"/>
      <charset val="1"/>
    </font>
    <font>
      <b val="true"/>
      <sz val="11"/>
      <color rgb="FF1F3864"/>
      <name val="Arial"/>
      <family val="0"/>
      <charset val="1"/>
    </font>
    <font>
      <b val="true"/>
      <sz val="10"/>
      <color rgb="FFFFFF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D9E2F3"/>
        <bgColor rgb="FFF2F2F2"/>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6" fontId="7" fillId="5" borderId="1"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fgColor rgb="FFD9E2F3"/>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7" min="3" style="0" width="22"/>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c r="B3" s="4"/>
    </row>
    <row r="4" customFormat="false" ht="15" hidden="false" customHeight="false" outlineLevel="0" collapsed="false">
      <c r="A4" s="5" t="s">
        <v>2</v>
      </c>
    </row>
    <row r="5" customFormat="false" ht="57.45" hidden="false" customHeight="false" outlineLevel="0" collapsed="false">
      <c r="A5" s="3" t="s">
        <v>3</v>
      </c>
      <c r="B5" s="4" t="s">
        <v>4</v>
      </c>
    </row>
    <row r="6" customFormat="false" ht="57.45" hidden="false" customHeight="false" outlineLevel="0" collapsed="false">
      <c r="A6" s="3" t="s">
        <v>5</v>
      </c>
      <c r="B6" s="4" t="s">
        <v>6</v>
      </c>
    </row>
    <row r="7" customFormat="false" ht="35.05" hidden="false" customHeight="false" outlineLevel="0" collapsed="false">
      <c r="A7" s="3" t="s">
        <v>7</v>
      </c>
      <c r="B7" s="4" t="s">
        <v>8</v>
      </c>
    </row>
    <row r="8" customFormat="false" ht="35.05" hidden="false" customHeight="false" outlineLevel="0" collapsed="false">
      <c r="A8" s="3" t="s">
        <v>9</v>
      </c>
      <c r="B8" s="4" t="s">
        <v>10</v>
      </c>
    </row>
    <row r="9" customFormat="false" ht="15" hidden="false" customHeight="false" outlineLevel="0" collapsed="false">
      <c r="A9" s="3"/>
      <c r="B9" s="4"/>
    </row>
    <row r="10" customFormat="false" ht="15" hidden="false" customHeight="false" outlineLevel="0" collapsed="false">
      <c r="A10" s="5" t="s">
        <v>11</v>
      </c>
    </row>
    <row r="11" customFormat="false" ht="35.05" hidden="false" customHeight="false" outlineLevel="0" collapsed="false">
      <c r="A11" s="3" t="s">
        <v>12</v>
      </c>
      <c r="B11" s="4" t="s">
        <v>13</v>
      </c>
    </row>
    <row r="12" customFormat="false" ht="35.05" hidden="false" customHeight="false" outlineLevel="0" collapsed="false">
      <c r="A12" s="3" t="s">
        <v>14</v>
      </c>
      <c r="B12" s="4" t="s">
        <v>15</v>
      </c>
    </row>
    <row r="13" customFormat="false" ht="35.05" hidden="false" customHeight="false" outlineLevel="0" collapsed="false">
      <c r="A13" s="3" t="s">
        <v>16</v>
      </c>
      <c r="B13" s="4" t="s">
        <v>17</v>
      </c>
    </row>
    <row r="14" customFormat="false" ht="35.05" hidden="false" customHeight="false" outlineLevel="0" collapsed="false">
      <c r="A14" s="3" t="s">
        <v>18</v>
      </c>
      <c r="B14" s="4" t="s">
        <v>19</v>
      </c>
    </row>
    <row r="15" customFormat="false" ht="15" hidden="false" customHeight="false" outlineLevel="0" collapsed="false">
      <c r="A15" s="3" t="s">
        <v>20</v>
      </c>
      <c r="B15" s="4" t="s">
        <v>21</v>
      </c>
    </row>
    <row r="16" customFormat="false" ht="15" hidden="false" customHeight="false" outlineLevel="0" collapsed="false">
      <c r="A16" s="3" t="s">
        <v>22</v>
      </c>
      <c r="B16" s="4" t="s">
        <v>23</v>
      </c>
    </row>
    <row r="17" customFormat="false" ht="15" hidden="false" customHeight="false" outlineLevel="0" collapsed="false">
      <c r="A17" s="3"/>
      <c r="B17" s="4"/>
    </row>
    <row r="18" customFormat="false" ht="15" hidden="false" customHeight="false" outlineLevel="0" collapsed="false">
      <c r="A18" s="5" t="s">
        <v>24</v>
      </c>
    </row>
    <row r="19" customFormat="false" ht="15" hidden="false" customHeight="false" outlineLevel="0" collapsed="false">
      <c r="A19" s="6" t="s">
        <v>25</v>
      </c>
      <c r="B19" s="6" t="s">
        <v>26</v>
      </c>
      <c r="C19" s="6" t="s">
        <v>27</v>
      </c>
      <c r="D19" s="6" t="s">
        <v>28</v>
      </c>
      <c r="E19" s="6" t="s">
        <v>29</v>
      </c>
      <c r="F19" s="6" t="s">
        <v>30</v>
      </c>
      <c r="G19" s="6" t="s">
        <v>31</v>
      </c>
    </row>
    <row r="20" customFormat="false" ht="45.75" hidden="false" customHeight="true" outlineLevel="0" collapsed="false">
      <c r="A20" s="7" t="s">
        <v>32</v>
      </c>
      <c r="B20" s="7" t="s">
        <v>33</v>
      </c>
      <c r="C20" s="7" t="s">
        <v>34</v>
      </c>
      <c r="D20" s="8" t="s">
        <v>35</v>
      </c>
      <c r="E20" s="8" t="s">
        <v>36</v>
      </c>
      <c r="F20" s="8" t="s">
        <v>37</v>
      </c>
      <c r="G20" s="8" t="s">
        <v>38</v>
      </c>
    </row>
    <row r="22" customFormat="false" ht="15" hidden="false" customHeight="false" outlineLevel="0" collapsed="false">
      <c r="A22" s="5" t="s">
        <v>39</v>
      </c>
    </row>
    <row r="23" customFormat="false" ht="15" hidden="false" customHeight="true" outlineLevel="0" collapsed="false">
      <c r="A23" s="9" t="s">
        <v>40</v>
      </c>
      <c r="B23" s="9"/>
      <c r="C23" s="9"/>
      <c r="D23" s="9"/>
      <c r="E23" s="9"/>
      <c r="F23" s="9"/>
      <c r="G23" s="9"/>
    </row>
    <row r="24" customFormat="false" ht="15" hidden="false" customHeight="false" outlineLevel="0" collapsed="false">
      <c r="A24" s="9"/>
      <c r="B24" s="9"/>
      <c r="C24" s="9"/>
      <c r="D24" s="9"/>
      <c r="E24" s="9"/>
      <c r="F24" s="9"/>
      <c r="G24" s="9"/>
    </row>
    <row r="25" customFormat="false" ht="15" hidden="false" customHeight="false" outlineLevel="0" collapsed="false">
      <c r="A25" s="9"/>
      <c r="B25" s="9"/>
      <c r="C25" s="9"/>
      <c r="D25" s="9"/>
      <c r="E25" s="9"/>
      <c r="F25" s="9"/>
      <c r="G25" s="9"/>
    </row>
    <row r="26" customFormat="false" ht="15" hidden="false" customHeight="false" outlineLevel="0" collapsed="false">
      <c r="A26" s="9"/>
      <c r="B26" s="9"/>
      <c r="C26" s="9"/>
      <c r="D26" s="9"/>
      <c r="E26" s="9"/>
      <c r="F26" s="9"/>
      <c r="G26" s="9"/>
    </row>
  </sheetData>
  <mergeCells count="1">
    <mergeCell ref="A23:G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4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3" min="3" style="0" width="10"/>
    <col collapsed="false" customWidth="true" hidden="false" outlineLevel="0" max="4" min="4" style="0" width="14"/>
    <col collapsed="false" customWidth="true" hidden="false" outlineLevel="0" max="5" min="5" style="0" width="30"/>
    <col collapsed="false" customWidth="true" hidden="false" outlineLevel="0" max="6" min="6" style="0" width="7"/>
    <col collapsed="false" customWidth="true" hidden="false" outlineLevel="0" max="7" min="7" style="0" width="15"/>
    <col collapsed="false" customWidth="true" hidden="false" outlineLevel="0" max="8" min="8" style="0" width="13"/>
    <col collapsed="false" customWidth="true" hidden="false" outlineLevel="0" max="9" min="9" style="0" width="15"/>
    <col collapsed="false" customWidth="true" hidden="false" outlineLevel="0" max="10" min="10" style="0" width="12"/>
    <col collapsed="false" customWidth="true" hidden="false" outlineLevel="0" max="11" min="11" style="0" width="72"/>
    <col collapsed="false" customWidth="true" hidden="false" outlineLevel="0" max="12" min="12" style="0" width="45"/>
    <col collapsed="false" customWidth="true" hidden="false" outlineLevel="0" max="13" min="13" style="0" width="22"/>
    <col collapsed="false" customWidth="true" hidden="false" outlineLevel="0" max="14" min="14" style="0" width="24"/>
    <col collapsed="false" customWidth="true" hidden="false" outlineLevel="0" max="15" min="15" style="0" width="20"/>
    <col collapsed="false" customWidth="true" hidden="false" outlineLevel="0" max="16" min="16" style="0" width="15"/>
    <col collapsed="false" customWidth="true" hidden="false" outlineLevel="0" max="17" min="17" style="0" width="18"/>
    <col collapsed="false" customWidth="true" hidden="false" outlineLevel="0" max="18" min="18" style="0" width="26"/>
    <col collapsed="false" customWidth="true" hidden="false" outlineLevel="0" max="19" min="19" style="0" width="16"/>
    <col collapsed="false" customWidth="true" hidden="false" outlineLevel="0" max="20" min="20" style="0" width="26"/>
  </cols>
  <sheetData>
    <row r="1" customFormat="false" ht="31.5" hidden="false" customHeight="true" outlineLevel="0" collapsed="false">
      <c r="A1" s="10" t="s">
        <v>25</v>
      </c>
      <c r="B1" s="10" t="s">
        <v>26</v>
      </c>
      <c r="C1" s="10" t="s">
        <v>41</v>
      </c>
      <c r="D1" s="10" t="s">
        <v>42</v>
      </c>
      <c r="E1" s="10" t="s">
        <v>43</v>
      </c>
      <c r="F1" s="10" t="s">
        <v>44</v>
      </c>
      <c r="G1" s="10" t="s">
        <v>45</v>
      </c>
      <c r="H1" s="10" t="s">
        <v>46</v>
      </c>
      <c r="I1" s="10" t="s">
        <v>47</v>
      </c>
      <c r="J1" s="10" t="s">
        <v>48</v>
      </c>
      <c r="K1" s="10" t="s">
        <v>27</v>
      </c>
      <c r="L1" s="10" t="s">
        <v>49</v>
      </c>
      <c r="M1" s="10" t="s">
        <v>50</v>
      </c>
      <c r="N1" s="10" t="s">
        <v>51</v>
      </c>
      <c r="O1" s="10" t="s">
        <v>28</v>
      </c>
      <c r="P1" s="10" t="s">
        <v>52</v>
      </c>
      <c r="Q1" s="10" t="s">
        <v>29</v>
      </c>
      <c r="R1" s="10" t="s">
        <v>30</v>
      </c>
      <c r="S1" s="10" t="s">
        <v>31</v>
      </c>
      <c r="T1" s="10" t="s">
        <v>53</v>
      </c>
    </row>
    <row r="2" customFormat="false" ht="23.85" hidden="false" customHeight="false" outlineLevel="0" collapsed="false">
      <c r="A2" s="11" t="s">
        <v>54</v>
      </c>
      <c r="B2" s="11" t="s">
        <v>55</v>
      </c>
      <c r="C2" s="11" t="s">
        <v>56</v>
      </c>
      <c r="D2" s="11" t="s">
        <v>57</v>
      </c>
      <c r="E2" s="11" t="s">
        <v>58</v>
      </c>
      <c r="F2" s="11" t="n">
        <v>1</v>
      </c>
      <c r="G2" s="12" t="s">
        <v>59</v>
      </c>
      <c r="H2" s="11" t="s">
        <v>60</v>
      </c>
      <c r="I2" s="11" t="s">
        <v>61</v>
      </c>
      <c r="J2" s="11" t="s">
        <v>62</v>
      </c>
      <c r="K2" s="11" t="s">
        <v>63</v>
      </c>
      <c r="L2" s="11"/>
      <c r="M2" s="11"/>
      <c r="N2" s="11"/>
      <c r="O2" s="8"/>
      <c r="P2" s="8"/>
      <c r="Q2" s="8"/>
      <c r="R2" s="8"/>
      <c r="S2" s="8"/>
      <c r="T2" s="8"/>
    </row>
    <row r="3" customFormat="false" ht="23.85" hidden="false" customHeight="false" outlineLevel="0" collapsed="false">
      <c r="A3" s="7" t="s">
        <v>64</v>
      </c>
      <c r="B3" s="7" t="s">
        <v>56</v>
      </c>
      <c r="C3" s="7" t="s">
        <v>56</v>
      </c>
      <c r="D3" s="7" t="s">
        <v>57</v>
      </c>
      <c r="E3" s="7" t="s">
        <v>58</v>
      </c>
      <c r="F3" s="7"/>
      <c r="G3" s="7" t="s">
        <v>65</v>
      </c>
      <c r="H3" s="7" t="s">
        <v>66</v>
      </c>
      <c r="I3" s="7"/>
      <c r="J3" s="7" t="s">
        <v>67</v>
      </c>
      <c r="K3" s="7" t="s">
        <v>68</v>
      </c>
      <c r="L3" s="7" t="s">
        <v>63</v>
      </c>
      <c r="M3" s="7"/>
      <c r="N3" s="7"/>
      <c r="O3" s="8"/>
      <c r="P3" s="8"/>
      <c r="Q3" s="8"/>
      <c r="R3" s="8"/>
      <c r="S3" s="8"/>
      <c r="T3" s="8"/>
    </row>
    <row r="4" customFormat="false" ht="23.85" hidden="false" customHeight="false" outlineLevel="0" collapsed="false">
      <c r="A4" s="11" t="s">
        <v>32</v>
      </c>
      <c r="B4" s="11" t="s">
        <v>33</v>
      </c>
      <c r="C4" s="11" t="s">
        <v>56</v>
      </c>
      <c r="D4" s="11" t="s">
        <v>57</v>
      </c>
      <c r="E4" s="11" t="s">
        <v>58</v>
      </c>
      <c r="F4" s="11" t="n">
        <v>1</v>
      </c>
      <c r="G4" s="12" t="s">
        <v>59</v>
      </c>
      <c r="H4" s="11" t="s">
        <v>60</v>
      </c>
      <c r="I4" s="11" t="s">
        <v>61</v>
      </c>
      <c r="J4" s="11" t="s">
        <v>62</v>
      </c>
      <c r="K4" s="11" t="s">
        <v>34</v>
      </c>
      <c r="L4" s="11"/>
      <c r="M4" s="11"/>
      <c r="N4" s="11"/>
      <c r="O4" s="8"/>
      <c r="P4" s="8"/>
      <c r="Q4" s="8"/>
      <c r="R4" s="8"/>
      <c r="S4" s="8"/>
      <c r="T4" s="8"/>
    </row>
    <row r="5" customFormat="false" ht="23.85" hidden="false" customHeight="false" outlineLevel="0" collapsed="false">
      <c r="A5" s="11" t="s">
        <v>69</v>
      </c>
      <c r="B5" s="11" t="s">
        <v>70</v>
      </c>
      <c r="C5" s="11" t="s">
        <v>56</v>
      </c>
      <c r="D5" s="11" t="s">
        <v>57</v>
      </c>
      <c r="E5" s="11" t="s">
        <v>58</v>
      </c>
      <c r="F5" s="11" t="n">
        <v>1</v>
      </c>
      <c r="G5" s="12" t="s">
        <v>59</v>
      </c>
      <c r="H5" s="11" t="s">
        <v>60</v>
      </c>
      <c r="I5" s="11" t="s">
        <v>61</v>
      </c>
      <c r="J5" s="11" t="s">
        <v>62</v>
      </c>
      <c r="K5" s="11" t="s">
        <v>71</v>
      </c>
      <c r="L5" s="11"/>
      <c r="M5" s="11"/>
      <c r="N5" s="11"/>
      <c r="O5" s="8"/>
      <c r="P5" s="8"/>
      <c r="Q5" s="8"/>
      <c r="R5" s="8"/>
      <c r="S5" s="8"/>
      <c r="T5" s="8"/>
    </row>
    <row r="6" customFormat="false" ht="23.85" hidden="false" customHeight="false" outlineLevel="0" collapsed="false">
      <c r="A6" s="11" t="s">
        <v>72</v>
      </c>
      <c r="B6" s="11" t="s">
        <v>73</v>
      </c>
      <c r="C6" s="11" t="s">
        <v>56</v>
      </c>
      <c r="D6" s="11" t="s">
        <v>57</v>
      </c>
      <c r="E6" s="11" t="s">
        <v>58</v>
      </c>
      <c r="F6" s="11" t="n">
        <v>1</v>
      </c>
      <c r="G6" s="12" t="s">
        <v>59</v>
      </c>
      <c r="H6" s="11" t="s">
        <v>60</v>
      </c>
      <c r="I6" s="11" t="s">
        <v>61</v>
      </c>
      <c r="J6" s="11" t="s">
        <v>62</v>
      </c>
      <c r="K6" s="11" t="s">
        <v>74</v>
      </c>
      <c r="L6" s="11"/>
      <c r="M6" s="11"/>
      <c r="N6" s="11"/>
      <c r="O6" s="8"/>
      <c r="P6" s="8"/>
      <c r="Q6" s="8"/>
      <c r="R6" s="8"/>
      <c r="S6" s="8"/>
      <c r="T6" s="8"/>
    </row>
    <row r="7" customFormat="false" ht="15" hidden="false" customHeight="false" outlineLevel="0" collapsed="false">
      <c r="A7" s="11" t="s">
        <v>75</v>
      </c>
      <c r="B7" s="11" t="s">
        <v>76</v>
      </c>
      <c r="C7" s="11" t="s">
        <v>77</v>
      </c>
      <c r="D7" s="11" t="s">
        <v>78</v>
      </c>
      <c r="E7" s="11" t="s">
        <v>79</v>
      </c>
      <c r="F7" s="11" t="n">
        <v>1</v>
      </c>
      <c r="G7" s="12" t="s">
        <v>59</v>
      </c>
      <c r="H7" s="11" t="s">
        <v>60</v>
      </c>
      <c r="I7" s="11" t="s">
        <v>61</v>
      </c>
      <c r="J7" s="11" t="s">
        <v>62</v>
      </c>
      <c r="K7" s="11" t="s">
        <v>80</v>
      </c>
      <c r="L7" s="11"/>
      <c r="M7" s="11"/>
      <c r="N7" s="11"/>
      <c r="O7" s="8"/>
      <c r="P7" s="8"/>
      <c r="Q7" s="8"/>
      <c r="R7" s="8"/>
      <c r="S7" s="8"/>
      <c r="T7" s="8"/>
    </row>
    <row r="8" customFormat="false" ht="23.85" hidden="false" customHeight="false" outlineLevel="0" collapsed="false">
      <c r="A8" s="7" t="s">
        <v>81</v>
      </c>
      <c r="B8" s="7" t="s">
        <v>82</v>
      </c>
      <c r="C8" s="7" t="s">
        <v>77</v>
      </c>
      <c r="D8" s="7" t="s">
        <v>78</v>
      </c>
      <c r="E8" s="7" t="s">
        <v>79</v>
      </c>
      <c r="F8" s="7" t="n">
        <v>2</v>
      </c>
      <c r="G8" s="7" t="s">
        <v>83</v>
      </c>
      <c r="H8" s="7" t="s">
        <v>84</v>
      </c>
      <c r="I8" s="7" t="s">
        <v>61</v>
      </c>
      <c r="J8" s="7" t="s">
        <v>62</v>
      </c>
      <c r="K8" s="7" t="s">
        <v>85</v>
      </c>
      <c r="L8" s="7" t="s">
        <v>80</v>
      </c>
      <c r="M8" s="7"/>
      <c r="N8" s="7"/>
      <c r="O8" s="8"/>
      <c r="P8" s="8"/>
      <c r="Q8" s="8"/>
      <c r="R8" s="8"/>
      <c r="S8" s="8"/>
      <c r="T8" s="8"/>
    </row>
    <row r="9" customFormat="false" ht="23.85" hidden="false" customHeight="false" outlineLevel="0" collapsed="false">
      <c r="A9" s="7" t="s">
        <v>86</v>
      </c>
      <c r="B9" s="7" t="s">
        <v>87</v>
      </c>
      <c r="C9" s="7" t="s">
        <v>77</v>
      </c>
      <c r="D9" s="7" t="s">
        <v>78</v>
      </c>
      <c r="E9" s="7" t="s">
        <v>79</v>
      </c>
      <c r="F9" s="7" t="n">
        <v>2</v>
      </c>
      <c r="G9" s="7" t="s">
        <v>83</v>
      </c>
      <c r="H9" s="7" t="s">
        <v>84</v>
      </c>
      <c r="I9" s="7" t="s">
        <v>61</v>
      </c>
      <c r="J9" s="7" t="s">
        <v>62</v>
      </c>
      <c r="K9" s="7" t="s">
        <v>88</v>
      </c>
      <c r="L9" s="7" t="s">
        <v>80</v>
      </c>
      <c r="M9" s="7"/>
      <c r="N9" s="7"/>
      <c r="O9" s="8"/>
      <c r="P9" s="8"/>
      <c r="Q9" s="8"/>
      <c r="R9" s="8"/>
      <c r="S9" s="8"/>
      <c r="T9" s="8"/>
    </row>
    <row r="10" customFormat="false" ht="23.85" hidden="false" customHeight="false" outlineLevel="0" collapsed="false">
      <c r="A10" s="7" t="s">
        <v>89</v>
      </c>
      <c r="B10" s="7" t="s">
        <v>90</v>
      </c>
      <c r="C10" s="7" t="s">
        <v>77</v>
      </c>
      <c r="D10" s="7" t="s">
        <v>78</v>
      </c>
      <c r="E10" s="7" t="s">
        <v>79</v>
      </c>
      <c r="F10" s="7" t="n">
        <v>2</v>
      </c>
      <c r="G10" s="7" t="s">
        <v>83</v>
      </c>
      <c r="H10" s="7" t="s">
        <v>84</v>
      </c>
      <c r="I10" s="7" t="s">
        <v>61</v>
      </c>
      <c r="J10" s="7" t="s">
        <v>62</v>
      </c>
      <c r="K10" s="7" t="s">
        <v>91</v>
      </c>
      <c r="L10" s="7" t="s">
        <v>80</v>
      </c>
      <c r="M10" s="7"/>
      <c r="N10" s="7"/>
      <c r="O10" s="8"/>
      <c r="P10" s="8"/>
      <c r="Q10" s="8"/>
      <c r="R10" s="8"/>
      <c r="S10" s="8"/>
      <c r="T10" s="8"/>
    </row>
    <row r="11" customFormat="false" ht="23.85" hidden="false" customHeight="false" outlineLevel="0" collapsed="false">
      <c r="A11" s="7" t="s">
        <v>92</v>
      </c>
      <c r="B11" s="7" t="s">
        <v>93</v>
      </c>
      <c r="C11" s="7" t="s">
        <v>77</v>
      </c>
      <c r="D11" s="7" t="s">
        <v>78</v>
      </c>
      <c r="E11" s="7" t="s">
        <v>79</v>
      </c>
      <c r="F11" s="7" t="n">
        <v>2</v>
      </c>
      <c r="G11" s="7" t="s">
        <v>83</v>
      </c>
      <c r="H11" s="7" t="s">
        <v>84</v>
      </c>
      <c r="I11" s="7" t="s">
        <v>61</v>
      </c>
      <c r="J11" s="7" t="s">
        <v>62</v>
      </c>
      <c r="K11" s="7" t="s">
        <v>94</v>
      </c>
      <c r="L11" s="7" t="s">
        <v>80</v>
      </c>
      <c r="M11" s="7"/>
      <c r="N11" s="7"/>
      <c r="O11" s="8"/>
      <c r="P11" s="8"/>
      <c r="Q11" s="8"/>
      <c r="R11" s="8"/>
      <c r="S11" s="8"/>
      <c r="T11" s="8"/>
    </row>
    <row r="12" customFormat="false" ht="23.85" hidden="false" customHeight="false" outlineLevel="0" collapsed="false">
      <c r="A12" s="7" t="s">
        <v>95</v>
      </c>
      <c r="B12" s="7" t="s">
        <v>96</v>
      </c>
      <c r="C12" s="7" t="s">
        <v>77</v>
      </c>
      <c r="D12" s="7" t="s">
        <v>78</v>
      </c>
      <c r="E12" s="7" t="s">
        <v>79</v>
      </c>
      <c r="F12" s="7" t="n">
        <v>2</v>
      </c>
      <c r="G12" s="7" t="s">
        <v>83</v>
      </c>
      <c r="H12" s="7" t="s">
        <v>84</v>
      </c>
      <c r="I12" s="7" t="s">
        <v>61</v>
      </c>
      <c r="J12" s="7" t="s">
        <v>62</v>
      </c>
      <c r="K12" s="7" t="s">
        <v>97</v>
      </c>
      <c r="L12" s="7" t="s">
        <v>80</v>
      </c>
      <c r="M12" s="7"/>
      <c r="N12" s="7"/>
      <c r="O12" s="8"/>
      <c r="P12" s="8"/>
      <c r="Q12" s="8"/>
      <c r="R12" s="8"/>
      <c r="S12" s="8"/>
      <c r="T12" s="8"/>
    </row>
    <row r="13" customFormat="false" ht="23.85" hidden="false" customHeight="false" outlineLevel="0" collapsed="false">
      <c r="A13" s="7" t="s">
        <v>98</v>
      </c>
      <c r="B13" s="7" t="s">
        <v>99</v>
      </c>
      <c r="C13" s="7" t="s">
        <v>77</v>
      </c>
      <c r="D13" s="7" t="s">
        <v>78</v>
      </c>
      <c r="E13" s="7" t="s">
        <v>79</v>
      </c>
      <c r="F13" s="7" t="n">
        <v>2</v>
      </c>
      <c r="G13" s="7" t="s">
        <v>83</v>
      </c>
      <c r="H13" s="7" t="s">
        <v>84</v>
      </c>
      <c r="I13" s="7" t="s">
        <v>100</v>
      </c>
      <c r="J13" s="7" t="s">
        <v>62</v>
      </c>
      <c r="K13" s="7" t="s">
        <v>101</v>
      </c>
      <c r="L13" s="7" t="s">
        <v>80</v>
      </c>
      <c r="M13" s="7"/>
      <c r="N13" s="7"/>
      <c r="O13" s="8"/>
      <c r="P13" s="8"/>
      <c r="Q13" s="8"/>
      <c r="R13" s="8"/>
      <c r="S13" s="8"/>
      <c r="T13" s="8"/>
    </row>
    <row r="14" customFormat="false" ht="23.85" hidden="false" customHeight="false" outlineLevel="0" collapsed="false">
      <c r="A14" s="7" t="s">
        <v>102</v>
      </c>
      <c r="B14" s="7" t="s">
        <v>103</v>
      </c>
      <c r="C14" s="7" t="s">
        <v>77</v>
      </c>
      <c r="D14" s="7" t="s">
        <v>78</v>
      </c>
      <c r="E14" s="7" t="s">
        <v>79</v>
      </c>
      <c r="F14" s="7" t="n">
        <v>2</v>
      </c>
      <c r="G14" s="7" t="s">
        <v>83</v>
      </c>
      <c r="H14" s="7" t="s">
        <v>84</v>
      </c>
      <c r="I14" s="7" t="s">
        <v>61</v>
      </c>
      <c r="J14" s="7" t="s">
        <v>62</v>
      </c>
      <c r="K14" s="7" t="s">
        <v>104</v>
      </c>
      <c r="L14" s="7" t="s">
        <v>80</v>
      </c>
      <c r="M14" s="7"/>
      <c r="N14" s="7"/>
      <c r="O14" s="8"/>
      <c r="P14" s="8"/>
      <c r="Q14" s="8"/>
      <c r="R14" s="8"/>
      <c r="S14" s="8"/>
      <c r="T14" s="8"/>
    </row>
    <row r="15" customFormat="false" ht="23.85" hidden="false" customHeight="false" outlineLevel="0" collapsed="false">
      <c r="A15" s="7" t="s">
        <v>105</v>
      </c>
      <c r="B15" s="7" t="s">
        <v>106</v>
      </c>
      <c r="C15" s="7" t="s">
        <v>77</v>
      </c>
      <c r="D15" s="7" t="s">
        <v>78</v>
      </c>
      <c r="E15" s="7" t="s">
        <v>79</v>
      </c>
      <c r="F15" s="7" t="n">
        <v>2</v>
      </c>
      <c r="G15" s="7" t="s">
        <v>83</v>
      </c>
      <c r="H15" s="7" t="s">
        <v>84</v>
      </c>
      <c r="I15" s="7" t="s">
        <v>61</v>
      </c>
      <c r="J15" s="7" t="s">
        <v>62</v>
      </c>
      <c r="K15" s="7" t="s">
        <v>107</v>
      </c>
      <c r="L15" s="7" t="s">
        <v>80</v>
      </c>
      <c r="M15" s="7"/>
      <c r="N15" s="7"/>
      <c r="O15" s="8"/>
      <c r="P15" s="8"/>
      <c r="Q15" s="8"/>
      <c r="R15" s="8"/>
      <c r="S15" s="8"/>
      <c r="T15" s="8"/>
    </row>
    <row r="16" customFormat="false" ht="23.85" hidden="false" customHeight="false" outlineLevel="0" collapsed="false">
      <c r="A16" s="7" t="s">
        <v>108</v>
      </c>
      <c r="B16" s="7" t="s">
        <v>109</v>
      </c>
      <c r="C16" s="7" t="s">
        <v>77</v>
      </c>
      <c r="D16" s="7" t="s">
        <v>78</v>
      </c>
      <c r="E16" s="7" t="s">
        <v>79</v>
      </c>
      <c r="F16" s="7" t="n">
        <v>2</v>
      </c>
      <c r="G16" s="7" t="s">
        <v>83</v>
      </c>
      <c r="H16" s="7" t="s">
        <v>84</v>
      </c>
      <c r="I16" s="7" t="s">
        <v>61</v>
      </c>
      <c r="J16" s="7" t="s">
        <v>62</v>
      </c>
      <c r="K16" s="7" t="s">
        <v>110</v>
      </c>
      <c r="L16" s="7" t="s">
        <v>80</v>
      </c>
      <c r="M16" s="7"/>
      <c r="N16" s="7"/>
      <c r="O16" s="8"/>
      <c r="P16" s="8"/>
      <c r="Q16" s="8"/>
      <c r="R16" s="8"/>
      <c r="S16" s="8"/>
      <c r="T16" s="8"/>
    </row>
    <row r="17" customFormat="false" ht="35.05" hidden="false" customHeight="false" outlineLevel="0" collapsed="false">
      <c r="A17" s="7" t="s">
        <v>111</v>
      </c>
      <c r="B17" s="7" t="s">
        <v>112</v>
      </c>
      <c r="C17" s="7" t="s">
        <v>77</v>
      </c>
      <c r="D17" s="7" t="s">
        <v>78</v>
      </c>
      <c r="E17" s="7" t="s">
        <v>79</v>
      </c>
      <c r="F17" s="7" t="n">
        <v>2</v>
      </c>
      <c r="G17" s="7" t="s">
        <v>83</v>
      </c>
      <c r="H17" s="7" t="s">
        <v>84</v>
      </c>
      <c r="I17" s="7" t="s">
        <v>61</v>
      </c>
      <c r="J17" s="7" t="s">
        <v>62</v>
      </c>
      <c r="K17" s="7" t="s">
        <v>113</v>
      </c>
      <c r="L17" s="7" t="s">
        <v>80</v>
      </c>
      <c r="M17" s="7"/>
      <c r="N17" s="7"/>
      <c r="O17" s="8"/>
      <c r="P17" s="8"/>
      <c r="Q17" s="8"/>
      <c r="R17" s="8"/>
      <c r="S17" s="8"/>
      <c r="T17" s="8"/>
    </row>
    <row r="18" customFormat="false" ht="23.85" hidden="false" customHeight="false" outlineLevel="0" collapsed="false">
      <c r="A18" s="7" t="s">
        <v>114</v>
      </c>
      <c r="B18" s="7" t="s">
        <v>115</v>
      </c>
      <c r="C18" s="7" t="s">
        <v>77</v>
      </c>
      <c r="D18" s="7" t="s">
        <v>78</v>
      </c>
      <c r="E18" s="7" t="s">
        <v>79</v>
      </c>
      <c r="F18" s="7" t="n">
        <v>2</v>
      </c>
      <c r="G18" s="7" t="s">
        <v>83</v>
      </c>
      <c r="H18" s="7" t="s">
        <v>84</v>
      </c>
      <c r="I18" s="7" t="s">
        <v>61</v>
      </c>
      <c r="J18" s="7" t="s">
        <v>62</v>
      </c>
      <c r="K18" s="7" t="s">
        <v>116</v>
      </c>
      <c r="L18" s="7" t="s">
        <v>80</v>
      </c>
      <c r="M18" s="7"/>
      <c r="N18" s="7"/>
      <c r="O18" s="8"/>
      <c r="P18" s="8"/>
      <c r="Q18" s="8"/>
      <c r="R18" s="8"/>
      <c r="S18" s="8"/>
      <c r="T18" s="8"/>
    </row>
    <row r="19" customFormat="false" ht="35.05" hidden="false" customHeight="false" outlineLevel="0" collapsed="false">
      <c r="A19" s="7" t="s">
        <v>117</v>
      </c>
      <c r="B19" s="7" t="s">
        <v>77</v>
      </c>
      <c r="C19" s="7" t="s">
        <v>77</v>
      </c>
      <c r="D19" s="7" t="s">
        <v>78</v>
      </c>
      <c r="E19" s="7" t="s">
        <v>79</v>
      </c>
      <c r="F19" s="7"/>
      <c r="G19" s="7" t="s">
        <v>65</v>
      </c>
      <c r="H19" s="7" t="s">
        <v>118</v>
      </c>
      <c r="I19" s="7" t="s">
        <v>61</v>
      </c>
      <c r="J19" s="7" t="s">
        <v>67</v>
      </c>
      <c r="K19" s="7" t="s">
        <v>119</v>
      </c>
      <c r="L19" s="7" t="s">
        <v>80</v>
      </c>
      <c r="M19" s="7" t="s">
        <v>120</v>
      </c>
      <c r="N19" s="7"/>
      <c r="O19" s="8"/>
      <c r="P19" s="8"/>
      <c r="Q19" s="8"/>
      <c r="R19" s="8"/>
      <c r="S19" s="8"/>
      <c r="T19" s="8"/>
    </row>
    <row r="20" customFormat="false" ht="46.25" hidden="false" customHeight="false" outlineLevel="0" collapsed="false">
      <c r="A20" s="7" t="s">
        <v>121</v>
      </c>
      <c r="B20" s="7" t="s">
        <v>122</v>
      </c>
      <c r="C20" s="7" t="s">
        <v>122</v>
      </c>
      <c r="D20" s="7" t="s">
        <v>123</v>
      </c>
      <c r="E20" s="7" t="s">
        <v>124</v>
      </c>
      <c r="F20" s="7"/>
      <c r="G20" s="7" t="s">
        <v>125</v>
      </c>
      <c r="H20" s="7"/>
      <c r="I20" s="7" t="s">
        <v>126</v>
      </c>
      <c r="J20" s="7" t="s">
        <v>67</v>
      </c>
      <c r="K20" s="7" t="s">
        <v>127</v>
      </c>
      <c r="L20" s="7"/>
      <c r="M20" s="7"/>
      <c r="N20" s="7"/>
      <c r="O20" s="8"/>
      <c r="P20" s="8"/>
      <c r="Q20" s="8"/>
      <c r="R20" s="8"/>
      <c r="S20" s="8"/>
      <c r="T20" s="8"/>
    </row>
    <row r="21" customFormat="false" ht="23.85" hidden="false" customHeight="false" outlineLevel="0" collapsed="false">
      <c r="A21" s="11" t="s">
        <v>128</v>
      </c>
      <c r="B21" s="11" t="s">
        <v>129</v>
      </c>
      <c r="C21" s="11" t="s">
        <v>122</v>
      </c>
      <c r="D21" s="11" t="s">
        <v>123</v>
      </c>
      <c r="E21" s="11" t="s">
        <v>124</v>
      </c>
      <c r="F21" s="11" t="n">
        <v>1</v>
      </c>
      <c r="G21" s="12" t="s">
        <v>59</v>
      </c>
      <c r="H21" s="11" t="s">
        <v>60</v>
      </c>
      <c r="I21" s="11" t="s">
        <v>61</v>
      </c>
      <c r="J21" s="11" t="s">
        <v>62</v>
      </c>
      <c r="K21" s="11" t="s">
        <v>130</v>
      </c>
      <c r="L21" s="11"/>
      <c r="M21" s="11"/>
      <c r="N21" s="11"/>
      <c r="O21" s="8"/>
      <c r="P21" s="8"/>
      <c r="Q21" s="8"/>
      <c r="R21" s="8"/>
      <c r="S21" s="8"/>
      <c r="T21" s="8"/>
    </row>
    <row r="22" customFormat="false" ht="23.85" hidden="false" customHeight="false" outlineLevel="0" collapsed="false">
      <c r="A22" s="11" t="s">
        <v>131</v>
      </c>
      <c r="B22" s="11" t="s">
        <v>132</v>
      </c>
      <c r="C22" s="11" t="s">
        <v>122</v>
      </c>
      <c r="D22" s="11" t="s">
        <v>123</v>
      </c>
      <c r="E22" s="11" t="s">
        <v>124</v>
      </c>
      <c r="F22" s="11" t="n">
        <v>1</v>
      </c>
      <c r="G22" s="12" t="s">
        <v>59</v>
      </c>
      <c r="H22" s="11" t="s">
        <v>60</v>
      </c>
      <c r="I22" s="11" t="s">
        <v>61</v>
      </c>
      <c r="J22" s="11" t="s">
        <v>62</v>
      </c>
      <c r="K22" s="11" t="s">
        <v>133</v>
      </c>
      <c r="L22" s="11"/>
      <c r="M22" s="11"/>
      <c r="N22" s="11"/>
      <c r="O22" s="8"/>
      <c r="P22" s="8"/>
      <c r="Q22" s="8"/>
      <c r="R22" s="8"/>
      <c r="S22" s="8"/>
      <c r="T22" s="8"/>
    </row>
    <row r="23" customFormat="false" ht="23.85" hidden="false" customHeight="false" outlineLevel="0" collapsed="false">
      <c r="A23" s="7" t="s">
        <v>134</v>
      </c>
      <c r="B23" s="7" t="s">
        <v>122</v>
      </c>
      <c r="C23" s="7" t="s">
        <v>122</v>
      </c>
      <c r="D23" s="7" t="s">
        <v>123</v>
      </c>
      <c r="E23" s="7" t="s">
        <v>124</v>
      </c>
      <c r="F23" s="7"/>
      <c r="G23" s="7" t="s">
        <v>125</v>
      </c>
      <c r="H23" s="7" t="s">
        <v>118</v>
      </c>
      <c r="I23" s="7"/>
      <c r="J23" s="7" t="s">
        <v>67</v>
      </c>
      <c r="K23" s="7" t="s">
        <v>135</v>
      </c>
      <c r="L23" s="7" t="s">
        <v>133</v>
      </c>
      <c r="M23" s="7"/>
      <c r="N23" s="7"/>
      <c r="O23" s="8"/>
      <c r="P23" s="8"/>
      <c r="Q23" s="8"/>
      <c r="R23" s="8"/>
      <c r="S23" s="8"/>
      <c r="T23" s="8"/>
    </row>
    <row r="24" customFormat="false" ht="23.85" hidden="false" customHeight="false" outlineLevel="0" collapsed="false">
      <c r="A24" s="7" t="s">
        <v>136</v>
      </c>
      <c r="B24" s="7" t="s">
        <v>137</v>
      </c>
      <c r="C24" s="7" t="s">
        <v>122</v>
      </c>
      <c r="D24" s="7" t="s">
        <v>123</v>
      </c>
      <c r="E24" s="7" t="s">
        <v>124</v>
      </c>
      <c r="F24" s="7" t="n">
        <v>2</v>
      </c>
      <c r="G24" s="7" t="s">
        <v>83</v>
      </c>
      <c r="H24" s="7" t="s">
        <v>84</v>
      </c>
      <c r="I24" s="7" t="s">
        <v>126</v>
      </c>
      <c r="J24" s="7" t="s">
        <v>62</v>
      </c>
      <c r="K24" s="7" t="s">
        <v>138</v>
      </c>
      <c r="L24" s="7" t="s">
        <v>133</v>
      </c>
      <c r="M24" s="7"/>
      <c r="N24" s="7"/>
      <c r="O24" s="8"/>
      <c r="P24" s="8"/>
      <c r="Q24" s="8"/>
      <c r="R24" s="8"/>
      <c r="S24" s="8"/>
      <c r="T24" s="8"/>
    </row>
    <row r="25" customFormat="false" ht="23.85" hidden="false" customHeight="false" outlineLevel="0" collapsed="false">
      <c r="A25" s="7" t="s">
        <v>139</v>
      </c>
      <c r="B25" s="7" t="s">
        <v>140</v>
      </c>
      <c r="C25" s="7" t="s">
        <v>122</v>
      </c>
      <c r="D25" s="7" t="s">
        <v>123</v>
      </c>
      <c r="E25" s="7" t="s">
        <v>124</v>
      </c>
      <c r="F25" s="7" t="n">
        <v>2</v>
      </c>
      <c r="G25" s="7" t="s">
        <v>83</v>
      </c>
      <c r="H25" s="7" t="s">
        <v>84</v>
      </c>
      <c r="I25" s="7" t="s">
        <v>61</v>
      </c>
      <c r="J25" s="7" t="s">
        <v>62</v>
      </c>
      <c r="K25" s="7" t="s">
        <v>141</v>
      </c>
      <c r="L25" s="7" t="s">
        <v>133</v>
      </c>
      <c r="M25" s="7"/>
      <c r="N25" s="7"/>
      <c r="O25" s="8"/>
      <c r="P25" s="8"/>
      <c r="Q25" s="8"/>
      <c r="R25" s="8"/>
      <c r="S25" s="8"/>
      <c r="T25" s="8"/>
    </row>
    <row r="26" customFormat="false" ht="23.85" hidden="false" customHeight="false" outlineLevel="0" collapsed="false">
      <c r="A26" s="7" t="s">
        <v>142</v>
      </c>
      <c r="B26" s="7" t="s">
        <v>143</v>
      </c>
      <c r="C26" s="7" t="s">
        <v>122</v>
      </c>
      <c r="D26" s="7" t="s">
        <v>123</v>
      </c>
      <c r="E26" s="7" t="s">
        <v>124</v>
      </c>
      <c r="F26" s="7" t="n">
        <v>2</v>
      </c>
      <c r="G26" s="7" t="s">
        <v>83</v>
      </c>
      <c r="H26" s="7" t="s">
        <v>84</v>
      </c>
      <c r="I26" s="7" t="s">
        <v>61</v>
      </c>
      <c r="J26" s="7" t="s">
        <v>62</v>
      </c>
      <c r="K26" s="7" t="s">
        <v>144</v>
      </c>
      <c r="L26" s="7" t="s">
        <v>133</v>
      </c>
      <c r="M26" s="7"/>
      <c r="N26" s="7"/>
      <c r="O26" s="8"/>
      <c r="P26" s="8"/>
      <c r="Q26" s="8"/>
      <c r="R26" s="8"/>
      <c r="S26" s="8"/>
      <c r="T26" s="8"/>
    </row>
    <row r="27" customFormat="false" ht="23.85" hidden="false" customHeight="false" outlineLevel="0" collapsed="false">
      <c r="A27" s="7" t="s">
        <v>145</v>
      </c>
      <c r="B27" s="7" t="s">
        <v>146</v>
      </c>
      <c r="C27" s="7" t="s">
        <v>122</v>
      </c>
      <c r="D27" s="7" t="s">
        <v>123</v>
      </c>
      <c r="E27" s="7" t="s">
        <v>124</v>
      </c>
      <c r="F27" s="7" t="n">
        <v>2</v>
      </c>
      <c r="G27" s="7" t="s">
        <v>83</v>
      </c>
      <c r="H27" s="7" t="s">
        <v>84</v>
      </c>
      <c r="I27" s="7" t="s">
        <v>61</v>
      </c>
      <c r="J27" s="7" t="s">
        <v>62</v>
      </c>
      <c r="K27" s="7" t="s">
        <v>147</v>
      </c>
      <c r="L27" s="7" t="s">
        <v>133</v>
      </c>
      <c r="M27" s="7"/>
      <c r="N27" s="7"/>
      <c r="O27" s="8"/>
      <c r="P27" s="8"/>
      <c r="Q27" s="8"/>
      <c r="R27" s="8"/>
      <c r="S27" s="8"/>
      <c r="T27" s="8"/>
    </row>
    <row r="28" customFormat="false" ht="23.85" hidden="false" customHeight="false" outlineLevel="0" collapsed="false">
      <c r="A28" s="7" t="s">
        <v>148</v>
      </c>
      <c r="B28" s="7" t="s">
        <v>149</v>
      </c>
      <c r="C28" s="7" t="s">
        <v>122</v>
      </c>
      <c r="D28" s="7" t="s">
        <v>123</v>
      </c>
      <c r="E28" s="7" t="s">
        <v>124</v>
      </c>
      <c r="F28" s="7" t="n">
        <v>2</v>
      </c>
      <c r="G28" s="7" t="s">
        <v>83</v>
      </c>
      <c r="H28" s="7" t="s">
        <v>84</v>
      </c>
      <c r="I28" s="7" t="s">
        <v>61</v>
      </c>
      <c r="J28" s="7" t="s">
        <v>62</v>
      </c>
      <c r="K28" s="7" t="s">
        <v>150</v>
      </c>
      <c r="L28" s="7" t="s">
        <v>133</v>
      </c>
      <c r="M28" s="7"/>
      <c r="N28" s="7"/>
      <c r="O28" s="8"/>
      <c r="P28" s="8"/>
      <c r="Q28" s="8"/>
      <c r="R28" s="8"/>
      <c r="S28" s="8"/>
      <c r="T28" s="8"/>
    </row>
    <row r="29" customFormat="false" ht="23.85" hidden="false" customHeight="false" outlineLevel="0" collapsed="false">
      <c r="A29" s="7" t="s">
        <v>151</v>
      </c>
      <c r="B29" s="7" t="s">
        <v>152</v>
      </c>
      <c r="C29" s="7" t="s">
        <v>122</v>
      </c>
      <c r="D29" s="7" t="s">
        <v>123</v>
      </c>
      <c r="E29" s="7" t="s">
        <v>124</v>
      </c>
      <c r="F29" s="7" t="n">
        <v>2</v>
      </c>
      <c r="G29" s="7" t="s">
        <v>83</v>
      </c>
      <c r="H29" s="7" t="s">
        <v>84</v>
      </c>
      <c r="I29" s="7" t="s">
        <v>61</v>
      </c>
      <c r="J29" s="7" t="s">
        <v>62</v>
      </c>
      <c r="K29" s="7" t="s">
        <v>153</v>
      </c>
      <c r="L29" s="7" t="s">
        <v>133</v>
      </c>
      <c r="M29" s="7"/>
      <c r="N29" s="7"/>
      <c r="O29" s="8"/>
      <c r="P29" s="8"/>
      <c r="Q29" s="8"/>
      <c r="R29" s="8"/>
      <c r="S29" s="8"/>
      <c r="T29" s="8"/>
    </row>
    <row r="30" customFormat="false" ht="23.85" hidden="false" customHeight="false" outlineLevel="0" collapsed="false">
      <c r="A30" s="7" t="s">
        <v>154</v>
      </c>
      <c r="B30" s="7" t="s">
        <v>155</v>
      </c>
      <c r="C30" s="7" t="s">
        <v>122</v>
      </c>
      <c r="D30" s="7" t="s">
        <v>123</v>
      </c>
      <c r="E30" s="7" t="s">
        <v>124</v>
      </c>
      <c r="F30" s="7" t="n">
        <v>2</v>
      </c>
      <c r="G30" s="7" t="s">
        <v>83</v>
      </c>
      <c r="H30" s="7" t="s">
        <v>84</v>
      </c>
      <c r="I30" s="7" t="s">
        <v>61</v>
      </c>
      <c r="J30" s="7" t="s">
        <v>62</v>
      </c>
      <c r="K30" s="7" t="s">
        <v>156</v>
      </c>
      <c r="L30" s="7" t="s">
        <v>133</v>
      </c>
      <c r="M30" s="7"/>
      <c r="N30" s="7"/>
      <c r="O30" s="8"/>
      <c r="P30" s="8"/>
      <c r="Q30" s="8"/>
      <c r="R30" s="8"/>
      <c r="S30" s="8"/>
      <c r="T30" s="8"/>
    </row>
    <row r="31" customFormat="false" ht="23.85" hidden="false" customHeight="false" outlineLevel="0" collapsed="false">
      <c r="A31" s="7" t="s">
        <v>157</v>
      </c>
      <c r="B31" s="7" t="s">
        <v>158</v>
      </c>
      <c r="C31" s="7" t="s">
        <v>122</v>
      </c>
      <c r="D31" s="7" t="s">
        <v>123</v>
      </c>
      <c r="E31" s="7" t="s">
        <v>124</v>
      </c>
      <c r="F31" s="7" t="n">
        <v>2</v>
      </c>
      <c r="G31" s="7" t="s">
        <v>83</v>
      </c>
      <c r="H31" s="7" t="s">
        <v>84</v>
      </c>
      <c r="I31" s="7" t="s">
        <v>61</v>
      </c>
      <c r="J31" s="7" t="s">
        <v>62</v>
      </c>
      <c r="K31" s="7" t="s">
        <v>159</v>
      </c>
      <c r="L31" s="7" t="s">
        <v>133</v>
      </c>
      <c r="M31" s="7"/>
      <c r="N31" s="7"/>
      <c r="O31" s="8"/>
      <c r="P31" s="8"/>
      <c r="Q31" s="8"/>
      <c r="R31" s="8"/>
      <c r="S31" s="8"/>
      <c r="T31" s="8"/>
    </row>
    <row r="32" customFormat="false" ht="46.25" hidden="false" customHeight="false" outlineLevel="0" collapsed="false">
      <c r="A32" s="11" t="s">
        <v>160</v>
      </c>
      <c r="B32" s="11" t="s">
        <v>161</v>
      </c>
      <c r="C32" s="11" t="s">
        <v>162</v>
      </c>
      <c r="D32" s="11" t="s">
        <v>163</v>
      </c>
      <c r="E32" s="11" t="s">
        <v>164</v>
      </c>
      <c r="F32" s="11" t="n">
        <v>1</v>
      </c>
      <c r="G32" s="12" t="s">
        <v>59</v>
      </c>
      <c r="H32" s="11" t="s">
        <v>60</v>
      </c>
      <c r="I32" s="11" t="s">
        <v>61</v>
      </c>
      <c r="J32" s="11" t="s">
        <v>62</v>
      </c>
      <c r="K32" s="11" t="s">
        <v>165</v>
      </c>
      <c r="L32" s="11"/>
      <c r="M32" s="11"/>
      <c r="N32" s="11"/>
      <c r="O32" s="8"/>
      <c r="P32" s="8"/>
      <c r="Q32" s="8"/>
      <c r="R32" s="8"/>
      <c r="S32" s="8"/>
      <c r="T32" s="8"/>
    </row>
    <row r="33" customFormat="false" ht="68.65" hidden="false" customHeight="false" outlineLevel="0" collapsed="false">
      <c r="A33" s="7" t="s">
        <v>166</v>
      </c>
      <c r="B33" s="7" t="s">
        <v>162</v>
      </c>
      <c r="C33" s="7" t="s">
        <v>162</v>
      </c>
      <c r="D33" s="7" t="s">
        <v>163</v>
      </c>
      <c r="E33" s="7" t="s">
        <v>164</v>
      </c>
      <c r="F33" s="7"/>
      <c r="G33" s="7" t="s">
        <v>65</v>
      </c>
      <c r="H33" s="7" t="s">
        <v>118</v>
      </c>
      <c r="I33" s="7" t="s">
        <v>61</v>
      </c>
      <c r="J33" s="7" t="s">
        <v>67</v>
      </c>
      <c r="K33" s="7" t="s">
        <v>167</v>
      </c>
      <c r="L33" s="7" t="s">
        <v>165</v>
      </c>
      <c r="M33" s="7" t="s">
        <v>168</v>
      </c>
      <c r="N33" s="7"/>
      <c r="O33" s="8"/>
      <c r="P33" s="8"/>
      <c r="Q33" s="8"/>
      <c r="R33" s="8"/>
      <c r="S33" s="8"/>
      <c r="T33" s="8"/>
    </row>
    <row r="34" customFormat="false" ht="23.85" hidden="false" customHeight="false" outlineLevel="0" collapsed="false">
      <c r="A34" s="11" t="s">
        <v>169</v>
      </c>
      <c r="B34" s="11" t="s">
        <v>170</v>
      </c>
      <c r="C34" s="11" t="s">
        <v>171</v>
      </c>
      <c r="D34" s="11" t="s">
        <v>172</v>
      </c>
      <c r="E34" s="11" t="s">
        <v>173</v>
      </c>
      <c r="F34" s="11" t="n">
        <v>1</v>
      </c>
      <c r="G34" s="12" t="s">
        <v>59</v>
      </c>
      <c r="H34" s="11" t="s">
        <v>60</v>
      </c>
      <c r="I34" s="11" t="s">
        <v>61</v>
      </c>
      <c r="J34" s="11" t="s">
        <v>62</v>
      </c>
      <c r="K34" s="11" t="s">
        <v>174</v>
      </c>
      <c r="L34" s="11"/>
      <c r="M34" s="11"/>
      <c r="N34" s="11"/>
      <c r="O34" s="8"/>
      <c r="P34" s="8"/>
      <c r="Q34" s="8"/>
      <c r="R34" s="8"/>
      <c r="S34" s="8"/>
      <c r="T34" s="8"/>
    </row>
    <row r="35" customFormat="false" ht="23.85" hidden="false" customHeight="false" outlineLevel="0" collapsed="false">
      <c r="A35" s="7" t="s">
        <v>175</v>
      </c>
      <c r="B35" s="7" t="s">
        <v>171</v>
      </c>
      <c r="C35" s="7" t="s">
        <v>171</v>
      </c>
      <c r="D35" s="7" t="s">
        <v>172</v>
      </c>
      <c r="E35" s="7" t="s">
        <v>173</v>
      </c>
      <c r="F35" s="7"/>
      <c r="G35" s="7" t="s">
        <v>125</v>
      </c>
      <c r="H35" s="7" t="s">
        <v>118</v>
      </c>
      <c r="I35" s="7"/>
      <c r="J35" s="7" t="s">
        <v>67</v>
      </c>
      <c r="K35" s="7" t="s">
        <v>176</v>
      </c>
      <c r="L35" s="7" t="s">
        <v>174</v>
      </c>
      <c r="M35" s="7"/>
      <c r="N35" s="7"/>
      <c r="O35" s="8"/>
      <c r="P35" s="8"/>
      <c r="Q35" s="8"/>
      <c r="R35" s="8"/>
      <c r="S35" s="8"/>
      <c r="T35" s="8"/>
    </row>
    <row r="36" customFormat="false" ht="23.85" hidden="false" customHeight="false" outlineLevel="0" collapsed="false">
      <c r="A36" s="7" t="s">
        <v>177</v>
      </c>
      <c r="B36" s="7" t="s">
        <v>178</v>
      </c>
      <c r="C36" s="7" t="s">
        <v>171</v>
      </c>
      <c r="D36" s="7" t="s">
        <v>172</v>
      </c>
      <c r="E36" s="7" t="s">
        <v>173</v>
      </c>
      <c r="F36" s="7" t="n">
        <v>2</v>
      </c>
      <c r="G36" s="7" t="s">
        <v>83</v>
      </c>
      <c r="H36" s="7" t="s">
        <v>84</v>
      </c>
      <c r="I36" s="7" t="s">
        <v>61</v>
      </c>
      <c r="J36" s="7" t="s">
        <v>62</v>
      </c>
      <c r="K36" s="7" t="s">
        <v>179</v>
      </c>
      <c r="L36" s="7" t="s">
        <v>174</v>
      </c>
      <c r="M36" s="7"/>
      <c r="N36" s="7"/>
      <c r="O36" s="8"/>
      <c r="P36" s="8"/>
      <c r="Q36" s="8"/>
      <c r="R36" s="8"/>
      <c r="S36" s="8"/>
      <c r="T36" s="8"/>
    </row>
    <row r="37" customFormat="false" ht="23.85" hidden="false" customHeight="false" outlineLevel="0" collapsed="false">
      <c r="A37" s="7" t="s">
        <v>180</v>
      </c>
      <c r="B37" s="7" t="s">
        <v>181</v>
      </c>
      <c r="C37" s="7" t="s">
        <v>171</v>
      </c>
      <c r="D37" s="7" t="s">
        <v>172</v>
      </c>
      <c r="E37" s="7" t="s">
        <v>173</v>
      </c>
      <c r="F37" s="7" t="n">
        <v>2</v>
      </c>
      <c r="G37" s="7" t="s">
        <v>83</v>
      </c>
      <c r="H37" s="7" t="s">
        <v>84</v>
      </c>
      <c r="I37" s="7" t="s">
        <v>61</v>
      </c>
      <c r="J37" s="7" t="s">
        <v>62</v>
      </c>
      <c r="K37" s="7" t="s">
        <v>182</v>
      </c>
      <c r="L37" s="7" t="s">
        <v>174</v>
      </c>
      <c r="M37" s="7"/>
      <c r="N37" s="7"/>
      <c r="O37" s="8"/>
      <c r="P37" s="8"/>
      <c r="Q37" s="8"/>
      <c r="R37" s="8"/>
      <c r="S37" s="8"/>
      <c r="T37" s="8"/>
    </row>
    <row r="38" customFormat="false" ht="23.85" hidden="false" customHeight="false" outlineLevel="0" collapsed="false">
      <c r="A38" s="7" t="s">
        <v>183</v>
      </c>
      <c r="B38" s="7" t="s">
        <v>184</v>
      </c>
      <c r="C38" s="7" t="s">
        <v>171</v>
      </c>
      <c r="D38" s="7" t="s">
        <v>172</v>
      </c>
      <c r="E38" s="7" t="s">
        <v>173</v>
      </c>
      <c r="F38" s="7" t="n">
        <v>2</v>
      </c>
      <c r="G38" s="7" t="s">
        <v>83</v>
      </c>
      <c r="H38" s="7" t="s">
        <v>84</v>
      </c>
      <c r="I38" s="7" t="s">
        <v>61</v>
      </c>
      <c r="J38" s="7" t="s">
        <v>62</v>
      </c>
      <c r="K38" s="7" t="s">
        <v>185</v>
      </c>
      <c r="L38" s="7" t="s">
        <v>174</v>
      </c>
      <c r="M38" s="7"/>
      <c r="N38" s="7"/>
      <c r="O38" s="8"/>
      <c r="P38" s="8"/>
      <c r="Q38" s="8"/>
      <c r="R38" s="8"/>
      <c r="S38" s="8"/>
      <c r="T38" s="8"/>
    </row>
    <row r="39" customFormat="false" ht="23.85" hidden="false" customHeight="false" outlineLevel="0" collapsed="false">
      <c r="A39" s="7" t="s">
        <v>186</v>
      </c>
      <c r="B39" s="7" t="s">
        <v>187</v>
      </c>
      <c r="C39" s="7" t="s">
        <v>171</v>
      </c>
      <c r="D39" s="7" t="s">
        <v>172</v>
      </c>
      <c r="E39" s="7" t="s">
        <v>173</v>
      </c>
      <c r="F39" s="7" t="n">
        <v>2</v>
      </c>
      <c r="G39" s="7" t="s">
        <v>83</v>
      </c>
      <c r="H39" s="7" t="s">
        <v>84</v>
      </c>
      <c r="I39" s="7" t="s">
        <v>61</v>
      </c>
      <c r="J39" s="7" t="s">
        <v>62</v>
      </c>
      <c r="K39" s="7" t="s">
        <v>188</v>
      </c>
      <c r="L39" s="7" t="s">
        <v>174</v>
      </c>
      <c r="M39" s="7"/>
      <c r="N39" s="7"/>
      <c r="O39" s="8"/>
      <c r="P39" s="8"/>
      <c r="Q39" s="8"/>
      <c r="R39" s="8"/>
      <c r="S39" s="8"/>
      <c r="T39" s="8"/>
    </row>
    <row r="40" customFormat="false" ht="23.85" hidden="false" customHeight="false" outlineLevel="0" collapsed="false">
      <c r="A40" s="7" t="s">
        <v>189</v>
      </c>
      <c r="B40" s="7" t="s">
        <v>190</v>
      </c>
      <c r="C40" s="7" t="s">
        <v>171</v>
      </c>
      <c r="D40" s="7" t="s">
        <v>172</v>
      </c>
      <c r="E40" s="7" t="s">
        <v>173</v>
      </c>
      <c r="F40" s="7" t="n">
        <v>2</v>
      </c>
      <c r="G40" s="7" t="s">
        <v>83</v>
      </c>
      <c r="H40" s="7" t="s">
        <v>84</v>
      </c>
      <c r="I40" s="7" t="s">
        <v>61</v>
      </c>
      <c r="J40" s="7" t="s">
        <v>62</v>
      </c>
      <c r="K40" s="7" t="s">
        <v>191</v>
      </c>
      <c r="L40" s="7" t="s">
        <v>174</v>
      </c>
      <c r="M40" s="7"/>
      <c r="N40" s="7"/>
      <c r="O40" s="8"/>
      <c r="P40" s="8"/>
      <c r="Q40" s="8"/>
      <c r="R40" s="8"/>
      <c r="S40" s="8"/>
      <c r="T40" s="8"/>
    </row>
    <row r="41" customFormat="false" ht="23.85" hidden="false" customHeight="false" outlineLevel="0" collapsed="false">
      <c r="A41" s="7" t="s">
        <v>192</v>
      </c>
      <c r="B41" s="7" t="s">
        <v>193</v>
      </c>
      <c r="C41" s="7" t="s">
        <v>171</v>
      </c>
      <c r="D41" s="7" t="s">
        <v>172</v>
      </c>
      <c r="E41" s="7" t="s">
        <v>173</v>
      </c>
      <c r="F41" s="7" t="n">
        <v>2</v>
      </c>
      <c r="G41" s="7" t="s">
        <v>83</v>
      </c>
      <c r="H41" s="7" t="s">
        <v>84</v>
      </c>
      <c r="I41" s="7" t="s">
        <v>61</v>
      </c>
      <c r="J41" s="7" t="s">
        <v>62</v>
      </c>
      <c r="K41" s="7" t="s">
        <v>194</v>
      </c>
      <c r="L41" s="7" t="s">
        <v>174</v>
      </c>
      <c r="M41" s="7"/>
      <c r="N41" s="7"/>
      <c r="O41" s="8"/>
      <c r="P41" s="8"/>
      <c r="Q41" s="8"/>
      <c r="R41" s="8"/>
      <c r="S41" s="8"/>
      <c r="T41" s="8"/>
    </row>
    <row r="42" customFormat="false" ht="23.85" hidden="false" customHeight="false" outlineLevel="0" collapsed="false">
      <c r="A42" s="7" t="s">
        <v>195</v>
      </c>
      <c r="B42" s="7" t="s">
        <v>196</v>
      </c>
      <c r="C42" s="7" t="s">
        <v>171</v>
      </c>
      <c r="D42" s="7" t="s">
        <v>172</v>
      </c>
      <c r="E42" s="7" t="s">
        <v>173</v>
      </c>
      <c r="F42" s="7" t="n">
        <v>2</v>
      </c>
      <c r="G42" s="7" t="s">
        <v>83</v>
      </c>
      <c r="H42" s="7" t="s">
        <v>84</v>
      </c>
      <c r="I42" s="7" t="s">
        <v>61</v>
      </c>
      <c r="J42" s="7" t="s">
        <v>62</v>
      </c>
      <c r="K42" s="7" t="s">
        <v>197</v>
      </c>
      <c r="L42" s="7" t="s">
        <v>174</v>
      </c>
      <c r="M42" s="7"/>
      <c r="N42" s="7"/>
      <c r="O42" s="8"/>
      <c r="P42" s="8"/>
      <c r="Q42" s="8"/>
      <c r="R42" s="8"/>
      <c r="S42" s="8"/>
      <c r="T42" s="8"/>
    </row>
    <row r="43" customFormat="false" ht="23.85" hidden="false" customHeight="false" outlineLevel="0" collapsed="false">
      <c r="A43" s="7" t="s">
        <v>198</v>
      </c>
      <c r="B43" s="7" t="s">
        <v>199</v>
      </c>
      <c r="C43" s="7" t="s">
        <v>171</v>
      </c>
      <c r="D43" s="7" t="s">
        <v>172</v>
      </c>
      <c r="E43" s="7" t="s">
        <v>173</v>
      </c>
      <c r="F43" s="7" t="n">
        <v>2</v>
      </c>
      <c r="G43" s="7" t="s">
        <v>83</v>
      </c>
      <c r="H43" s="7" t="s">
        <v>84</v>
      </c>
      <c r="I43" s="7" t="s">
        <v>61</v>
      </c>
      <c r="J43" s="7" t="s">
        <v>62</v>
      </c>
      <c r="K43" s="7" t="s">
        <v>200</v>
      </c>
      <c r="L43" s="7" t="s">
        <v>174</v>
      </c>
      <c r="M43" s="7"/>
      <c r="N43" s="7"/>
      <c r="O43" s="8"/>
      <c r="P43" s="8"/>
      <c r="Q43" s="8"/>
      <c r="R43" s="8"/>
      <c r="S43" s="8"/>
      <c r="T43" s="8"/>
    </row>
    <row r="44" customFormat="false" ht="23.85" hidden="false" customHeight="false" outlineLevel="0" collapsed="false">
      <c r="A44" s="7" t="s">
        <v>201</v>
      </c>
      <c r="B44" s="7" t="s">
        <v>202</v>
      </c>
      <c r="C44" s="7" t="s">
        <v>171</v>
      </c>
      <c r="D44" s="7" t="s">
        <v>172</v>
      </c>
      <c r="E44" s="7" t="s">
        <v>173</v>
      </c>
      <c r="F44" s="7" t="n">
        <v>2</v>
      </c>
      <c r="G44" s="7" t="s">
        <v>83</v>
      </c>
      <c r="H44" s="7" t="s">
        <v>84</v>
      </c>
      <c r="I44" s="7" t="s">
        <v>61</v>
      </c>
      <c r="J44" s="7" t="s">
        <v>62</v>
      </c>
      <c r="K44" s="7" t="s">
        <v>203</v>
      </c>
      <c r="L44" s="7" t="s">
        <v>174</v>
      </c>
      <c r="M44" s="7"/>
      <c r="N44" s="7"/>
      <c r="O44" s="8"/>
      <c r="P44" s="8"/>
      <c r="Q44" s="8"/>
      <c r="R44" s="8"/>
      <c r="S44" s="8"/>
      <c r="T44" s="8"/>
    </row>
    <row r="45" customFormat="false" ht="23.85" hidden="false" customHeight="false" outlineLevel="0" collapsed="false">
      <c r="A45" s="7" t="s">
        <v>204</v>
      </c>
      <c r="B45" s="7" t="s">
        <v>171</v>
      </c>
      <c r="C45" s="7" t="s">
        <v>171</v>
      </c>
      <c r="D45" s="7" t="s">
        <v>172</v>
      </c>
      <c r="E45" s="7" t="s">
        <v>173</v>
      </c>
      <c r="F45" s="7"/>
      <c r="G45" s="7" t="s">
        <v>65</v>
      </c>
      <c r="H45" s="7"/>
      <c r="I45" s="7"/>
      <c r="J45" s="7" t="s">
        <v>67</v>
      </c>
      <c r="K45" s="7" t="s">
        <v>205</v>
      </c>
      <c r="L45" s="7" t="s">
        <v>174</v>
      </c>
      <c r="M45" s="7"/>
      <c r="N45" s="7" t="s">
        <v>206</v>
      </c>
      <c r="O45" s="8"/>
      <c r="P45" s="8"/>
      <c r="Q45" s="8"/>
      <c r="R45" s="8"/>
      <c r="S45" s="8"/>
      <c r="T45" s="8"/>
    </row>
    <row r="46" customFormat="false" ht="46.25" hidden="false" customHeight="false" outlineLevel="0" collapsed="false">
      <c r="A46" s="11" t="s">
        <v>207</v>
      </c>
      <c r="B46" s="11" t="s">
        <v>208</v>
      </c>
      <c r="C46" s="11" t="s">
        <v>209</v>
      </c>
      <c r="D46" s="11" t="s">
        <v>210</v>
      </c>
      <c r="E46" s="11" t="s">
        <v>211</v>
      </c>
      <c r="F46" s="11" t="n">
        <v>1</v>
      </c>
      <c r="G46" s="12" t="s">
        <v>59</v>
      </c>
      <c r="H46" s="11" t="s">
        <v>60</v>
      </c>
      <c r="I46" s="11" t="s">
        <v>61</v>
      </c>
      <c r="J46" s="11" t="s">
        <v>62</v>
      </c>
      <c r="K46" s="11" t="s">
        <v>212</v>
      </c>
      <c r="L46" s="11"/>
      <c r="M46" s="11"/>
      <c r="N46" s="11"/>
      <c r="O46" s="8"/>
      <c r="P46" s="8"/>
      <c r="Q46" s="8"/>
      <c r="R46" s="8"/>
      <c r="S46" s="8"/>
      <c r="T46" s="8"/>
    </row>
    <row r="47" customFormat="false" ht="23.85" hidden="false" customHeight="false" outlineLevel="0" collapsed="false">
      <c r="A47" s="11" t="s">
        <v>213</v>
      </c>
      <c r="B47" s="11" t="s">
        <v>214</v>
      </c>
      <c r="C47" s="11" t="s">
        <v>209</v>
      </c>
      <c r="D47" s="11" t="s">
        <v>210</v>
      </c>
      <c r="E47" s="11" t="s">
        <v>211</v>
      </c>
      <c r="F47" s="11" t="n">
        <v>1</v>
      </c>
      <c r="G47" s="12" t="s">
        <v>59</v>
      </c>
      <c r="H47" s="11" t="s">
        <v>60</v>
      </c>
      <c r="I47" s="11" t="s">
        <v>61</v>
      </c>
      <c r="J47" s="11" t="s">
        <v>62</v>
      </c>
      <c r="K47" s="11" t="s">
        <v>215</v>
      </c>
      <c r="L47" s="11"/>
      <c r="M47" s="11"/>
      <c r="N47" s="11"/>
      <c r="O47" s="8"/>
      <c r="P47" s="8"/>
      <c r="Q47" s="8"/>
      <c r="R47" s="8"/>
      <c r="S47" s="8"/>
      <c r="T47" s="8"/>
    </row>
    <row r="48" customFormat="false" ht="68.65" hidden="false" customHeight="false" outlineLevel="0" collapsed="false">
      <c r="A48" s="7" t="s">
        <v>216</v>
      </c>
      <c r="B48" s="7" t="s">
        <v>217</v>
      </c>
      <c r="C48" s="7" t="s">
        <v>217</v>
      </c>
      <c r="D48" s="7" t="s">
        <v>218</v>
      </c>
      <c r="E48" s="7" t="s">
        <v>219</v>
      </c>
      <c r="F48" s="7"/>
      <c r="G48" s="7" t="s">
        <v>125</v>
      </c>
      <c r="H48" s="7"/>
      <c r="I48" s="7"/>
      <c r="J48" s="7" t="s">
        <v>67</v>
      </c>
      <c r="K48" s="7" t="s">
        <v>220</v>
      </c>
      <c r="L48" s="7"/>
      <c r="M48" s="7"/>
      <c r="N48" s="7"/>
      <c r="O48" s="8"/>
      <c r="P48" s="8"/>
      <c r="Q48" s="8"/>
      <c r="R48" s="8"/>
      <c r="S48" s="8"/>
      <c r="T48" s="8"/>
    </row>
    <row r="49" customFormat="false" ht="15" hidden="false" customHeight="false" outlineLevel="0" collapsed="false">
      <c r="A49" s="11" t="s">
        <v>221</v>
      </c>
      <c r="B49" s="11" t="s">
        <v>222</v>
      </c>
      <c r="C49" s="11" t="s">
        <v>217</v>
      </c>
      <c r="D49" s="11" t="s">
        <v>218</v>
      </c>
      <c r="E49" s="11" t="s">
        <v>219</v>
      </c>
      <c r="F49" s="11" t="n">
        <v>1</v>
      </c>
      <c r="G49" s="12" t="s">
        <v>59</v>
      </c>
      <c r="H49" s="11" t="s">
        <v>60</v>
      </c>
      <c r="I49" s="11" t="s">
        <v>61</v>
      </c>
      <c r="J49" s="11" t="s">
        <v>62</v>
      </c>
      <c r="K49" s="11" t="s">
        <v>223</v>
      </c>
      <c r="L49" s="11"/>
      <c r="M49" s="11"/>
      <c r="N49" s="11"/>
      <c r="O49" s="8"/>
      <c r="P49" s="8"/>
      <c r="Q49" s="8"/>
      <c r="R49" s="8"/>
      <c r="S49" s="8"/>
      <c r="T49" s="8"/>
    </row>
    <row r="50" customFormat="false" ht="15" hidden="false" customHeight="false" outlineLevel="0" collapsed="false">
      <c r="A50" s="11" t="s">
        <v>224</v>
      </c>
      <c r="B50" s="11" t="s">
        <v>225</v>
      </c>
      <c r="C50" s="11" t="s">
        <v>217</v>
      </c>
      <c r="D50" s="11" t="s">
        <v>218</v>
      </c>
      <c r="E50" s="11" t="s">
        <v>219</v>
      </c>
      <c r="F50" s="11" t="n">
        <v>1</v>
      </c>
      <c r="G50" s="12" t="s">
        <v>59</v>
      </c>
      <c r="H50" s="11" t="s">
        <v>60</v>
      </c>
      <c r="I50" s="11" t="s">
        <v>61</v>
      </c>
      <c r="J50" s="11" t="s">
        <v>62</v>
      </c>
      <c r="K50" s="11" t="s">
        <v>226</v>
      </c>
      <c r="L50" s="11"/>
      <c r="M50" s="11"/>
      <c r="N50" s="11"/>
      <c r="O50" s="8"/>
      <c r="P50" s="8"/>
      <c r="Q50" s="8"/>
      <c r="R50" s="8"/>
      <c r="S50" s="8"/>
      <c r="T50" s="8"/>
    </row>
    <row r="51" customFormat="false" ht="23.85" hidden="false" customHeight="false" outlineLevel="0" collapsed="false">
      <c r="A51" s="7" t="s">
        <v>227</v>
      </c>
      <c r="B51" s="7" t="s">
        <v>228</v>
      </c>
      <c r="C51" s="7" t="s">
        <v>217</v>
      </c>
      <c r="D51" s="7" t="s">
        <v>218</v>
      </c>
      <c r="E51" s="7" t="s">
        <v>219</v>
      </c>
      <c r="F51" s="7" t="n">
        <v>2</v>
      </c>
      <c r="G51" s="7" t="s">
        <v>83</v>
      </c>
      <c r="H51" s="7" t="s">
        <v>84</v>
      </c>
      <c r="I51" s="7" t="s">
        <v>61</v>
      </c>
      <c r="J51" s="7" t="s">
        <v>62</v>
      </c>
      <c r="K51" s="7" t="s">
        <v>229</v>
      </c>
      <c r="L51" s="7" t="s">
        <v>226</v>
      </c>
      <c r="M51" s="7"/>
      <c r="N51" s="7"/>
      <c r="O51" s="8"/>
      <c r="P51" s="8"/>
      <c r="Q51" s="8"/>
      <c r="R51" s="8"/>
      <c r="S51" s="8"/>
      <c r="T51" s="8"/>
    </row>
    <row r="52" customFormat="false" ht="23.85" hidden="false" customHeight="false" outlineLevel="0" collapsed="false">
      <c r="A52" s="7" t="s">
        <v>230</v>
      </c>
      <c r="B52" s="7" t="s">
        <v>231</v>
      </c>
      <c r="C52" s="7" t="s">
        <v>217</v>
      </c>
      <c r="D52" s="7" t="s">
        <v>218</v>
      </c>
      <c r="E52" s="7" t="s">
        <v>219</v>
      </c>
      <c r="F52" s="7" t="n">
        <v>2</v>
      </c>
      <c r="G52" s="7" t="s">
        <v>83</v>
      </c>
      <c r="H52" s="7" t="s">
        <v>84</v>
      </c>
      <c r="I52" s="7" t="s">
        <v>61</v>
      </c>
      <c r="J52" s="7" t="s">
        <v>62</v>
      </c>
      <c r="K52" s="7" t="s">
        <v>232</v>
      </c>
      <c r="L52" s="7" t="s">
        <v>226</v>
      </c>
      <c r="M52" s="7"/>
      <c r="N52" s="7"/>
      <c r="O52" s="8"/>
      <c r="P52" s="8"/>
      <c r="Q52" s="8"/>
      <c r="R52" s="8"/>
      <c r="S52" s="8"/>
      <c r="T52" s="8"/>
    </row>
    <row r="53" customFormat="false" ht="23.85" hidden="false" customHeight="false" outlineLevel="0" collapsed="false">
      <c r="A53" s="7" t="s">
        <v>233</v>
      </c>
      <c r="B53" s="7" t="s">
        <v>234</v>
      </c>
      <c r="C53" s="7" t="s">
        <v>217</v>
      </c>
      <c r="D53" s="7" t="s">
        <v>218</v>
      </c>
      <c r="E53" s="7" t="s">
        <v>219</v>
      </c>
      <c r="F53" s="7" t="n">
        <v>2</v>
      </c>
      <c r="G53" s="7" t="s">
        <v>83</v>
      </c>
      <c r="H53" s="7" t="s">
        <v>84</v>
      </c>
      <c r="I53" s="7" t="s">
        <v>61</v>
      </c>
      <c r="J53" s="7" t="s">
        <v>62</v>
      </c>
      <c r="K53" s="7" t="s">
        <v>235</v>
      </c>
      <c r="L53" s="7" t="s">
        <v>226</v>
      </c>
      <c r="M53" s="7"/>
      <c r="N53" s="7"/>
      <c r="O53" s="8"/>
      <c r="P53" s="8"/>
      <c r="Q53" s="8"/>
      <c r="R53" s="8"/>
      <c r="S53" s="8"/>
      <c r="T53" s="8"/>
    </row>
    <row r="54" customFormat="false" ht="23.85" hidden="false" customHeight="false" outlineLevel="0" collapsed="false">
      <c r="A54" s="7" t="s">
        <v>236</v>
      </c>
      <c r="B54" s="7" t="s">
        <v>237</v>
      </c>
      <c r="C54" s="7" t="s">
        <v>217</v>
      </c>
      <c r="D54" s="7" t="s">
        <v>218</v>
      </c>
      <c r="E54" s="7" t="s">
        <v>219</v>
      </c>
      <c r="F54" s="7" t="n">
        <v>2</v>
      </c>
      <c r="G54" s="7" t="s">
        <v>83</v>
      </c>
      <c r="H54" s="7" t="s">
        <v>84</v>
      </c>
      <c r="I54" s="7" t="s">
        <v>61</v>
      </c>
      <c r="J54" s="7" t="s">
        <v>62</v>
      </c>
      <c r="K54" s="7" t="s">
        <v>238</v>
      </c>
      <c r="L54" s="7" t="s">
        <v>226</v>
      </c>
      <c r="M54" s="7"/>
      <c r="N54" s="7"/>
      <c r="O54" s="8"/>
      <c r="P54" s="8"/>
      <c r="Q54" s="8"/>
      <c r="R54" s="8"/>
      <c r="S54" s="8"/>
      <c r="T54" s="8"/>
    </row>
    <row r="55" customFormat="false" ht="46.25" hidden="false" customHeight="false" outlineLevel="0" collapsed="false">
      <c r="A55" s="7" t="s">
        <v>239</v>
      </c>
      <c r="B55" s="7" t="s">
        <v>240</v>
      </c>
      <c r="C55" s="7" t="s">
        <v>217</v>
      </c>
      <c r="D55" s="7" t="s">
        <v>218</v>
      </c>
      <c r="E55" s="7" t="s">
        <v>219</v>
      </c>
      <c r="F55" s="7" t="n">
        <v>2</v>
      </c>
      <c r="G55" s="7" t="s">
        <v>83</v>
      </c>
      <c r="H55" s="7" t="s">
        <v>241</v>
      </c>
      <c r="I55" s="7" t="s">
        <v>126</v>
      </c>
      <c r="J55" s="7" t="s">
        <v>62</v>
      </c>
      <c r="K55" s="7" t="s">
        <v>242</v>
      </c>
      <c r="L55" s="7" t="s">
        <v>226</v>
      </c>
      <c r="M55" s="7"/>
      <c r="N55" s="7"/>
      <c r="O55" s="8"/>
      <c r="P55" s="8"/>
      <c r="Q55" s="8"/>
      <c r="R55" s="8"/>
      <c r="S55" s="8"/>
      <c r="T55" s="8"/>
    </row>
    <row r="56" customFormat="false" ht="46.25" hidden="false" customHeight="false" outlineLevel="0" collapsed="false">
      <c r="A56" s="7" t="s">
        <v>243</v>
      </c>
      <c r="B56" s="7" t="s">
        <v>244</v>
      </c>
      <c r="C56" s="7" t="s">
        <v>217</v>
      </c>
      <c r="D56" s="7" t="s">
        <v>218</v>
      </c>
      <c r="E56" s="7" t="s">
        <v>219</v>
      </c>
      <c r="F56" s="7" t="n">
        <v>2</v>
      </c>
      <c r="G56" s="7" t="s">
        <v>83</v>
      </c>
      <c r="H56" s="7" t="s">
        <v>66</v>
      </c>
      <c r="I56" s="7" t="s">
        <v>61</v>
      </c>
      <c r="J56" s="7" t="s">
        <v>62</v>
      </c>
      <c r="K56" s="7" t="s">
        <v>245</v>
      </c>
      <c r="L56" s="7" t="s">
        <v>226</v>
      </c>
      <c r="M56" s="7"/>
      <c r="N56" s="7"/>
      <c r="O56" s="8"/>
      <c r="P56" s="8"/>
      <c r="Q56" s="8"/>
      <c r="R56" s="8"/>
      <c r="S56" s="8"/>
      <c r="T56" s="8"/>
    </row>
    <row r="57" customFormat="false" ht="35.05" hidden="false" customHeight="false" outlineLevel="0" collapsed="false">
      <c r="A57" s="7" t="s">
        <v>246</v>
      </c>
      <c r="B57" s="7" t="s">
        <v>247</v>
      </c>
      <c r="C57" s="7" t="s">
        <v>217</v>
      </c>
      <c r="D57" s="7" t="s">
        <v>218</v>
      </c>
      <c r="E57" s="7" t="s">
        <v>219</v>
      </c>
      <c r="F57" s="7" t="n">
        <v>2</v>
      </c>
      <c r="G57" s="7" t="s">
        <v>83</v>
      </c>
      <c r="H57" s="7" t="s">
        <v>84</v>
      </c>
      <c r="I57" s="7" t="s">
        <v>61</v>
      </c>
      <c r="J57" s="7" t="s">
        <v>62</v>
      </c>
      <c r="K57" s="7" t="s">
        <v>248</v>
      </c>
      <c r="L57" s="7" t="s">
        <v>226</v>
      </c>
      <c r="M57" s="7"/>
      <c r="N57" s="7"/>
      <c r="O57" s="8"/>
      <c r="P57" s="8"/>
      <c r="Q57" s="8"/>
      <c r="R57" s="8"/>
      <c r="S57" s="8"/>
      <c r="T57" s="8"/>
    </row>
    <row r="58" customFormat="false" ht="35.05" hidden="false" customHeight="false" outlineLevel="0" collapsed="false">
      <c r="A58" s="7" t="s">
        <v>249</v>
      </c>
      <c r="B58" s="7" t="s">
        <v>250</v>
      </c>
      <c r="C58" s="7" t="s">
        <v>217</v>
      </c>
      <c r="D58" s="7" t="s">
        <v>218</v>
      </c>
      <c r="E58" s="7" t="s">
        <v>219</v>
      </c>
      <c r="F58" s="7" t="n">
        <v>2</v>
      </c>
      <c r="G58" s="7" t="s">
        <v>83</v>
      </c>
      <c r="H58" s="7" t="s">
        <v>84</v>
      </c>
      <c r="I58" s="7" t="s">
        <v>61</v>
      </c>
      <c r="J58" s="7" t="s">
        <v>62</v>
      </c>
      <c r="K58" s="7" t="s">
        <v>251</v>
      </c>
      <c r="L58" s="7" t="s">
        <v>226</v>
      </c>
      <c r="M58" s="7"/>
      <c r="N58" s="7"/>
      <c r="O58" s="8"/>
      <c r="P58" s="8"/>
      <c r="Q58" s="8"/>
      <c r="R58" s="8"/>
      <c r="S58" s="8"/>
      <c r="T58" s="8"/>
    </row>
    <row r="59" customFormat="false" ht="23.85" hidden="false" customHeight="false" outlineLevel="0" collapsed="false">
      <c r="A59" s="7" t="s">
        <v>252</v>
      </c>
      <c r="B59" s="7" t="s">
        <v>253</v>
      </c>
      <c r="C59" s="7" t="s">
        <v>217</v>
      </c>
      <c r="D59" s="7" t="s">
        <v>218</v>
      </c>
      <c r="E59" s="7" t="s">
        <v>219</v>
      </c>
      <c r="F59" s="7" t="n">
        <v>2</v>
      </c>
      <c r="G59" s="7" t="s">
        <v>83</v>
      </c>
      <c r="H59" s="7" t="s">
        <v>84</v>
      </c>
      <c r="I59" s="7" t="s">
        <v>61</v>
      </c>
      <c r="J59" s="7" t="s">
        <v>62</v>
      </c>
      <c r="K59" s="7" t="s">
        <v>254</v>
      </c>
      <c r="L59" s="7" t="s">
        <v>226</v>
      </c>
      <c r="M59" s="7"/>
      <c r="N59" s="7"/>
      <c r="O59" s="8"/>
      <c r="P59" s="8"/>
      <c r="Q59" s="8"/>
      <c r="R59" s="8"/>
      <c r="S59" s="8"/>
      <c r="T59" s="8"/>
    </row>
    <row r="60" customFormat="false" ht="23.85" hidden="false" customHeight="false" outlineLevel="0" collapsed="false">
      <c r="A60" s="7" t="s">
        <v>255</v>
      </c>
      <c r="B60" s="7" t="s">
        <v>256</v>
      </c>
      <c r="C60" s="7" t="s">
        <v>217</v>
      </c>
      <c r="D60" s="7" t="s">
        <v>218</v>
      </c>
      <c r="E60" s="7" t="s">
        <v>219</v>
      </c>
      <c r="F60" s="7" t="n">
        <v>2</v>
      </c>
      <c r="G60" s="7" t="s">
        <v>83</v>
      </c>
      <c r="H60" s="7" t="s">
        <v>84</v>
      </c>
      <c r="I60" s="7" t="s">
        <v>61</v>
      </c>
      <c r="J60" s="7" t="s">
        <v>62</v>
      </c>
      <c r="K60" s="7" t="s">
        <v>257</v>
      </c>
      <c r="L60" s="7" t="s">
        <v>226</v>
      </c>
      <c r="M60" s="7"/>
      <c r="N60" s="7"/>
      <c r="O60" s="8"/>
      <c r="P60" s="8"/>
      <c r="Q60" s="8"/>
      <c r="R60" s="8"/>
      <c r="S60" s="8"/>
      <c r="T60" s="8"/>
    </row>
    <row r="61" customFormat="false" ht="35.05" hidden="false" customHeight="false" outlineLevel="0" collapsed="false">
      <c r="A61" s="7" t="s">
        <v>258</v>
      </c>
      <c r="B61" s="7" t="s">
        <v>259</v>
      </c>
      <c r="C61" s="7" t="s">
        <v>217</v>
      </c>
      <c r="D61" s="7" t="s">
        <v>218</v>
      </c>
      <c r="E61" s="7" t="s">
        <v>219</v>
      </c>
      <c r="F61" s="7" t="n">
        <v>2</v>
      </c>
      <c r="G61" s="7" t="s">
        <v>83</v>
      </c>
      <c r="H61" s="7" t="s">
        <v>84</v>
      </c>
      <c r="I61" s="7" t="s">
        <v>126</v>
      </c>
      <c r="J61" s="7" t="s">
        <v>62</v>
      </c>
      <c r="K61" s="7" t="s">
        <v>260</v>
      </c>
      <c r="L61" s="7" t="s">
        <v>226</v>
      </c>
      <c r="M61" s="7"/>
      <c r="N61" s="7"/>
      <c r="O61" s="8"/>
      <c r="P61" s="8"/>
      <c r="Q61" s="8"/>
      <c r="R61" s="8"/>
      <c r="S61" s="8"/>
      <c r="T61" s="8"/>
    </row>
    <row r="62" customFormat="false" ht="35.05" hidden="false" customHeight="false" outlineLevel="0" collapsed="false">
      <c r="A62" s="7" t="s">
        <v>261</v>
      </c>
      <c r="B62" s="7" t="s">
        <v>217</v>
      </c>
      <c r="C62" s="7" t="s">
        <v>217</v>
      </c>
      <c r="D62" s="7" t="s">
        <v>218</v>
      </c>
      <c r="E62" s="7" t="s">
        <v>219</v>
      </c>
      <c r="F62" s="7"/>
      <c r="G62" s="7" t="s">
        <v>65</v>
      </c>
      <c r="H62" s="7"/>
      <c r="I62" s="7"/>
      <c r="J62" s="7" t="s">
        <v>67</v>
      </c>
      <c r="K62" s="7" t="s">
        <v>262</v>
      </c>
      <c r="L62" s="7" t="s">
        <v>226</v>
      </c>
      <c r="M62" s="7"/>
      <c r="N62" s="7" t="s">
        <v>263</v>
      </c>
      <c r="O62" s="8"/>
      <c r="P62" s="8"/>
      <c r="Q62" s="8"/>
      <c r="R62" s="8"/>
      <c r="S62" s="8"/>
      <c r="T62" s="8"/>
    </row>
    <row r="63" customFormat="false" ht="23.85" hidden="false" customHeight="false" outlineLevel="0" collapsed="false">
      <c r="A63" s="7" t="s">
        <v>264</v>
      </c>
      <c r="B63" s="7" t="s">
        <v>217</v>
      </c>
      <c r="C63" s="7" t="s">
        <v>217</v>
      </c>
      <c r="D63" s="7" t="s">
        <v>218</v>
      </c>
      <c r="E63" s="7" t="s">
        <v>219</v>
      </c>
      <c r="F63" s="7"/>
      <c r="G63" s="7" t="s">
        <v>65</v>
      </c>
      <c r="H63" s="7"/>
      <c r="I63" s="7"/>
      <c r="J63" s="7" t="s">
        <v>67</v>
      </c>
      <c r="K63" s="7" t="s">
        <v>265</v>
      </c>
      <c r="L63" s="7" t="s">
        <v>226</v>
      </c>
      <c r="M63" s="7"/>
      <c r="N63" s="7" t="s">
        <v>266</v>
      </c>
      <c r="O63" s="8"/>
      <c r="P63" s="8"/>
      <c r="Q63" s="8"/>
      <c r="R63" s="8"/>
      <c r="S63" s="8"/>
      <c r="T63" s="8"/>
    </row>
    <row r="64" customFormat="false" ht="35.05" hidden="false" customHeight="false" outlineLevel="0" collapsed="false">
      <c r="A64" s="7" t="s">
        <v>267</v>
      </c>
      <c r="B64" s="7" t="s">
        <v>217</v>
      </c>
      <c r="C64" s="7" t="s">
        <v>217</v>
      </c>
      <c r="D64" s="7" t="s">
        <v>218</v>
      </c>
      <c r="E64" s="7" t="s">
        <v>219</v>
      </c>
      <c r="F64" s="7"/>
      <c r="G64" s="7" t="s">
        <v>65</v>
      </c>
      <c r="H64" s="7" t="s">
        <v>118</v>
      </c>
      <c r="I64" s="7"/>
      <c r="J64" s="7" t="s">
        <v>67</v>
      </c>
      <c r="K64" s="7" t="s">
        <v>268</v>
      </c>
      <c r="L64" s="7" t="s">
        <v>226</v>
      </c>
      <c r="M64" s="7" t="s">
        <v>269</v>
      </c>
      <c r="N64" s="7"/>
      <c r="O64" s="8"/>
      <c r="P64" s="8"/>
      <c r="Q64" s="8"/>
      <c r="R64" s="8"/>
      <c r="S64" s="8"/>
      <c r="T64" s="8"/>
    </row>
    <row r="65" customFormat="false" ht="15" hidden="false" customHeight="false" outlineLevel="0" collapsed="false">
      <c r="A65" s="11" t="s">
        <v>270</v>
      </c>
      <c r="B65" s="11" t="s">
        <v>271</v>
      </c>
      <c r="C65" s="11" t="s">
        <v>217</v>
      </c>
      <c r="D65" s="11" t="s">
        <v>218</v>
      </c>
      <c r="E65" s="11" t="s">
        <v>219</v>
      </c>
      <c r="F65" s="11" t="n">
        <v>1</v>
      </c>
      <c r="G65" s="12" t="s">
        <v>59</v>
      </c>
      <c r="H65" s="11" t="s">
        <v>60</v>
      </c>
      <c r="I65" s="11" t="s">
        <v>61</v>
      </c>
      <c r="J65" s="11" t="s">
        <v>62</v>
      </c>
      <c r="K65" s="11" t="s">
        <v>272</v>
      </c>
      <c r="L65" s="11"/>
      <c r="M65" s="11"/>
      <c r="N65" s="11"/>
      <c r="O65" s="8"/>
      <c r="P65" s="8"/>
      <c r="Q65" s="8"/>
      <c r="R65" s="8"/>
      <c r="S65" s="8"/>
      <c r="T65" s="8"/>
    </row>
    <row r="66" customFormat="false" ht="57.45" hidden="false" customHeight="false" outlineLevel="0" collapsed="false">
      <c r="A66" s="7" t="s">
        <v>273</v>
      </c>
      <c r="B66" s="7" t="s">
        <v>274</v>
      </c>
      <c r="C66" s="7" t="s">
        <v>217</v>
      </c>
      <c r="D66" s="7" t="s">
        <v>218</v>
      </c>
      <c r="E66" s="7" t="s">
        <v>219</v>
      </c>
      <c r="F66" s="7" t="n">
        <v>2</v>
      </c>
      <c r="G66" s="7" t="s">
        <v>83</v>
      </c>
      <c r="H66" s="7" t="s">
        <v>241</v>
      </c>
      <c r="I66" s="7" t="s">
        <v>61</v>
      </c>
      <c r="J66" s="7" t="s">
        <v>62</v>
      </c>
      <c r="K66" s="7" t="s">
        <v>275</v>
      </c>
      <c r="L66" s="7" t="s">
        <v>272</v>
      </c>
      <c r="M66" s="7"/>
      <c r="N66" s="7"/>
      <c r="O66" s="8"/>
      <c r="P66" s="8"/>
      <c r="Q66" s="8"/>
      <c r="R66" s="8"/>
      <c r="S66" s="8"/>
      <c r="T66" s="8"/>
    </row>
    <row r="67" customFormat="false" ht="35.05" hidden="false" customHeight="false" outlineLevel="0" collapsed="false">
      <c r="A67" s="7" t="s">
        <v>276</v>
      </c>
      <c r="B67" s="7" t="s">
        <v>277</v>
      </c>
      <c r="C67" s="7" t="s">
        <v>217</v>
      </c>
      <c r="D67" s="7" t="s">
        <v>218</v>
      </c>
      <c r="E67" s="7" t="s">
        <v>219</v>
      </c>
      <c r="F67" s="7" t="n">
        <v>2</v>
      </c>
      <c r="G67" s="7" t="s">
        <v>83</v>
      </c>
      <c r="H67" s="7" t="s">
        <v>84</v>
      </c>
      <c r="I67" s="7" t="s">
        <v>61</v>
      </c>
      <c r="J67" s="7" t="s">
        <v>62</v>
      </c>
      <c r="K67" s="7" t="s">
        <v>278</v>
      </c>
      <c r="L67" s="7" t="s">
        <v>272</v>
      </c>
      <c r="M67" s="7"/>
      <c r="N67" s="7"/>
      <c r="O67" s="8"/>
      <c r="P67" s="8"/>
      <c r="Q67" s="8"/>
      <c r="R67" s="8"/>
      <c r="S67" s="8"/>
      <c r="T67" s="8"/>
    </row>
    <row r="68" customFormat="false" ht="23.85" hidden="false" customHeight="false" outlineLevel="0" collapsed="false">
      <c r="A68" s="7" t="s">
        <v>279</v>
      </c>
      <c r="B68" s="7" t="s">
        <v>280</v>
      </c>
      <c r="C68" s="7" t="s">
        <v>217</v>
      </c>
      <c r="D68" s="7" t="s">
        <v>218</v>
      </c>
      <c r="E68" s="7" t="s">
        <v>219</v>
      </c>
      <c r="F68" s="7" t="n">
        <v>2</v>
      </c>
      <c r="G68" s="7" t="s">
        <v>83</v>
      </c>
      <c r="H68" s="7" t="s">
        <v>84</v>
      </c>
      <c r="I68" s="7" t="s">
        <v>61</v>
      </c>
      <c r="J68" s="7" t="s">
        <v>62</v>
      </c>
      <c r="K68" s="7" t="s">
        <v>281</v>
      </c>
      <c r="L68" s="7" t="s">
        <v>272</v>
      </c>
      <c r="M68" s="7"/>
      <c r="N68" s="7"/>
      <c r="O68" s="8"/>
      <c r="P68" s="8"/>
      <c r="Q68" s="8"/>
      <c r="R68" s="8"/>
      <c r="S68" s="8"/>
      <c r="T68" s="8"/>
    </row>
    <row r="69" customFormat="false" ht="23.85" hidden="false" customHeight="false" outlineLevel="0" collapsed="false">
      <c r="A69" s="7" t="s">
        <v>282</v>
      </c>
      <c r="B69" s="7" t="s">
        <v>283</v>
      </c>
      <c r="C69" s="7" t="s">
        <v>217</v>
      </c>
      <c r="D69" s="7" t="s">
        <v>218</v>
      </c>
      <c r="E69" s="7" t="s">
        <v>219</v>
      </c>
      <c r="F69" s="7" t="n">
        <v>2</v>
      </c>
      <c r="G69" s="7" t="s">
        <v>83</v>
      </c>
      <c r="H69" s="7" t="s">
        <v>84</v>
      </c>
      <c r="I69" s="7" t="s">
        <v>61</v>
      </c>
      <c r="J69" s="7" t="s">
        <v>62</v>
      </c>
      <c r="K69" s="7" t="s">
        <v>284</v>
      </c>
      <c r="L69" s="7" t="s">
        <v>272</v>
      </c>
      <c r="M69" s="7"/>
      <c r="N69" s="7"/>
      <c r="O69" s="8"/>
      <c r="P69" s="8"/>
      <c r="Q69" s="8"/>
      <c r="R69" s="8"/>
      <c r="S69" s="8"/>
      <c r="T69" s="8"/>
    </row>
    <row r="70" customFormat="false" ht="35.05" hidden="false" customHeight="false" outlineLevel="0" collapsed="false">
      <c r="A70" s="7" t="s">
        <v>285</v>
      </c>
      <c r="B70" s="7" t="s">
        <v>217</v>
      </c>
      <c r="C70" s="7" t="s">
        <v>217</v>
      </c>
      <c r="D70" s="7" t="s">
        <v>218</v>
      </c>
      <c r="E70" s="7" t="s">
        <v>219</v>
      </c>
      <c r="F70" s="7"/>
      <c r="G70" s="7" t="s">
        <v>65</v>
      </c>
      <c r="H70" s="7" t="s">
        <v>118</v>
      </c>
      <c r="I70" s="7"/>
      <c r="J70" s="7" t="s">
        <v>67</v>
      </c>
      <c r="K70" s="7" t="s">
        <v>286</v>
      </c>
      <c r="L70" s="7" t="s">
        <v>272</v>
      </c>
      <c r="M70" s="7" t="s">
        <v>287</v>
      </c>
      <c r="N70" s="7"/>
      <c r="O70" s="8"/>
      <c r="P70" s="8"/>
      <c r="Q70" s="8"/>
      <c r="R70" s="8"/>
      <c r="S70" s="8"/>
      <c r="T70" s="8"/>
    </row>
    <row r="71" customFormat="false" ht="23.85" hidden="false" customHeight="false" outlineLevel="0" collapsed="false">
      <c r="A71" s="11" t="s">
        <v>288</v>
      </c>
      <c r="B71" s="11" t="s">
        <v>289</v>
      </c>
      <c r="C71" s="11" t="s">
        <v>290</v>
      </c>
      <c r="D71" s="11" t="s">
        <v>291</v>
      </c>
      <c r="E71" s="11" t="s">
        <v>292</v>
      </c>
      <c r="F71" s="11" t="n">
        <v>1</v>
      </c>
      <c r="G71" s="12" t="s">
        <v>59</v>
      </c>
      <c r="H71" s="11" t="s">
        <v>60</v>
      </c>
      <c r="I71" s="11" t="s">
        <v>61</v>
      </c>
      <c r="J71" s="11" t="s">
        <v>62</v>
      </c>
      <c r="K71" s="11" t="s">
        <v>293</v>
      </c>
      <c r="L71" s="11"/>
      <c r="M71" s="11"/>
      <c r="N71" s="11"/>
      <c r="O71" s="8"/>
      <c r="P71" s="8"/>
      <c r="Q71" s="8"/>
      <c r="R71" s="8"/>
      <c r="S71" s="8"/>
      <c r="T71" s="8"/>
    </row>
    <row r="72" customFormat="false" ht="35.05" hidden="false" customHeight="false" outlineLevel="0" collapsed="false">
      <c r="A72" s="11" t="s">
        <v>294</v>
      </c>
      <c r="B72" s="11" t="s">
        <v>295</v>
      </c>
      <c r="C72" s="11" t="s">
        <v>290</v>
      </c>
      <c r="D72" s="11" t="s">
        <v>291</v>
      </c>
      <c r="E72" s="11" t="s">
        <v>292</v>
      </c>
      <c r="F72" s="11" t="n">
        <v>1</v>
      </c>
      <c r="G72" s="12" t="s">
        <v>59</v>
      </c>
      <c r="H72" s="11" t="s">
        <v>60</v>
      </c>
      <c r="I72" s="11" t="s">
        <v>61</v>
      </c>
      <c r="J72" s="11" t="s">
        <v>62</v>
      </c>
      <c r="K72" s="11" t="s">
        <v>296</v>
      </c>
      <c r="L72" s="11"/>
      <c r="M72" s="11"/>
      <c r="N72" s="11"/>
      <c r="O72" s="8"/>
      <c r="P72" s="8"/>
      <c r="Q72" s="8"/>
      <c r="R72" s="8"/>
      <c r="S72" s="8"/>
      <c r="T72" s="8"/>
    </row>
    <row r="73" customFormat="false" ht="46.25" hidden="false" customHeight="false" outlineLevel="0" collapsed="false">
      <c r="A73" s="7" t="s">
        <v>297</v>
      </c>
      <c r="B73" s="7" t="s">
        <v>298</v>
      </c>
      <c r="C73" s="7" t="s">
        <v>290</v>
      </c>
      <c r="D73" s="7" t="s">
        <v>291</v>
      </c>
      <c r="E73" s="7" t="s">
        <v>292</v>
      </c>
      <c r="F73" s="7" t="n">
        <v>2</v>
      </c>
      <c r="G73" s="7" t="s">
        <v>83</v>
      </c>
      <c r="H73" s="7" t="s">
        <v>84</v>
      </c>
      <c r="I73" s="7" t="s">
        <v>61</v>
      </c>
      <c r="J73" s="7" t="s">
        <v>62</v>
      </c>
      <c r="K73" s="7" t="s">
        <v>299</v>
      </c>
      <c r="L73" s="7" t="s">
        <v>296</v>
      </c>
      <c r="M73" s="7"/>
      <c r="N73" s="7"/>
      <c r="O73" s="8"/>
      <c r="P73" s="8"/>
      <c r="Q73" s="8"/>
      <c r="R73" s="8"/>
      <c r="S73" s="8"/>
      <c r="T73" s="8"/>
    </row>
    <row r="74" customFormat="false" ht="46.25" hidden="false" customHeight="false" outlineLevel="0" collapsed="false">
      <c r="A74" s="7" t="s">
        <v>300</v>
      </c>
      <c r="B74" s="7" t="s">
        <v>301</v>
      </c>
      <c r="C74" s="7" t="s">
        <v>290</v>
      </c>
      <c r="D74" s="7" t="s">
        <v>291</v>
      </c>
      <c r="E74" s="7" t="s">
        <v>292</v>
      </c>
      <c r="F74" s="7" t="n">
        <v>2</v>
      </c>
      <c r="G74" s="7" t="s">
        <v>83</v>
      </c>
      <c r="H74" s="7" t="s">
        <v>84</v>
      </c>
      <c r="I74" s="7" t="s">
        <v>61</v>
      </c>
      <c r="J74" s="7" t="s">
        <v>62</v>
      </c>
      <c r="K74" s="7" t="s">
        <v>302</v>
      </c>
      <c r="L74" s="7" t="s">
        <v>296</v>
      </c>
      <c r="M74" s="7"/>
      <c r="N74" s="7"/>
      <c r="O74" s="8"/>
      <c r="P74" s="8"/>
      <c r="Q74" s="8"/>
      <c r="R74" s="8"/>
      <c r="S74" s="8"/>
      <c r="T74" s="8"/>
    </row>
    <row r="75" customFormat="false" ht="46.25" hidden="false" customHeight="false" outlineLevel="0" collapsed="false">
      <c r="A75" s="7" t="s">
        <v>303</v>
      </c>
      <c r="B75" s="7" t="s">
        <v>304</v>
      </c>
      <c r="C75" s="7" t="s">
        <v>290</v>
      </c>
      <c r="D75" s="7" t="s">
        <v>291</v>
      </c>
      <c r="E75" s="7" t="s">
        <v>292</v>
      </c>
      <c r="F75" s="7" t="n">
        <v>2</v>
      </c>
      <c r="G75" s="7" t="s">
        <v>83</v>
      </c>
      <c r="H75" s="7" t="s">
        <v>84</v>
      </c>
      <c r="I75" s="7" t="s">
        <v>61</v>
      </c>
      <c r="J75" s="7" t="s">
        <v>62</v>
      </c>
      <c r="K75" s="7" t="s">
        <v>305</v>
      </c>
      <c r="L75" s="7" t="s">
        <v>296</v>
      </c>
      <c r="M75" s="7"/>
      <c r="N75" s="7"/>
      <c r="O75" s="8"/>
      <c r="P75" s="8"/>
      <c r="Q75" s="8"/>
      <c r="R75" s="8"/>
      <c r="S75" s="8"/>
      <c r="T75" s="8"/>
    </row>
    <row r="76" customFormat="false" ht="46.25" hidden="false" customHeight="false" outlineLevel="0" collapsed="false">
      <c r="A76" s="7" t="s">
        <v>306</v>
      </c>
      <c r="B76" s="7" t="s">
        <v>307</v>
      </c>
      <c r="C76" s="7" t="s">
        <v>290</v>
      </c>
      <c r="D76" s="7" t="s">
        <v>291</v>
      </c>
      <c r="E76" s="7" t="s">
        <v>292</v>
      </c>
      <c r="F76" s="7" t="n">
        <v>2</v>
      </c>
      <c r="G76" s="7" t="s">
        <v>83</v>
      </c>
      <c r="H76" s="7" t="s">
        <v>84</v>
      </c>
      <c r="I76" s="7" t="s">
        <v>126</v>
      </c>
      <c r="J76" s="7" t="s">
        <v>62</v>
      </c>
      <c r="K76" s="7" t="s">
        <v>308</v>
      </c>
      <c r="L76" s="7" t="s">
        <v>296</v>
      </c>
      <c r="M76" s="7"/>
      <c r="N76" s="7"/>
      <c r="O76" s="8"/>
      <c r="P76" s="8"/>
      <c r="Q76" s="8"/>
      <c r="R76" s="8"/>
      <c r="S76" s="8"/>
      <c r="T76" s="8"/>
    </row>
    <row r="77" customFormat="false" ht="46.25" hidden="false" customHeight="false" outlineLevel="0" collapsed="false">
      <c r="A77" s="7" t="s">
        <v>309</v>
      </c>
      <c r="B77" s="7" t="s">
        <v>310</v>
      </c>
      <c r="C77" s="7" t="s">
        <v>290</v>
      </c>
      <c r="D77" s="7" t="s">
        <v>291</v>
      </c>
      <c r="E77" s="7" t="s">
        <v>292</v>
      </c>
      <c r="F77" s="7" t="n">
        <v>2</v>
      </c>
      <c r="G77" s="7" t="s">
        <v>83</v>
      </c>
      <c r="H77" s="7" t="s">
        <v>84</v>
      </c>
      <c r="I77" s="7" t="s">
        <v>61</v>
      </c>
      <c r="J77" s="7" t="s">
        <v>62</v>
      </c>
      <c r="K77" s="7" t="s">
        <v>311</v>
      </c>
      <c r="L77" s="7" t="s">
        <v>296</v>
      </c>
      <c r="M77" s="7"/>
      <c r="N77" s="7"/>
      <c r="O77" s="8"/>
      <c r="P77" s="8"/>
      <c r="Q77" s="8"/>
      <c r="R77" s="8"/>
      <c r="S77" s="8"/>
      <c r="T77" s="8"/>
    </row>
    <row r="78" customFormat="false" ht="46.25" hidden="false" customHeight="false" outlineLevel="0" collapsed="false">
      <c r="A78" s="7" t="s">
        <v>312</v>
      </c>
      <c r="B78" s="7" t="s">
        <v>313</v>
      </c>
      <c r="C78" s="7" t="s">
        <v>290</v>
      </c>
      <c r="D78" s="7" t="s">
        <v>291</v>
      </c>
      <c r="E78" s="7" t="s">
        <v>292</v>
      </c>
      <c r="F78" s="7" t="n">
        <v>2</v>
      </c>
      <c r="G78" s="7" t="s">
        <v>83</v>
      </c>
      <c r="H78" s="7" t="s">
        <v>84</v>
      </c>
      <c r="I78" s="7" t="s">
        <v>61</v>
      </c>
      <c r="J78" s="7" t="s">
        <v>62</v>
      </c>
      <c r="K78" s="7" t="s">
        <v>314</v>
      </c>
      <c r="L78" s="7" t="s">
        <v>296</v>
      </c>
      <c r="M78" s="7"/>
      <c r="N78" s="7"/>
      <c r="O78" s="8"/>
      <c r="P78" s="8"/>
      <c r="Q78" s="8"/>
      <c r="R78" s="8"/>
      <c r="S78" s="8"/>
      <c r="T78" s="8"/>
    </row>
    <row r="79" customFormat="false" ht="46.25" hidden="false" customHeight="false" outlineLevel="0" collapsed="false">
      <c r="A79" s="7" t="s">
        <v>315</v>
      </c>
      <c r="B79" s="7" t="s">
        <v>316</v>
      </c>
      <c r="C79" s="7" t="s">
        <v>290</v>
      </c>
      <c r="D79" s="7" t="s">
        <v>291</v>
      </c>
      <c r="E79" s="7" t="s">
        <v>292</v>
      </c>
      <c r="F79" s="7" t="n">
        <v>2</v>
      </c>
      <c r="G79" s="7" t="s">
        <v>83</v>
      </c>
      <c r="H79" s="7" t="s">
        <v>84</v>
      </c>
      <c r="I79" s="7" t="s">
        <v>61</v>
      </c>
      <c r="J79" s="7" t="s">
        <v>62</v>
      </c>
      <c r="K79" s="7" t="s">
        <v>317</v>
      </c>
      <c r="L79" s="7" t="s">
        <v>296</v>
      </c>
      <c r="M79" s="7"/>
      <c r="N79" s="7"/>
      <c r="O79" s="8"/>
      <c r="P79" s="8"/>
      <c r="Q79" s="8"/>
      <c r="R79" s="8"/>
      <c r="S79" s="8"/>
      <c r="T79" s="8"/>
    </row>
    <row r="80" customFormat="false" ht="23.85" hidden="false" customHeight="false" outlineLevel="0" collapsed="false">
      <c r="A80" s="7" t="s">
        <v>318</v>
      </c>
      <c r="B80" s="7" t="s">
        <v>319</v>
      </c>
      <c r="C80" s="7" t="s">
        <v>290</v>
      </c>
      <c r="D80" s="7" t="s">
        <v>291</v>
      </c>
      <c r="E80" s="7" t="s">
        <v>292</v>
      </c>
      <c r="F80" s="7" t="n">
        <v>3</v>
      </c>
      <c r="G80" s="7" t="s">
        <v>83</v>
      </c>
      <c r="H80" s="7" t="s">
        <v>84</v>
      </c>
      <c r="I80" s="7" t="s">
        <v>61</v>
      </c>
      <c r="J80" s="7" t="s">
        <v>62</v>
      </c>
      <c r="K80" s="7" t="s">
        <v>320</v>
      </c>
      <c r="L80" s="7" t="s">
        <v>317</v>
      </c>
      <c r="M80" s="7"/>
      <c r="N80" s="7"/>
      <c r="O80" s="8"/>
      <c r="P80" s="8"/>
      <c r="Q80" s="8"/>
      <c r="R80" s="8"/>
      <c r="S80" s="8"/>
      <c r="T80" s="8"/>
    </row>
    <row r="81" customFormat="false" ht="23.85" hidden="false" customHeight="false" outlineLevel="0" collapsed="false">
      <c r="A81" s="7" t="s">
        <v>321</v>
      </c>
      <c r="B81" s="7" t="s">
        <v>322</v>
      </c>
      <c r="C81" s="7" t="s">
        <v>290</v>
      </c>
      <c r="D81" s="7" t="s">
        <v>291</v>
      </c>
      <c r="E81" s="7" t="s">
        <v>292</v>
      </c>
      <c r="F81" s="7" t="n">
        <v>3</v>
      </c>
      <c r="G81" s="7" t="s">
        <v>83</v>
      </c>
      <c r="H81" s="7" t="s">
        <v>84</v>
      </c>
      <c r="I81" s="7" t="s">
        <v>61</v>
      </c>
      <c r="J81" s="7" t="s">
        <v>62</v>
      </c>
      <c r="K81" s="7" t="s">
        <v>323</v>
      </c>
      <c r="L81" s="7" t="s">
        <v>317</v>
      </c>
      <c r="M81" s="7"/>
      <c r="N81" s="7"/>
      <c r="O81" s="8"/>
      <c r="P81" s="8"/>
      <c r="Q81" s="8"/>
      <c r="R81" s="8"/>
      <c r="S81" s="8"/>
      <c r="T81" s="8"/>
    </row>
    <row r="82" customFormat="false" ht="23.85" hidden="false" customHeight="false" outlineLevel="0" collapsed="false">
      <c r="A82" s="7" t="s">
        <v>324</v>
      </c>
      <c r="B82" s="7" t="s">
        <v>325</v>
      </c>
      <c r="C82" s="7" t="s">
        <v>290</v>
      </c>
      <c r="D82" s="7" t="s">
        <v>291</v>
      </c>
      <c r="E82" s="7" t="s">
        <v>292</v>
      </c>
      <c r="F82" s="7" t="n">
        <v>3</v>
      </c>
      <c r="G82" s="7" t="s">
        <v>83</v>
      </c>
      <c r="H82" s="7" t="s">
        <v>84</v>
      </c>
      <c r="I82" s="7" t="s">
        <v>61</v>
      </c>
      <c r="J82" s="7" t="s">
        <v>62</v>
      </c>
      <c r="K82" s="7" t="s">
        <v>326</v>
      </c>
      <c r="L82" s="7" t="s">
        <v>317</v>
      </c>
      <c r="M82" s="7"/>
      <c r="N82" s="7"/>
      <c r="O82" s="8"/>
      <c r="P82" s="8"/>
      <c r="Q82" s="8"/>
      <c r="R82" s="8"/>
      <c r="S82" s="8"/>
      <c r="T82" s="8"/>
    </row>
    <row r="83" customFormat="false" ht="23.85" hidden="false" customHeight="false" outlineLevel="0" collapsed="false">
      <c r="A83" s="7" t="s">
        <v>327</v>
      </c>
      <c r="B83" s="7" t="s">
        <v>328</v>
      </c>
      <c r="C83" s="7" t="s">
        <v>290</v>
      </c>
      <c r="D83" s="7" t="s">
        <v>291</v>
      </c>
      <c r="E83" s="7" t="s">
        <v>292</v>
      </c>
      <c r="F83" s="7" t="n">
        <v>3</v>
      </c>
      <c r="G83" s="7" t="s">
        <v>83</v>
      </c>
      <c r="H83" s="7" t="s">
        <v>84</v>
      </c>
      <c r="I83" s="7" t="s">
        <v>61</v>
      </c>
      <c r="J83" s="7" t="s">
        <v>62</v>
      </c>
      <c r="K83" s="7" t="s">
        <v>329</v>
      </c>
      <c r="L83" s="7" t="s">
        <v>317</v>
      </c>
      <c r="M83" s="7"/>
      <c r="N83" s="7"/>
      <c r="O83" s="8"/>
      <c r="P83" s="8"/>
      <c r="Q83" s="8"/>
      <c r="R83" s="8"/>
      <c r="S83" s="8"/>
      <c r="T83" s="8"/>
    </row>
    <row r="84" customFormat="false" ht="23.85" hidden="false" customHeight="false" outlineLevel="0" collapsed="false">
      <c r="A84" s="7" t="s">
        <v>330</v>
      </c>
      <c r="B84" s="7" t="s">
        <v>331</v>
      </c>
      <c r="C84" s="7" t="s">
        <v>290</v>
      </c>
      <c r="D84" s="7" t="s">
        <v>291</v>
      </c>
      <c r="E84" s="7" t="s">
        <v>292</v>
      </c>
      <c r="F84" s="7" t="n">
        <v>3</v>
      </c>
      <c r="G84" s="7" t="s">
        <v>83</v>
      </c>
      <c r="H84" s="7" t="s">
        <v>84</v>
      </c>
      <c r="I84" s="7" t="s">
        <v>61</v>
      </c>
      <c r="J84" s="7" t="s">
        <v>62</v>
      </c>
      <c r="K84" s="7" t="s">
        <v>332</v>
      </c>
      <c r="L84" s="7" t="s">
        <v>317</v>
      </c>
      <c r="M84" s="7"/>
      <c r="N84" s="7"/>
      <c r="O84" s="8"/>
      <c r="P84" s="8"/>
      <c r="Q84" s="8"/>
      <c r="R84" s="8"/>
      <c r="S84" s="8"/>
      <c r="T84" s="8"/>
    </row>
    <row r="85" customFormat="false" ht="23.85" hidden="false" customHeight="false" outlineLevel="0" collapsed="false">
      <c r="A85" s="7" t="s">
        <v>333</v>
      </c>
      <c r="B85" s="7" t="s">
        <v>334</v>
      </c>
      <c r="C85" s="7" t="s">
        <v>290</v>
      </c>
      <c r="D85" s="7" t="s">
        <v>291</v>
      </c>
      <c r="E85" s="7" t="s">
        <v>292</v>
      </c>
      <c r="F85" s="7" t="n">
        <v>3</v>
      </c>
      <c r="G85" s="7" t="s">
        <v>83</v>
      </c>
      <c r="H85" s="7" t="s">
        <v>84</v>
      </c>
      <c r="I85" s="7" t="s">
        <v>61</v>
      </c>
      <c r="J85" s="7" t="s">
        <v>62</v>
      </c>
      <c r="K85" s="7" t="s">
        <v>335</v>
      </c>
      <c r="L85" s="7" t="s">
        <v>317</v>
      </c>
      <c r="M85" s="7"/>
      <c r="N85" s="7"/>
      <c r="O85" s="8"/>
      <c r="P85" s="8"/>
      <c r="Q85" s="8"/>
      <c r="R85" s="8"/>
      <c r="S85" s="8"/>
      <c r="T85" s="8"/>
    </row>
    <row r="86" customFormat="false" ht="23.85" hidden="false" customHeight="false" outlineLevel="0" collapsed="false">
      <c r="A86" s="7" t="s">
        <v>336</v>
      </c>
      <c r="B86" s="7" t="s">
        <v>337</v>
      </c>
      <c r="C86" s="7" t="s">
        <v>290</v>
      </c>
      <c r="D86" s="7" t="s">
        <v>291</v>
      </c>
      <c r="E86" s="7" t="s">
        <v>292</v>
      </c>
      <c r="F86" s="7" t="n">
        <v>3</v>
      </c>
      <c r="G86" s="7" t="s">
        <v>83</v>
      </c>
      <c r="H86" s="7" t="s">
        <v>84</v>
      </c>
      <c r="I86" s="7" t="s">
        <v>61</v>
      </c>
      <c r="J86" s="7" t="s">
        <v>62</v>
      </c>
      <c r="K86" s="7" t="s">
        <v>338</v>
      </c>
      <c r="L86" s="7" t="s">
        <v>317</v>
      </c>
      <c r="M86" s="7"/>
      <c r="N86" s="7"/>
      <c r="O86" s="8"/>
      <c r="P86" s="8"/>
      <c r="Q86" s="8"/>
      <c r="R86" s="8"/>
      <c r="S86" s="8"/>
      <c r="T86" s="8"/>
    </row>
    <row r="87" customFormat="false" ht="46.25" hidden="false" customHeight="false" outlineLevel="0" collapsed="false">
      <c r="A87" s="7" t="s">
        <v>339</v>
      </c>
      <c r="B87" s="7" t="s">
        <v>290</v>
      </c>
      <c r="C87" s="7" t="s">
        <v>290</v>
      </c>
      <c r="D87" s="7" t="s">
        <v>291</v>
      </c>
      <c r="E87" s="7" t="s">
        <v>292</v>
      </c>
      <c r="F87" s="7"/>
      <c r="G87" s="7" t="s">
        <v>65</v>
      </c>
      <c r="H87" s="7" t="s">
        <v>118</v>
      </c>
      <c r="I87" s="7"/>
      <c r="J87" s="7" t="s">
        <v>67</v>
      </c>
      <c r="K87" s="7" t="s">
        <v>340</v>
      </c>
      <c r="L87" s="7" t="s">
        <v>296</v>
      </c>
      <c r="M87" s="7" t="s">
        <v>341</v>
      </c>
      <c r="N87" s="7"/>
      <c r="O87" s="8"/>
      <c r="P87" s="8"/>
      <c r="Q87" s="8"/>
      <c r="R87" s="8"/>
      <c r="S87" s="8"/>
      <c r="T87" s="8"/>
    </row>
    <row r="88" customFormat="false" ht="23.85" hidden="false" customHeight="false" outlineLevel="0" collapsed="false">
      <c r="A88" s="11" t="s">
        <v>342</v>
      </c>
      <c r="B88" s="11" t="s">
        <v>343</v>
      </c>
      <c r="C88" s="11" t="s">
        <v>344</v>
      </c>
      <c r="D88" s="11" t="s">
        <v>345</v>
      </c>
      <c r="E88" s="11" t="s">
        <v>346</v>
      </c>
      <c r="F88" s="11" t="n">
        <v>1</v>
      </c>
      <c r="G88" s="12" t="s">
        <v>59</v>
      </c>
      <c r="H88" s="11" t="s">
        <v>60</v>
      </c>
      <c r="I88" s="11" t="s">
        <v>61</v>
      </c>
      <c r="J88" s="11" t="s">
        <v>62</v>
      </c>
      <c r="K88" s="11" t="s">
        <v>347</v>
      </c>
      <c r="L88" s="11"/>
      <c r="M88" s="11"/>
      <c r="N88" s="11"/>
      <c r="O88" s="8"/>
      <c r="P88" s="8"/>
      <c r="Q88" s="8"/>
      <c r="R88" s="8"/>
      <c r="S88" s="8"/>
      <c r="T88" s="8"/>
    </row>
    <row r="89" customFormat="false" ht="23.85" hidden="false" customHeight="false" outlineLevel="0" collapsed="false">
      <c r="A89" s="11" t="s">
        <v>348</v>
      </c>
      <c r="B89" s="11" t="s">
        <v>349</v>
      </c>
      <c r="C89" s="11" t="s">
        <v>344</v>
      </c>
      <c r="D89" s="11" t="s">
        <v>345</v>
      </c>
      <c r="E89" s="11" t="s">
        <v>346</v>
      </c>
      <c r="F89" s="11" t="n">
        <v>1</v>
      </c>
      <c r="G89" s="12" t="s">
        <v>59</v>
      </c>
      <c r="H89" s="11" t="s">
        <v>60</v>
      </c>
      <c r="I89" s="11" t="s">
        <v>61</v>
      </c>
      <c r="J89" s="11" t="s">
        <v>62</v>
      </c>
      <c r="K89" s="11" t="s">
        <v>350</v>
      </c>
      <c r="L89" s="11"/>
      <c r="M89" s="11"/>
      <c r="N89" s="11"/>
      <c r="O89" s="8"/>
      <c r="P89" s="8"/>
      <c r="Q89" s="8"/>
      <c r="R89" s="8"/>
      <c r="S89" s="8"/>
      <c r="T89" s="8"/>
    </row>
    <row r="90" customFormat="false" ht="23.85" hidden="false" customHeight="false" outlineLevel="0" collapsed="false">
      <c r="A90" s="11" t="s">
        <v>351</v>
      </c>
      <c r="B90" s="11" t="s">
        <v>352</v>
      </c>
      <c r="C90" s="11" t="s">
        <v>344</v>
      </c>
      <c r="D90" s="11" t="s">
        <v>345</v>
      </c>
      <c r="E90" s="11" t="s">
        <v>346</v>
      </c>
      <c r="F90" s="11" t="n">
        <v>1</v>
      </c>
      <c r="G90" s="12" t="s">
        <v>59</v>
      </c>
      <c r="H90" s="11" t="s">
        <v>60</v>
      </c>
      <c r="I90" s="11" t="s">
        <v>61</v>
      </c>
      <c r="J90" s="11" t="s">
        <v>62</v>
      </c>
      <c r="K90" s="11" t="s">
        <v>353</v>
      </c>
      <c r="L90" s="11"/>
      <c r="M90" s="11"/>
      <c r="N90" s="11"/>
      <c r="O90" s="8"/>
      <c r="P90" s="8"/>
      <c r="Q90" s="8"/>
      <c r="R90" s="8"/>
      <c r="S90" s="8"/>
      <c r="T90" s="8"/>
    </row>
    <row r="91" customFormat="false" ht="23.85" hidden="false" customHeight="false" outlineLevel="0" collapsed="false">
      <c r="A91" s="11" t="s">
        <v>354</v>
      </c>
      <c r="B91" s="11" t="s">
        <v>355</v>
      </c>
      <c r="C91" s="11" t="s">
        <v>344</v>
      </c>
      <c r="D91" s="11" t="s">
        <v>345</v>
      </c>
      <c r="E91" s="11" t="s">
        <v>346</v>
      </c>
      <c r="F91" s="11" t="n">
        <v>1</v>
      </c>
      <c r="G91" s="12" t="s">
        <v>59</v>
      </c>
      <c r="H91" s="11" t="s">
        <v>60</v>
      </c>
      <c r="I91" s="11" t="s">
        <v>61</v>
      </c>
      <c r="J91" s="11" t="s">
        <v>62</v>
      </c>
      <c r="K91" s="11" t="s">
        <v>356</v>
      </c>
      <c r="L91" s="11"/>
      <c r="M91" s="11"/>
      <c r="N91" s="11"/>
      <c r="O91" s="8"/>
      <c r="P91" s="8"/>
      <c r="Q91" s="8"/>
      <c r="R91" s="8"/>
      <c r="S91" s="8"/>
      <c r="T91" s="8"/>
    </row>
    <row r="92" customFormat="false" ht="35.05" hidden="false" customHeight="false" outlineLevel="0" collapsed="false">
      <c r="A92" s="7" t="s">
        <v>357</v>
      </c>
      <c r="B92" s="7" t="s">
        <v>344</v>
      </c>
      <c r="C92" s="7" t="s">
        <v>344</v>
      </c>
      <c r="D92" s="7" t="s">
        <v>345</v>
      </c>
      <c r="E92" s="7" t="s">
        <v>346</v>
      </c>
      <c r="F92" s="7"/>
      <c r="G92" s="7" t="s">
        <v>65</v>
      </c>
      <c r="H92" s="7" t="s">
        <v>118</v>
      </c>
      <c r="I92" s="7"/>
      <c r="J92" s="7" t="s">
        <v>67</v>
      </c>
      <c r="K92" s="7" t="s">
        <v>358</v>
      </c>
      <c r="L92" s="7" t="s">
        <v>356</v>
      </c>
      <c r="M92" s="7" t="s">
        <v>359</v>
      </c>
      <c r="N92" s="7"/>
      <c r="O92" s="8"/>
      <c r="P92" s="8"/>
      <c r="Q92" s="8"/>
      <c r="R92" s="8"/>
      <c r="S92" s="8"/>
      <c r="T92" s="8"/>
    </row>
    <row r="93" customFormat="false" ht="68.65" hidden="false" customHeight="false" outlineLevel="0" collapsed="false">
      <c r="A93" s="7" t="s">
        <v>360</v>
      </c>
      <c r="B93" s="7" t="s">
        <v>361</v>
      </c>
      <c r="C93" s="7" t="s">
        <v>361</v>
      </c>
      <c r="D93" s="7" t="s">
        <v>362</v>
      </c>
      <c r="E93" s="7" t="s">
        <v>363</v>
      </c>
      <c r="F93" s="7"/>
      <c r="G93" s="7" t="s">
        <v>125</v>
      </c>
      <c r="H93" s="7" t="s">
        <v>66</v>
      </c>
      <c r="I93" s="7"/>
      <c r="J93" s="7" t="s">
        <v>67</v>
      </c>
      <c r="K93" s="7" t="s">
        <v>364</v>
      </c>
      <c r="L93" s="7"/>
      <c r="M93" s="7"/>
      <c r="N93" s="7"/>
      <c r="O93" s="8"/>
      <c r="P93" s="8"/>
      <c r="Q93" s="8"/>
      <c r="R93" s="8"/>
      <c r="S93" s="8"/>
      <c r="T93" s="8"/>
    </row>
    <row r="94" customFormat="false" ht="23.85" hidden="false" customHeight="false" outlineLevel="0" collapsed="false">
      <c r="A94" s="11" t="s">
        <v>365</v>
      </c>
      <c r="B94" s="11" t="s">
        <v>366</v>
      </c>
      <c r="C94" s="11" t="s">
        <v>367</v>
      </c>
      <c r="D94" s="11" t="s">
        <v>368</v>
      </c>
      <c r="E94" s="11" t="s">
        <v>369</v>
      </c>
      <c r="F94" s="11" t="n">
        <v>1</v>
      </c>
      <c r="G94" s="12" t="s">
        <v>59</v>
      </c>
      <c r="H94" s="11" t="s">
        <v>60</v>
      </c>
      <c r="I94" s="11" t="s">
        <v>61</v>
      </c>
      <c r="J94" s="11" t="s">
        <v>62</v>
      </c>
      <c r="K94" s="11" t="s">
        <v>370</v>
      </c>
      <c r="L94" s="11"/>
      <c r="M94" s="11"/>
      <c r="N94" s="11"/>
      <c r="O94" s="8"/>
      <c r="P94" s="8"/>
      <c r="Q94" s="8"/>
      <c r="R94" s="8"/>
      <c r="S94" s="8"/>
      <c r="T94" s="8"/>
    </row>
    <row r="95" customFormat="false" ht="46.25" hidden="false" customHeight="false" outlineLevel="0" collapsed="false">
      <c r="A95" s="7" t="s">
        <v>371</v>
      </c>
      <c r="B95" s="7" t="s">
        <v>367</v>
      </c>
      <c r="C95" s="7" t="s">
        <v>367</v>
      </c>
      <c r="D95" s="7" t="s">
        <v>368</v>
      </c>
      <c r="E95" s="7" t="s">
        <v>369</v>
      </c>
      <c r="F95" s="7"/>
      <c r="G95" s="7" t="s">
        <v>65</v>
      </c>
      <c r="H95" s="7" t="s">
        <v>118</v>
      </c>
      <c r="I95" s="7"/>
      <c r="J95" s="7" t="s">
        <v>67</v>
      </c>
      <c r="K95" s="7" t="s">
        <v>372</v>
      </c>
      <c r="L95" s="7" t="s">
        <v>370</v>
      </c>
      <c r="M95" s="7"/>
      <c r="N95" s="7" t="s">
        <v>373</v>
      </c>
      <c r="O95" s="8"/>
      <c r="P95" s="8"/>
      <c r="Q95" s="8"/>
      <c r="R95" s="8"/>
      <c r="S95" s="8"/>
      <c r="T95" s="8"/>
    </row>
    <row r="96" customFormat="false" ht="23.85" hidden="false" customHeight="false" outlineLevel="0" collapsed="false">
      <c r="A96" s="11" t="s">
        <v>374</v>
      </c>
      <c r="B96" s="11" t="s">
        <v>375</v>
      </c>
      <c r="C96" s="11" t="s">
        <v>367</v>
      </c>
      <c r="D96" s="11" t="s">
        <v>368</v>
      </c>
      <c r="E96" s="11" t="s">
        <v>369</v>
      </c>
      <c r="F96" s="11" t="n">
        <v>1</v>
      </c>
      <c r="G96" s="12" t="s">
        <v>59</v>
      </c>
      <c r="H96" s="11" t="s">
        <v>60</v>
      </c>
      <c r="I96" s="11" t="s">
        <v>61</v>
      </c>
      <c r="J96" s="11" t="s">
        <v>62</v>
      </c>
      <c r="K96" s="11" t="s">
        <v>376</v>
      </c>
      <c r="L96" s="11"/>
      <c r="M96" s="11"/>
      <c r="N96" s="11"/>
      <c r="O96" s="8"/>
      <c r="P96" s="8"/>
      <c r="Q96" s="8"/>
      <c r="R96" s="8"/>
      <c r="S96" s="8"/>
      <c r="T96" s="8"/>
    </row>
    <row r="97" customFormat="false" ht="23.85" hidden="false" customHeight="false" outlineLevel="0" collapsed="false">
      <c r="A97" s="11" t="s">
        <v>377</v>
      </c>
      <c r="B97" s="11" t="s">
        <v>378</v>
      </c>
      <c r="C97" s="11" t="s">
        <v>379</v>
      </c>
      <c r="D97" s="11" t="s">
        <v>380</v>
      </c>
      <c r="E97" s="11" t="s">
        <v>381</v>
      </c>
      <c r="F97" s="11" t="n">
        <v>1</v>
      </c>
      <c r="G97" s="12" t="s">
        <v>59</v>
      </c>
      <c r="H97" s="11" t="s">
        <v>60</v>
      </c>
      <c r="I97" s="11" t="s">
        <v>61</v>
      </c>
      <c r="J97" s="11" t="s">
        <v>62</v>
      </c>
      <c r="K97" s="11" t="s">
        <v>382</v>
      </c>
      <c r="L97" s="11"/>
      <c r="M97" s="11"/>
      <c r="N97" s="11"/>
      <c r="O97" s="8"/>
      <c r="P97" s="8"/>
      <c r="Q97" s="8"/>
      <c r="R97" s="8"/>
      <c r="S97" s="8"/>
      <c r="T97" s="8"/>
    </row>
    <row r="98" customFormat="false" ht="23.85" hidden="false" customHeight="false" outlineLevel="0" collapsed="false">
      <c r="A98" s="7" t="s">
        <v>383</v>
      </c>
      <c r="B98" s="7" t="s">
        <v>384</v>
      </c>
      <c r="C98" s="7" t="s">
        <v>379</v>
      </c>
      <c r="D98" s="7" t="s">
        <v>380</v>
      </c>
      <c r="E98" s="7" t="s">
        <v>381</v>
      </c>
      <c r="F98" s="7" t="n">
        <v>2</v>
      </c>
      <c r="G98" s="7" t="s">
        <v>83</v>
      </c>
      <c r="H98" s="7" t="s">
        <v>84</v>
      </c>
      <c r="I98" s="7" t="s">
        <v>61</v>
      </c>
      <c r="J98" s="7" t="s">
        <v>62</v>
      </c>
      <c r="K98" s="7" t="s">
        <v>385</v>
      </c>
      <c r="L98" s="7" t="s">
        <v>382</v>
      </c>
      <c r="M98" s="7"/>
      <c r="N98" s="7"/>
      <c r="O98" s="8"/>
      <c r="P98" s="8"/>
      <c r="Q98" s="8"/>
      <c r="R98" s="8"/>
      <c r="S98" s="8"/>
      <c r="T98" s="8"/>
    </row>
    <row r="99" customFormat="false" ht="23.85" hidden="false" customHeight="false" outlineLevel="0" collapsed="false">
      <c r="A99" s="7" t="s">
        <v>386</v>
      </c>
      <c r="B99" s="7" t="s">
        <v>387</v>
      </c>
      <c r="C99" s="7" t="s">
        <v>379</v>
      </c>
      <c r="D99" s="7" t="s">
        <v>380</v>
      </c>
      <c r="E99" s="7" t="s">
        <v>381</v>
      </c>
      <c r="F99" s="7" t="n">
        <v>2</v>
      </c>
      <c r="G99" s="7" t="s">
        <v>83</v>
      </c>
      <c r="H99" s="7" t="s">
        <v>84</v>
      </c>
      <c r="I99" s="7" t="s">
        <v>61</v>
      </c>
      <c r="J99" s="7" t="s">
        <v>62</v>
      </c>
      <c r="K99" s="7" t="s">
        <v>388</v>
      </c>
      <c r="L99" s="7" t="s">
        <v>382</v>
      </c>
      <c r="M99" s="7"/>
      <c r="N99" s="7"/>
      <c r="O99" s="8"/>
      <c r="P99" s="8"/>
      <c r="Q99" s="8"/>
      <c r="R99" s="8"/>
      <c r="S99" s="8"/>
      <c r="T99" s="8"/>
    </row>
    <row r="100" customFormat="false" ht="23.85" hidden="false" customHeight="false" outlineLevel="0" collapsed="false">
      <c r="A100" s="7" t="s">
        <v>389</v>
      </c>
      <c r="B100" s="7" t="s">
        <v>390</v>
      </c>
      <c r="C100" s="7" t="s">
        <v>379</v>
      </c>
      <c r="D100" s="7" t="s">
        <v>380</v>
      </c>
      <c r="E100" s="7" t="s">
        <v>381</v>
      </c>
      <c r="F100" s="7" t="n">
        <v>2</v>
      </c>
      <c r="G100" s="7" t="s">
        <v>83</v>
      </c>
      <c r="H100" s="7" t="s">
        <v>84</v>
      </c>
      <c r="I100" s="7" t="s">
        <v>61</v>
      </c>
      <c r="J100" s="7" t="s">
        <v>62</v>
      </c>
      <c r="K100" s="7" t="s">
        <v>391</v>
      </c>
      <c r="L100" s="7" t="s">
        <v>382</v>
      </c>
      <c r="M100" s="7"/>
      <c r="N100" s="7"/>
      <c r="O100" s="8"/>
      <c r="P100" s="8"/>
      <c r="Q100" s="8"/>
      <c r="R100" s="8"/>
      <c r="S100" s="8"/>
      <c r="T100" s="8"/>
    </row>
    <row r="101" customFormat="false" ht="23.85" hidden="false" customHeight="false" outlineLevel="0" collapsed="false">
      <c r="A101" s="7" t="s">
        <v>392</v>
      </c>
      <c r="B101" s="7" t="s">
        <v>379</v>
      </c>
      <c r="C101" s="7" t="s">
        <v>379</v>
      </c>
      <c r="D101" s="7" t="s">
        <v>380</v>
      </c>
      <c r="E101" s="7" t="s">
        <v>381</v>
      </c>
      <c r="F101" s="7"/>
      <c r="G101" s="7" t="s">
        <v>65</v>
      </c>
      <c r="H101" s="7"/>
      <c r="I101" s="7"/>
      <c r="J101" s="7" t="s">
        <v>67</v>
      </c>
      <c r="K101" s="7" t="s">
        <v>393</v>
      </c>
      <c r="L101" s="7" t="s">
        <v>382</v>
      </c>
      <c r="M101" s="7"/>
      <c r="N101" s="7"/>
      <c r="O101" s="8"/>
      <c r="P101" s="8"/>
      <c r="Q101" s="8"/>
      <c r="R101" s="8"/>
      <c r="S101" s="8"/>
      <c r="T101" s="8"/>
    </row>
    <row r="102" customFormat="false" ht="23.85" hidden="false" customHeight="false" outlineLevel="0" collapsed="false">
      <c r="A102" s="11" t="s">
        <v>394</v>
      </c>
      <c r="B102" s="11" t="s">
        <v>395</v>
      </c>
      <c r="C102" s="11" t="s">
        <v>396</v>
      </c>
      <c r="D102" s="11" t="s">
        <v>397</v>
      </c>
      <c r="E102" s="11" t="s">
        <v>398</v>
      </c>
      <c r="F102" s="11" t="n">
        <v>1</v>
      </c>
      <c r="G102" s="12" t="s">
        <v>59</v>
      </c>
      <c r="H102" s="11" t="s">
        <v>60</v>
      </c>
      <c r="I102" s="11" t="s">
        <v>61</v>
      </c>
      <c r="J102" s="11" t="s">
        <v>62</v>
      </c>
      <c r="K102" s="11" t="s">
        <v>399</v>
      </c>
      <c r="L102" s="11"/>
      <c r="M102" s="11"/>
      <c r="N102" s="11"/>
      <c r="O102" s="8"/>
      <c r="P102" s="8"/>
      <c r="Q102" s="8"/>
      <c r="R102" s="8"/>
      <c r="S102" s="8"/>
      <c r="T102" s="8"/>
    </row>
    <row r="103" customFormat="false" ht="35.05" hidden="false" customHeight="false" outlineLevel="0" collapsed="false">
      <c r="A103" s="7" t="s">
        <v>400</v>
      </c>
      <c r="B103" s="7" t="s">
        <v>401</v>
      </c>
      <c r="C103" s="7" t="s">
        <v>396</v>
      </c>
      <c r="D103" s="7" t="s">
        <v>397</v>
      </c>
      <c r="E103" s="7" t="s">
        <v>398</v>
      </c>
      <c r="F103" s="7" t="n">
        <v>2</v>
      </c>
      <c r="G103" s="7" t="s">
        <v>83</v>
      </c>
      <c r="H103" s="7" t="s">
        <v>84</v>
      </c>
      <c r="I103" s="7" t="s">
        <v>61</v>
      </c>
      <c r="J103" s="7" t="s">
        <v>62</v>
      </c>
      <c r="K103" s="7" t="s">
        <v>402</v>
      </c>
      <c r="L103" s="7" t="s">
        <v>399</v>
      </c>
      <c r="M103" s="7"/>
      <c r="N103" s="7"/>
      <c r="O103" s="8"/>
      <c r="P103" s="8"/>
      <c r="Q103" s="8"/>
      <c r="R103" s="8"/>
      <c r="S103" s="8"/>
      <c r="T103" s="8"/>
    </row>
    <row r="104" customFormat="false" ht="23.85" hidden="false" customHeight="false" outlineLevel="0" collapsed="false">
      <c r="A104" s="7" t="s">
        <v>403</v>
      </c>
      <c r="B104" s="7" t="s">
        <v>404</v>
      </c>
      <c r="C104" s="7" t="s">
        <v>396</v>
      </c>
      <c r="D104" s="7" t="s">
        <v>397</v>
      </c>
      <c r="E104" s="7" t="s">
        <v>398</v>
      </c>
      <c r="F104" s="7" t="n">
        <v>2</v>
      </c>
      <c r="G104" s="7" t="s">
        <v>83</v>
      </c>
      <c r="H104" s="7" t="s">
        <v>84</v>
      </c>
      <c r="I104" s="7" t="s">
        <v>61</v>
      </c>
      <c r="J104" s="7" t="s">
        <v>62</v>
      </c>
      <c r="K104" s="7" t="s">
        <v>388</v>
      </c>
      <c r="L104" s="7" t="s">
        <v>399</v>
      </c>
      <c r="M104" s="7"/>
      <c r="N104" s="7"/>
      <c r="O104" s="8"/>
      <c r="P104" s="8"/>
      <c r="Q104" s="8"/>
      <c r="R104" s="8"/>
      <c r="S104" s="8"/>
      <c r="T104" s="8"/>
    </row>
    <row r="105" customFormat="false" ht="23.85" hidden="false" customHeight="false" outlineLevel="0" collapsed="false">
      <c r="A105" s="7" t="s">
        <v>405</v>
      </c>
      <c r="B105" s="7" t="s">
        <v>406</v>
      </c>
      <c r="C105" s="7" t="s">
        <v>396</v>
      </c>
      <c r="D105" s="7" t="s">
        <v>397</v>
      </c>
      <c r="E105" s="7" t="s">
        <v>398</v>
      </c>
      <c r="F105" s="7" t="n">
        <v>2</v>
      </c>
      <c r="G105" s="7" t="s">
        <v>83</v>
      </c>
      <c r="H105" s="7" t="s">
        <v>84</v>
      </c>
      <c r="I105" s="7" t="s">
        <v>61</v>
      </c>
      <c r="J105" s="7" t="s">
        <v>62</v>
      </c>
      <c r="K105" s="7" t="s">
        <v>391</v>
      </c>
      <c r="L105" s="7" t="s">
        <v>399</v>
      </c>
      <c r="M105" s="7"/>
      <c r="N105" s="7"/>
      <c r="O105" s="8"/>
      <c r="P105" s="8"/>
      <c r="Q105" s="8"/>
      <c r="R105" s="8"/>
      <c r="S105" s="8"/>
      <c r="T105" s="8"/>
    </row>
    <row r="106" customFormat="false" ht="23.85" hidden="false" customHeight="false" outlineLevel="0" collapsed="false">
      <c r="A106" s="11" t="s">
        <v>407</v>
      </c>
      <c r="B106" s="11" t="s">
        <v>408</v>
      </c>
      <c r="C106" s="11" t="s">
        <v>409</v>
      </c>
      <c r="D106" s="11" t="s">
        <v>410</v>
      </c>
      <c r="E106" s="11" t="s">
        <v>411</v>
      </c>
      <c r="F106" s="11" t="n">
        <v>1</v>
      </c>
      <c r="G106" s="12" t="s">
        <v>59</v>
      </c>
      <c r="H106" s="11" t="s">
        <v>60</v>
      </c>
      <c r="I106" s="11" t="s">
        <v>61</v>
      </c>
      <c r="J106" s="11" t="s">
        <v>62</v>
      </c>
      <c r="K106" s="11" t="s">
        <v>412</v>
      </c>
      <c r="L106" s="11"/>
      <c r="M106" s="11"/>
      <c r="N106" s="11"/>
      <c r="O106" s="8"/>
      <c r="P106" s="8"/>
      <c r="Q106" s="8"/>
      <c r="R106" s="8"/>
      <c r="S106" s="8"/>
      <c r="T106" s="8"/>
    </row>
    <row r="107" customFormat="false" ht="35.05" hidden="false" customHeight="false" outlineLevel="0" collapsed="false">
      <c r="A107" s="7" t="s">
        <v>413</v>
      </c>
      <c r="B107" s="7" t="s">
        <v>414</v>
      </c>
      <c r="C107" s="7" t="s">
        <v>409</v>
      </c>
      <c r="D107" s="7" t="s">
        <v>410</v>
      </c>
      <c r="E107" s="7" t="s">
        <v>411</v>
      </c>
      <c r="F107" s="7" t="n">
        <v>2</v>
      </c>
      <c r="G107" s="7" t="s">
        <v>83</v>
      </c>
      <c r="H107" s="7" t="s">
        <v>84</v>
      </c>
      <c r="I107" s="7" t="s">
        <v>61</v>
      </c>
      <c r="J107" s="7" t="s">
        <v>62</v>
      </c>
      <c r="K107" s="7" t="s">
        <v>415</v>
      </c>
      <c r="L107" s="7" t="s">
        <v>412</v>
      </c>
      <c r="M107" s="7"/>
      <c r="N107" s="7"/>
      <c r="O107" s="8"/>
      <c r="P107" s="8"/>
      <c r="Q107" s="8"/>
      <c r="R107" s="8"/>
      <c r="S107" s="8"/>
      <c r="T107" s="8"/>
    </row>
    <row r="108" customFormat="false" ht="23.85" hidden="false" customHeight="false" outlineLevel="0" collapsed="false">
      <c r="A108" s="7" t="s">
        <v>416</v>
      </c>
      <c r="B108" s="7" t="s">
        <v>417</v>
      </c>
      <c r="C108" s="7" t="s">
        <v>409</v>
      </c>
      <c r="D108" s="7" t="s">
        <v>410</v>
      </c>
      <c r="E108" s="7" t="s">
        <v>411</v>
      </c>
      <c r="F108" s="7" t="n">
        <v>2</v>
      </c>
      <c r="G108" s="7" t="s">
        <v>83</v>
      </c>
      <c r="H108" s="7" t="s">
        <v>84</v>
      </c>
      <c r="I108" s="7" t="s">
        <v>61</v>
      </c>
      <c r="J108" s="7" t="s">
        <v>62</v>
      </c>
      <c r="K108" s="7" t="s">
        <v>418</v>
      </c>
      <c r="L108" s="7" t="s">
        <v>412</v>
      </c>
      <c r="M108" s="7"/>
      <c r="N108" s="7"/>
      <c r="O108" s="8"/>
      <c r="P108" s="8"/>
      <c r="Q108" s="8"/>
      <c r="R108" s="8"/>
      <c r="S108" s="8"/>
      <c r="T108" s="8"/>
    </row>
    <row r="109" customFormat="false" ht="35.05" hidden="false" customHeight="false" outlineLevel="0" collapsed="false">
      <c r="A109" s="7" t="s">
        <v>419</v>
      </c>
      <c r="B109" s="7" t="s">
        <v>420</v>
      </c>
      <c r="C109" s="7" t="s">
        <v>409</v>
      </c>
      <c r="D109" s="7" t="s">
        <v>410</v>
      </c>
      <c r="E109" s="7" t="s">
        <v>411</v>
      </c>
      <c r="F109" s="7" t="n">
        <v>2</v>
      </c>
      <c r="G109" s="7" t="s">
        <v>83</v>
      </c>
      <c r="H109" s="7" t="s">
        <v>84</v>
      </c>
      <c r="I109" s="7" t="s">
        <v>61</v>
      </c>
      <c r="J109" s="7" t="s">
        <v>62</v>
      </c>
      <c r="K109" s="7" t="s">
        <v>421</v>
      </c>
      <c r="L109" s="7" t="s">
        <v>412</v>
      </c>
      <c r="M109" s="7"/>
      <c r="N109" s="7"/>
      <c r="O109" s="8"/>
      <c r="P109" s="8"/>
      <c r="Q109" s="8"/>
      <c r="R109" s="8"/>
      <c r="S109" s="8"/>
      <c r="T109" s="8"/>
    </row>
    <row r="110" customFormat="false" ht="23.85" hidden="false" customHeight="false" outlineLevel="0" collapsed="false">
      <c r="A110" s="7" t="s">
        <v>422</v>
      </c>
      <c r="B110" s="7" t="s">
        <v>423</v>
      </c>
      <c r="C110" s="7" t="s">
        <v>409</v>
      </c>
      <c r="D110" s="7" t="s">
        <v>410</v>
      </c>
      <c r="E110" s="7" t="s">
        <v>411</v>
      </c>
      <c r="F110" s="7" t="n">
        <v>2</v>
      </c>
      <c r="G110" s="7" t="s">
        <v>83</v>
      </c>
      <c r="H110" s="7" t="s">
        <v>84</v>
      </c>
      <c r="I110" s="7" t="s">
        <v>61</v>
      </c>
      <c r="J110" s="7" t="s">
        <v>62</v>
      </c>
      <c r="K110" s="7" t="s">
        <v>424</v>
      </c>
      <c r="L110" s="7" t="s">
        <v>412</v>
      </c>
      <c r="M110" s="7"/>
      <c r="N110" s="7"/>
      <c r="O110" s="8"/>
      <c r="P110" s="8"/>
      <c r="Q110" s="8"/>
      <c r="R110" s="8"/>
      <c r="S110" s="8"/>
      <c r="T110" s="8"/>
    </row>
    <row r="111" customFormat="false" ht="23.85" hidden="false" customHeight="false" outlineLevel="0" collapsed="false">
      <c r="A111" s="7" t="s">
        <v>425</v>
      </c>
      <c r="B111" s="7" t="s">
        <v>426</v>
      </c>
      <c r="C111" s="7" t="s">
        <v>409</v>
      </c>
      <c r="D111" s="7" t="s">
        <v>410</v>
      </c>
      <c r="E111" s="7" t="s">
        <v>411</v>
      </c>
      <c r="F111" s="7" t="n">
        <v>2</v>
      </c>
      <c r="G111" s="7" t="s">
        <v>83</v>
      </c>
      <c r="H111" s="7" t="s">
        <v>84</v>
      </c>
      <c r="I111" s="7" t="s">
        <v>61</v>
      </c>
      <c r="J111" s="7" t="s">
        <v>62</v>
      </c>
      <c r="K111" s="7" t="s">
        <v>427</v>
      </c>
      <c r="L111" s="7" t="s">
        <v>412</v>
      </c>
      <c r="M111" s="7"/>
      <c r="N111" s="7"/>
      <c r="O111" s="8"/>
      <c r="P111" s="8"/>
      <c r="Q111" s="8"/>
      <c r="R111" s="8"/>
      <c r="S111" s="8"/>
      <c r="T111" s="8"/>
    </row>
    <row r="112" customFormat="false" ht="23.85" hidden="false" customHeight="false" outlineLevel="0" collapsed="false">
      <c r="A112" s="7" t="s">
        <v>428</v>
      </c>
      <c r="B112" s="7" t="s">
        <v>429</v>
      </c>
      <c r="C112" s="7" t="s">
        <v>409</v>
      </c>
      <c r="D112" s="7" t="s">
        <v>410</v>
      </c>
      <c r="E112" s="7" t="s">
        <v>411</v>
      </c>
      <c r="F112" s="7" t="n">
        <v>2</v>
      </c>
      <c r="G112" s="7" t="s">
        <v>83</v>
      </c>
      <c r="H112" s="7" t="s">
        <v>84</v>
      </c>
      <c r="I112" s="7" t="s">
        <v>61</v>
      </c>
      <c r="J112" s="7" t="s">
        <v>62</v>
      </c>
      <c r="K112" s="7" t="s">
        <v>430</v>
      </c>
      <c r="L112" s="7" t="s">
        <v>412</v>
      </c>
      <c r="M112" s="7"/>
      <c r="N112" s="7"/>
      <c r="O112" s="8"/>
      <c r="P112" s="8"/>
      <c r="Q112" s="8"/>
      <c r="R112" s="8"/>
      <c r="S112" s="8"/>
      <c r="T112" s="8"/>
    </row>
    <row r="113" customFormat="false" ht="23.85" hidden="false" customHeight="false" outlineLevel="0" collapsed="false">
      <c r="A113" s="7" t="s">
        <v>431</v>
      </c>
      <c r="B113" s="7" t="s">
        <v>432</v>
      </c>
      <c r="C113" s="7" t="s">
        <v>409</v>
      </c>
      <c r="D113" s="7" t="s">
        <v>410</v>
      </c>
      <c r="E113" s="7" t="s">
        <v>411</v>
      </c>
      <c r="F113" s="7" t="n">
        <v>2</v>
      </c>
      <c r="G113" s="7" t="s">
        <v>83</v>
      </c>
      <c r="H113" s="7" t="s">
        <v>84</v>
      </c>
      <c r="I113" s="7" t="s">
        <v>61</v>
      </c>
      <c r="J113" s="7" t="s">
        <v>62</v>
      </c>
      <c r="K113" s="7" t="s">
        <v>433</v>
      </c>
      <c r="L113" s="7" t="s">
        <v>412</v>
      </c>
      <c r="M113" s="7"/>
      <c r="N113" s="7"/>
      <c r="O113" s="8"/>
      <c r="P113" s="8"/>
      <c r="Q113" s="8"/>
      <c r="R113" s="8"/>
      <c r="S113" s="8"/>
      <c r="T113" s="8"/>
    </row>
    <row r="114" customFormat="false" ht="23.85" hidden="false" customHeight="false" outlineLevel="0" collapsed="false">
      <c r="A114" s="7" t="s">
        <v>434</v>
      </c>
      <c r="B114" s="7" t="s">
        <v>435</v>
      </c>
      <c r="C114" s="7" t="s">
        <v>409</v>
      </c>
      <c r="D114" s="7" t="s">
        <v>410</v>
      </c>
      <c r="E114" s="7" t="s">
        <v>411</v>
      </c>
      <c r="F114" s="7" t="n">
        <v>2</v>
      </c>
      <c r="G114" s="7" t="s">
        <v>83</v>
      </c>
      <c r="H114" s="7" t="s">
        <v>118</v>
      </c>
      <c r="I114" s="7" t="s">
        <v>61</v>
      </c>
      <c r="J114" s="7" t="s">
        <v>67</v>
      </c>
      <c r="K114" s="7" t="s">
        <v>436</v>
      </c>
      <c r="L114" s="7" t="s">
        <v>412</v>
      </c>
      <c r="M114" s="7"/>
      <c r="N114" s="7"/>
      <c r="O114" s="8"/>
      <c r="P114" s="8"/>
      <c r="Q114" s="8"/>
      <c r="R114" s="8"/>
      <c r="S114" s="8"/>
      <c r="T114" s="8"/>
    </row>
    <row r="115" customFormat="false" ht="23.85" hidden="false" customHeight="false" outlineLevel="0" collapsed="false">
      <c r="A115" s="7" t="s">
        <v>437</v>
      </c>
      <c r="B115" s="7" t="s">
        <v>438</v>
      </c>
      <c r="C115" s="7" t="s">
        <v>409</v>
      </c>
      <c r="D115" s="7" t="s">
        <v>410</v>
      </c>
      <c r="E115" s="7" t="s">
        <v>411</v>
      </c>
      <c r="F115" s="7" t="n">
        <v>2</v>
      </c>
      <c r="G115" s="7" t="s">
        <v>83</v>
      </c>
      <c r="H115" s="7" t="s">
        <v>84</v>
      </c>
      <c r="I115" s="7" t="s">
        <v>61</v>
      </c>
      <c r="J115" s="7" t="s">
        <v>62</v>
      </c>
      <c r="K115" s="7" t="s">
        <v>439</v>
      </c>
      <c r="L115" s="7" t="s">
        <v>412</v>
      </c>
      <c r="M115" s="7"/>
      <c r="N115" s="7"/>
      <c r="O115" s="8"/>
      <c r="P115" s="8"/>
      <c r="Q115" s="8"/>
      <c r="R115" s="8"/>
      <c r="S115" s="8"/>
      <c r="T115" s="8"/>
    </row>
    <row r="116" customFormat="false" ht="35.05" hidden="false" customHeight="false" outlineLevel="0" collapsed="false">
      <c r="A116" s="11" t="s">
        <v>440</v>
      </c>
      <c r="B116" s="11" t="s">
        <v>441</v>
      </c>
      <c r="C116" s="11" t="s">
        <v>409</v>
      </c>
      <c r="D116" s="11" t="s">
        <v>410</v>
      </c>
      <c r="E116" s="11" t="s">
        <v>411</v>
      </c>
      <c r="F116" s="11" t="n">
        <v>1</v>
      </c>
      <c r="G116" s="12" t="s">
        <v>59</v>
      </c>
      <c r="H116" s="11" t="s">
        <v>60</v>
      </c>
      <c r="I116" s="11" t="s">
        <v>61</v>
      </c>
      <c r="J116" s="11" t="s">
        <v>62</v>
      </c>
      <c r="K116" s="11" t="s">
        <v>442</v>
      </c>
      <c r="L116" s="11"/>
      <c r="M116" s="11"/>
      <c r="N116" s="11"/>
      <c r="O116" s="8"/>
      <c r="P116" s="8"/>
      <c r="Q116" s="8"/>
      <c r="R116" s="8"/>
      <c r="S116" s="8"/>
      <c r="T116" s="8"/>
    </row>
    <row r="117" customFormat="false" ht="68.65" hidden="false" customHeight="false" outlineLevel="0" collapsed="false">
      <c r="A117" s="11" t="s">
        <v>443</v>
      </c>
      <c r="B117" s="11" t="s">
        <v>444</v>
      </c>
      <c r="C117" s="11" t="s">
        <v>445</v>
      </c>
      <c r="D117" s="11" t="s">
        <v>446</v>
      </c>
      <c r="E117" s="11" t="s">
        <v>447</v>
      </c>
      <c r="F117" s="11" t="n">
        <v>1</v>
      </c>
      <c r="G117" s="12" t="s">
        <v>59</v>
      </c>
      <c r="H117" s="11" t="s">
        <v>60</v>
      </c>
      <c r="I117" s="11" t="s">
        <v>61</v>
      </c>
      <c r="J117" s="11" t="s">
        <v>62</v>
      </c>
      <c r="K117" s="11" t="s">
        <v>448</v>
      </c>
      <c r="L117" s="11"/>
      <c r="M117" s="11"/>
      <c r="N117" s="11"/>
      <c r="O117" s="8"/>
      <c r="P117" s="8"/>
      <c r="Q117" s="8"/>
      <c r="R117" s="8"/>
      <c r="S117" s="8"/>
      <c r="T117" s="8"/>
    </row>
    <row r="118" customFormat="false" ht="23.85" hidden="false" customHeight="false" outlineLevel="0" collapsed="false">
      <c r="A118" s="11" t="s">
        <v>449</v>
      </c>
      <c r="B118" s="11" t="s">
        <v>450</v>
      </c>
      <c r="C118" s="11" t="s">
        <v>451</v>
      </c>
      <c r="D118" s="11" t="s">
        <v>452</v>
      </c>
      <c r="E118" s="11" t="s">
        <v>453</v>
      </c>
      <c r="F118" s="11" t="n">
        <v>1</v>
      </c>
      <c r="G118" s="12" t="s">
        <v>59</v>
      </c>
      <c r="H118" s="11" t="s">
        <v>60</v>
      </c>
      <c r="I118" s="11" t="s">
        <v>61</v>
      </c>
      <c r="J118" s="11" t="s">
        <v>62</v>
      </c>
      <c r="K118" s="11" t="s">
        <v>454</v>
      </c>
      <c r="L118" s="11"/>
      <c r="M118" s="11"/>
      <c r="N118" s="11"/>
      <c r="O118" s="8"/>
      <c r="P118" s="8"/>
      <c r="Q118" s="8"/>
      <c r="R118" s="8"/>
      <c r="S118" s="8"/>
      <c r="T118" s="8"/>
    </row>
    <row r="119" customFormat="false" ht="23.85" hidden="false" customHeight="false" outlineLevel="0" collapsed="false">
      <c r="A119" s="11" t="s">
        <v>455</v>
      </c>
      <c r="B119" s="11" t="s">
        <v>456</v>
      </c>
      <c r="C119" s="11" t="s">
        <v>451</v>
      </c>
      <c r="D119" s="11" t="s">
        <v>452</v>
      </c>
      <c r="E119" s="11" t="s">
        <v>453</v>
      </c>
      <c r="F119" s="11" t="n">
        <v>1</v>
      </c>
      <c r="G119" s="12" t="s">
        <v>59</v>
      </c>
      <c r="H119" s="11" t="s">
        <v>60</v>
      </c>
      <c r="I119" s="11" t="s">
        <v>61</v>
      </c>
      <c r="J119" s="11" t="s">
        <v>62</v>
      </c>
      <c r="K119" s="11" t="s">
        <v>457</v>
      </c>
      <c r="L119" s="11"/>
      <c r="M119" s="11"/>
      <c r="N119" s="11"/>
      <c r="O119" s="8"/>
      <c r="P119" s="8"/>
      <c r="Q119" s="8"/>
      <c r="R119" s="8"/>
      <c r="S119" s="8"/>
      <c r="T119" s="8"/>
    </row>
    <row r="120" customFormat="false" ht="35.05" hidden="false" customHeight="false" outlineLevel="0" collapsed="false">
      <c r="A120" s="11" t="s">
        <v>458</v>
      </c>
      <c r="B120" s="11" t="s">
        <v>459</v>
      </c>
      <c r="C120" s="11" t="s">
        <v>451</v>
      </c>
      <c r="D120" s="11" t="s">
        <v>452</v>
      </c>
      <c r="E120" s="11" t="s">
        <v>453</v>
      </c>
      <c r="F120" s="11" t="n">
        <v>1</v>
      </c>
      <c r="G120" s="12" t="s">
        <v>59</v>
      </c>
      <c r="H120" s="11" t="s">
        <v>60</v>
      </c>
      <c r="I120" s="11" t="s">
        <v>61</v>
      </c>
      <c r="J120" s="11" t="s">
        <v>62</v>
      </c>
      <c r="K120" s="11" t="s">
        <v>460</v>
      </c>
      <c r="L120" s="11"/>
      <c r="M120" s="11"/>
      <c r="N120" s="11"/>
      <c r="O120" s="8"/>
      <c r="P120" s="8"/>
      <c r="Q120" s="8"/>
      <c r="R120" s="8"/>
      <c r="S120" s="8"/>
      <c r="T120" s="8"/>
    </row>
    <row r="121" customFormat="false" ht="23.85" hidden="false" customHeight="false" outlineLevel="0" collapsed="false">
      <c r="A121" s="11" t="s">
        <v>461</v>
      </c>
      <c r="B121" s="11" t="s">
        <v>462</v>
      </c>
      <c r="C121" s="11" t="s">
        <v>451</v>
      </c>
      <c r="D121" s="11" t="s">
        <v>452</v>
      </c>
      <c r="E121" s="11" t="s">
        <v>453</v>
      </c>
      <c r="F121" s="11" t="n">
        <v>1</v>
      </c>
      <c r="G121" s="12" t="s">
        <v>59</v>
      </c>
      <c r="H121" s="11" t="s">
        <v>60</v>
      </c>
      <c r="I121" s="11"/>
      <c r="J121" s="11" t="s">
        <v>62</v>
      </c>
      <c r="K121" s="11" t="s">
        <v>463</v>
      </c>
      <c r="L121" s="11"/>
      <c r="M121" s="11"/>
      <c r="N121" s="11"/>
      <c r="O121" s="8"/>
      <c r="P121" s="8"/>
      <c r="Q121" s="8"/>
      <c r="R121" s="8"/>
      <c r="S121" s="8"/>
      <c r="T121" s="8"/>
    </row>
    <row r="122" customFormat="false" ht="35.05" hidden="false" customHeight="false" outlineLevel="0" collapsed="false">
      <c r="A122" s="11" t="s">
        <v>464</v>
      </c>
      <c r="B122" s="11" t="s">
        <v>465</v>
      </c>
      <c r="C122" s="11" t="s">
        <v>466</v>
      </c>
      <c r="D122" s="11" t="s">
        <v>467</v>
      </c>
      <c r="E122" s="11" t="s">
        <v>468</v>
      </c>
      <c r="F122" s="11" t="n">
        <v>1</v>
      </c>
      <c r="G122" s="12" t="s">
        <v>59</v>
      </c>
      <c r="H122" s="11" t="s">
        <v>60</v>
      </c>
      <c r="I122" s="11" t="s">
        <v>61</v>
      </c>
      <c r="J122" s="11" t="s">
        <v>62</v>
      </c>
      <c r="K122" s="11" t="s">
        <v>469</v>
      </c>
      <c r="L122" s="11"/>
      <c r="M122" s="11"/>
      <c r="N122" s="11" t="s">
        <v>470</v>
      </c>
      <c r="O122" s="8"/>
      <c r="P122" s="8"/>
      <c r="Q122" s="8"/>
      <c r="R122" s="8"/>
      <c r="S122" s="8"/>
      <c r="T122" s="8"/>
    </row>
    <row r="123" customFormat="false" ht="23.85" hidden="false" customHeight="false" outlineLevel="0" collapsed="false">
      <c r="A123" s="11" t="s">
        <v>471</v>
      </c>
      <c r="B123" s="11" t="s">
        <v>472</v>
      </c>
      <c r="C123" s="11" t="s">
        <v>466</v>
      </c>
      <c r="D123" s="11" t="s">
        <v>467</v>
      </c>
      <c r="E123" s="11" t="s">
        <v>468</v>
      </c>
      <c r="F123" s="11" t="n">
        <v>1</v>
      </c>
      <c r="G123" s="12" t="s">
        <v>59</v>
      </c>
      <c r="H123" s="11" t="s">
        <v>60</v>
      </c>
      <c r="I123" s="11" t="s">
        <v>61</v>
      </c>
      <c r="J123" s="11" t="s">
        <v>62</v>
      </c>
      <c r="K123" s="11" t="s">
        <v>473</v>
      </c>
      <c r="L123" s="11"/>
      <c r="M123" s="11"/>
      <c r="N123" s="11"/>
      <c r="O123" s="8"/>
      <c r="P123" s="8"/>
      <c r="Q123" s="8"/>
      <c r="R123" s="8"/>
      <c r="S123" s="8"/>
      <c r="T123" s="8"/>
    </row>
    <row r="124" customFormat="false" ht="35.05" hidden="false" customHeight="false" outlineLevel="0" collapsed="false">
      <c r="A124" s="7" t="s">
        <v>474</v>
      </c>
      <c r="B124" s="7" t="s">
        <v>466</v>
      </c>
      <c r="C124" s="7" t="s">
        <v>466</v>
      </c>
      <c r="D124" s="7" t="s">
        <v>467</v>
      </c>
      <c r="E124" s="7" t="s">
        <v>468</v>
      </c>
      <c r="F124" s="7"/>
      <c r="G124" s="7" t="s">
        <v>65</v>
      </c>
      <c r="H124" s="7"/>
      <c r="I124" s="7"/>
      <c r="J124" s="7" t="s">
        <v>67</v>
      </c>
      <c r="K124" s="7" t="s">
        <v>475</v>
      </c>
      <c r="L124" s="7" t="s">
        <v>473</v>
      </c>
      <c r="M124" s="7"/>
      <c r="N124" s="7" t="s">
        <v>476</v>
      </c>
      <c r="O124" s="8"/>
      <c r="P124" s="8"/>
      <c r="Q124" s="8"/>
      <c r="R124" s="8"/>
      <c r="S124" s="8"/>
      <c r="T124" s="8"/>
    </row>
    <row r="125" customFormat="false" ht="35.05" hidden="false" customHeight="false" outlineLevel="0" collapsed="false">
      <c r="A125" s="11" t="s">
        <v>477</v>
      </c>
      <c r="B125" s="11" t="s">
        <v>478</v>
      </c>
      <c r="C125" s="11" t="s">
        <v>466</v>
      </c>
      <c r="D125" s="11" t="s">
        <v>467</v>
      </c>
      <c r="E125" s="11" t="s">
        <v>468</v>
      </c>
      <c r="F125" s="11" t="n">
        <v>1</v>
      </c>
      <c r="G125" s="12" t="s">
        <v>59</v>
      </c>
      <c r="H125" s="11" t="s">
        <v>60</v>
      </c>
      <c r="I125" s="11"/>
      <c r="J125" s="11" t="s">
        <v>62</v>
      </c>
      <c r="K125" s="11" t="s">
        <v>479</v>
      </c>
      <c r="L125" s="11"/>
      <c r="M125" s="11"/>
      <c r="N125" s="11" t="s">
        <v>476</v>
      </c>
      <c r="O125" s="8"/>
      <c r="P125" s="8"/>
      <c r="Q125" s="8"/>
      <c r="R125" s="8"/>
      <c r="S125" s="8"/>
      <c r="T125" s="8"/>
    </row>
    <row r="126" customFormat="false" ht="23.85" hidden="false" customHeight="false" outlineLevel="0" collapsed="false">
      <c r="A126" s="11" t="s">
        <v>480</v>
      </c>
      <c r="B126" s="11" t="s">
        <v>481</v>
      </c>
      <c r="C126" s="11" t="s">
        <v>466</v>
      </c>
      <c r="D126" s="11" t="s">
        <v>467</v>
      </c>
      <c r="E126" s="11" t="s">
        <v>468</v>
      </c>
      <c r="F126" s="11" t="n">
        <v>1</v>
      </c>
      <c r="G126" s="12" t="s">
        <v>59</v>
      </c>
      <c r="H126" s="11" t="s">
        <v>60</v>
      </c>
      <c r="I126" s="11" t="s">
        <v>61</v>
      </c>
      <c r="J126" s="11" t="s">
        <v>62</v>
      </c>
      <c r="K126" s="11" t="s">
        <v>482</v>
      </c>
      <c r="L126" s="11"/>
      <c r="M126" s="11"/>
      <c r="N126" s="11"/>
      <c r="O126" s="8"/>
      <c r="P126" s="8"/>
      <c r="Q126" s="8"/>
      <c r="R126" s="8"/>
      <c r="S126" s="8"/>
      <c r="T126" s="8"/>
    </row>
    <row r="127" customFormat="false" ht="15" hidden="false" customHeight="false" outlineLevel="0" collapsed="false">
      <c r="A127" s="11" t="s">
        <v>483</v>
      </c>
      <c r="B127" s="11" t="s">
        <v>484</v>
      </c>
      <c r="C127" s="11" t="s">
        <v>485</v>
      </c>
      <c r="D127" s="11" t="s">
        <v>486</v>
      </c>
      <c r="E127" s="11" t="s">
        <v>487</v>
      </c>
      <c r="F127" s="11" t="n">
        <v>1</v>
      </c>
      <c r="G127" s="12" t="s">
        <v>59</v>
      </c>
      <c r="H127" s="11" t="s">
        <v>60</v>
      </c>
      <c r="I127" s="11" t="s">
        <v>61</v>
      </c>
      <c r="J127" s="11" t="s">
        <v>62</v>
      </c>
      <c r="K127" s="11" t="s">
        <v>488</v>
      </c>
      <c r="L127" s="11"/>
      <c r="M127" s="11"/>
      <c r="N127" s="11"/>
      <c r="O127" s="8"/>
      <c r="P127" s="8"/>
      <c r="Q127" s="8"/>
      <c r="R127" s="8"/>
      <c r="S127" s="8"/>
      <c r="T127" s="8"/>
    </row>
    <row r="128" customFormat="false" ht="23.85" hidden="false" customHeight="false" outlineLevel="0" collapsed="false">
      <c r="A128" s="7" t="s">
        <v>489</v>
      </c>
      <c r="B128" s="7" t="s">
        <v>490</v>
      </c>
      <c r="C128" s="7" t="s">
        <v>485</v>
      </c>
      <c r="D128" s="7" t="s">
        <v>486</v>
      </c>
      <c r="E128" s="7" t="s">
        <v>487</v>
      </c>
      <c r="F128" s="7" t="n">
        <v>2</v>
      </c>
      <c r="G128" s="7" t="s">
        <v>83</v>
      </c>
      <c r="H128" s="7" t="s">
        <v>84</v>
      </c>
      <c r="I128" s="7" t="s">
        <v>61</v>
      </c>
      <c r="J128" s="7" t="s">
        <v>62</v>
      </c>
      <c r="K128" s="7" t="s">
        <v>491</v>
      </c>
      <c r="L128" s="7" t="s">
        <v>488</v>
      </c>
      <c r="M128" s="7"/>
      <c r="N128" s="7"/>
      <c r="O128" s="8"/>
      <c r="P128" s="8"/>
      <c r="Q128" s="8"/>
      <c r="R128" s="8"/>
      <c r="S128" s="8"/>
      <c r="T128" s="8"/>
    </row>
    <row r="129" customFormat="false" ht="35.05" hidden="false" customHeight="false" outlineLevel="0" collapsed="false">
      <c r="A129" s="7" t="s">
        <v>492</v>
      </c>
      <c r="B129" s="7" t="s">
        <v>493</v>
      </c>
      <c r="C129" s="7" t="s">
        <v>485</v>
      </c>
      <c r="D129" s="7" t="s">
        <v>486</v>
      </c>
      <c r="E129" s="7" t="s">
        <v>487</v>
      </c>
      <c r="F129" s="7" t="n">
        <v>2</v>
      </c>
      <c r="G129" s="7" t="s">
        <v>83</v>
      </c>
      <c r="H129" s="7" t="s">
        <v>60</v>
      </c>
      <c r="I129" s="7" t="s">
        <v>61</v>
      </c>
      <c r="J129" s="7" t="s">
        <v>62</v>
      </c>
      <c r="K129" s="7" t="s">
        <v>494</v>
      </c>
      <c r="L129" s="7" t="s">
        <v>488</v>
      </c>
      <c r="M129" s="7"/>
      <c r="N129" s="7"/>
      <c r="O129" s="8"/>
      <c r="P129" s="8"/>
      <c r="Q129" s="8"/>
      <c r="R129" s="8"/>
      <c r="S129" s="8"/>
      <c r="T129" s="8"/>
    </row>
    <row r="130" customFormat="false" ht="23.85" hidden="false" customHeight="false" outlineLevel="0" collapsed="false">
      <c r="A130" s="7" t="s">
        <v>495</v>
      </c>
      <c r="B130" s="7" t="s">
        <v>496</v>
      </c>
      <c r="C130" s="7" t="s">
        <v>485</v>
      </c>
      <c r="D130" s="7" t="s">
        <v>486</v>
      </c>
      <c r="E130" s="7" t="s">
        <v>487</v>
      </c>
      <c r="F130" s="7" t="n">
        <v>2</v>
      </c>
      <c r="G130" s="7" t="s">
        <v>83</v>
      </c>
      <c r="H130" s="7" t="s">
        <v>60</v>
      </c>
      <c r="I130" s="7" t="s">
        <v>61</v>
      </c>
      <c r="J130" s="7" t="s">
        <v>62</v>
      </c>
      <c r="K130" s="7" t="s">
        <v>497</v>
      </c>
      <c r="L130" s="7" t="s">
        <v>488</v>
      </c>
      <c r="M130" s="7"/>
      <c r="N130" s="7"/>
      <c r="O130" s="8"/>
      <c r="P130" s="8"/>
      <c r="Q130" s="8"/>
      <c r="R130" s="8"/>
      <c r="S130" s="8"/>
      <c r="T130" s="8"/>
    </row>
    <row r="131" customFormat="false" ht="35.05" hidden="false" customHeight="false" outlineLevel="0" collapsed="false">
      <c r="A131" s="7" t="s">
        <v>498</v>
      </c>
      <c r="B131" s="7" t="s">
        <v>499</v>
      </c>
      <c r="C131" s="7" t="s">
        <v>485</v>
      </c>
      <c r="D131" s="7" t="s">
        <v>486</v>
      </c>
      <c r="E131" s="7" t="s">
        <v>487</v>
      </c>
      <c r="F131" s="7" t="n">
        <v>2</v>
      </c>
      <c r="G131" s="7" t="s">
        <v>83</v>
      </c>
      <c r="H131" s="7" t="s">
        <v>60</v>
      </c>
      <c r="I131" s="7" t="s">
        <v>61</v>
      </c>
      <c r="J131" s="7" t="s">
        <v>62</v>
      </c>
      <c r="K131" s="7" t="s">
        <v>500</v>
      </c>
      <c r="L131" s="7" t="s">
        <v>488</v>
      </c>
      <c r="M131" s="7"/>
      <c r="N131" s="7"/>
      <c r="O131" s="8"/>
      <c r="P131" s="8"/>
      <c r="Q131" s="8"/>
      <c r="R131" s="8"/>
      <c r="S131" s="8"/>
      <c r="T131" s="8"/>
    </row>
    <row r="132" customFormat="false" ht="23.85" hidden="false" customHeight="false" outlineLevel="0" collapsed="false">
      <c r="A132" s="7" t="s">
        <v>501</v>
      </c>
      <c r="B132" s="7" t="s">
        <v>502</v>
      </c>
      <c r="C132" s="7" t="s">
        <v>485</v>
      </c>
      <c r="D132" s="7" t="s">
        <v>486</v>
      </c>
      <c r="E132" s="7" t="s">
        <v>487</v>
      </c>
      <c r="F132" s="7" t="n">
        <v>2</v>
      </c>
      <c r="G132" s="7" t="s">
        <v>83</v>
      </c>
      <c r="H132" s="7" t="s">
        <v>60</v>
      </c>
      <c r="I132" s="7" t="s">
        <v>61</v>
      </c>
      <c r="J132" s="7" t="s">
        <v>62</v>
      </c>
      <c r="K132" s="7" t="s">
        <v>503</v>
      </c>
      <c r="L132" s="7" t="s">
        <v>488</v>
      </c>
      <c r="M132" s="7"/>
      <c r="N132" s="7"/>
      <c r="O132" s="8"/>
      <c r="P132" s="8"/>
      <c r="Q132" s="8"/>
      <c r="R132" s="8"/>
      <c r="S132" s="8"/>
      <c r="T132" s="8"/>
    </row>
    <row r="133" customFormat="false" ht="23.85" hidden="false" customHeight="false" outlineLevel="0" collapsed="false">
      <c r="A133" s="7" t="s">
        <v>504</v>
      </c>
      <c r="B133" s="7" t="s">
        <v>505</v>
      </c>
      <c r="C133" s="7" t="s">
        <v>485</v>
      </c>
      <c r="D133" s="7" t="s">
        <v>486</v>
      </c>
      <c r="E133" s="7" t="s">
        <v>487</v>
      </c>
      <c r="F133" s="7" t="n">
        <v>3</v>
      </c>
      <c r="G133" s="7" t="s">
        <v>83</v>
      </c>
      <c r="H133" s="7" t="s">
        <v>84</v>
      </c>
      <c r="I133" s="7" t="s">
        <v>126</v>
      </c>
      <c r="J133" s="7" t="s">
        <v>62</v>
      </c>
      <c r="K133" s="7" t="s">
        <v>506</v>
      </c>
      <c r="L133" s="7" t="s">
        <v>503</v>
      </c>
      <c r="M133" s="7"/>
      <c r="N133" s="7"/>
      <c r="O133" s="8"/>
      <c r="P133" s="8"/>
      <c r="Q133" s="8"/>
      <c r="R133" s="8"/>
      <c r="S133" s="8"/>
      <c r="T133" s="8"/>
    </row>
    <row r="134" customFormat="false" ht="23.85" hidden="false" customHeight="false" outlineLevel="0" collapsed="false">
      <c r="A134" s="7" t="s">
        <v>507</v>
      </c>
      <c r="B134" s="7" t="s">
        <v>508</v>
      </c>
      <c r="C134" s="7" t="s">
        <v>485</v>
      </c>
      <c r="D134" s="7" t="s">
        <v>486</v>
      </c>
      <c r="E134" s="7" t="s">
        <v>487</v>
      </c>
      <c r="F134" s="7" t="n">
        <v>3</v>
      </c>
      <c r="G134" s="7" t="s">
        <v>83</v>
      </c>
      <c r="H134" s="7" t="s">
        <v>84</v>
      </c>
      <c r="I134" s="7" t="s">
        <v>61</v>
      </c>
      <c r="J134" s="7" t="s">
        <v>62</v>
      </c>
      <c r="K134" s="7" t="s">
        <v>509</v>
      </c>
      <c r="L134" s="7" t="s">
        <v>503</v>
      </c>
      <c r="M134" s="7"/>
      <c r="N134" s="7"/>
      <c r="O134" s="8"/>
      <c r="P134" s="8"/>
      <c r="Q134" s="8"/>
      <c r="R134" s="8"/>
      <c r="S134" s="8"/>
      <c r="T134" s="8"/>
    </row>
    <row r="135" customFormat="false" ht="23.85" hidden="false" customHeight="false" outlineLevel="0" collapsed="false">
      <c r="A135" s="7" t="s">
        <v>510</v>
      </c>
      <c r="B135" s="7" t="s">
        <v>511</v>
      </c>
      <c r="C135" s="7" t="s">
        <v>485</v>
      </c>
      <c r="D135" s="7" t="s">
        <v>486</v>
      </c>
      <c r="E135" s="7" t="s">
        <v>487</v>
      </c>
      <c r="F135" s="7" t="n">
        <v>3</v>
      </c>
      <c r="G135" s="7" t="s">
        <v>83</v>
      </c>
      <c r="H135" s="7" t="s">
        <v>84</v>
      </c>
      <c r="I135" s="7" t="s">
        <v>61</v>
      </c>
      <c r="J135" s="7" t="s">
        <v>62</v>
      </c>
      <c r="K135" s="7" t="s">
        <v>512</v>
      </c>
      <c r="L135" s="7" t="s">
        <v>503</v>
      </c>
      <c r="M135" s="7"/>
      <c r="N135" s="7"/>
      <c r="O135" s="8"/>
      <c r="P135" s="8"/>
      <c r="Q135" s="8"/>
      <c r="R135" s="8"/>
      <c r="S135" s="8"/>
      <c r="T135" s="8"/>
    </row>
    <row r="136" customFormat="false" ht="23.85" hidden="false" customHeight="false" outlineLevel="0" collapsed="false">
      <c r="A136" s="7" t="s">
        <v>513</v>
      </c>
      <c r="B136" s="7" t="s">
        <v>514</v>
      </c>
      <c r="C136" s="7" t="s">
        <v>485</v>
      </c>
      <c r="D136" s="7" t="s">
        <v>486</v>
      </c>
      <c r="E136" s="7" t="s">
        <v>487</v>
      </c>
      <c r="F136" s="7" t="n">
        <v>3</v>
      </c>
      <c r="G136" s="7" t="s">
        <v>83</v>
      </c>
      <c r="H136" s="7" t="s">
        <v>66</v>
      </c>
      <c r="I136" s="7" t="s">
        <v>61</v>
      </c>
      <c r="J136" s="7" t="s">
        <v>62</v>
      </c>
      <c r="K136" s="7" t="s">
        <v>515</v>
      </c>
      <c r="L136" s="7" t="s">
        <v>503</v>
      </c>
      <c r="M136" s="7"/>
      <c r="N136" s="7"/>
      <c r="O136" s="8"/>
      <c r="P136" s="8"/>
      <c r="Q136" s="8"/>
      <c r="R136" s="8"/>
      <c r="S136" s="8"/>
      <c r="T136" s="8"/>
    </row>
    <row r="137" customFormat="false" ht="23.85" hidden="false" customHeight="false" outlineLevel="0" collapsed="false">
      <c r="A137" s="11" t="s">
        <v>516</v>
      </c>
      <c r="B137" s="11" t="s">
        <v>517</v>
      </c>
      <c r="C137" s="11" t="s">
        <v>518</v>
      </c>
      <c r="D137" s="11" t="s">
        <v>519</v>
      </c>
      <c r="E137" s="11" t="s">
        <v>520</v>
      </c>
      <c r="F137" s="11" t="n">
        <v>1</v>
      </c>
      <c r="G137" s="12" t="s">
        <v>59</v>
      </c>
      <c r="H137" s="11" t="s">
        <v>60</v>
      </c>
      <c r="I137" s="11" t="s">
        <v>61</v>
      </c>
      <c r="J137" s="11" t="s">
        <v>62</v>
      </c>
      <c r="K137" s="11" t="s">
        <v>521</v>
      </c>
      <c r="L137" s="11"/>
      <c r="M137" s="11"/>
      <c r="N137" s="11"/>
      <c r="O137" s="8"/>
      <c r="P137" s="8"/>
      <c r="Q137" s="8"/>
      <c r="R137" s="8"/>
      <c r="S137" s="8"/>
      <c r="T137" s="8"/>
    </row>
    <row r="138" customFormat="false" ht="23.85" hidden="false" customHeight="false" outlineLevel="0" collapsed="false">
      <c r="A138" s="11" t="s">
        <v>522</v>
      </c>
      <c r="B138" s="11" t="s">
        <v>523</v>
      </c>
      <c r="C138" s="11" t="s">
        <v>518</v>
      </c>
      <c r="D138" s="11" t="s">
        <v>519</v>
      </c>
      <c r="E138" s="11" t="s">
        <v>520</v>
      </c>
      <c r="F138" s="11" t="n">
        <v>1</v>
      </c>
      <c r="G138" s="12" t="s">
        <v>59</v>
      </c>
      <c r="H138" s="11" t="s">
        <v>60</v>
      </c>
      <c r="I138" s="11" t="s">
        <v>61</v>
      </c>
      <c r="J138" s="11" t="s">
        <v>62</v>
      </c>
      <c r="K138" s="11" t="s">
        <v>524</v>
      </c>
      <c r="L138" s="11"/>
      <c r="M138" s="11"/>
      <c r="N138" s="11"/>
      <c r="O138" s="8"/>
      <c r="P138" s="8"/>
      <c r="Q138" s="8"/>
      <c r="R138" s="8"/>
      <c r="S138" s="8"/>
      <c r="T138" s="8"/>
    </row>
    <row r="139" customFormat="false" ht="23.85" hidden="false" customHeight="false" outlineLevel="0" collapsed="false">
      <c r="A139" s="11" t="s">
        <v>525</v>
      </c>
      <c r="B139" s="11" t="s">
        <v>526</v>
      </c>
      <c r="C139" s="11" t="s">
        <v>518</v>
      </c>
      <c r="D139" s="11" t="s">
        <v>519</v>
      </c>
      <c r="E139" s="11" t="s">
        <v>520</v>
      </c>
      <c r="F139" s="11" t="n">
        <v>1</v>
      </c>
      <c r="G139" s="12" t="s">
        <v>59</v>
      </c>
      <c r="H139" s="11" t="s">
        <v>60</v>
      </c>
      <c r="I139" s="11" t="s">
        <v>61</v>
      </c>
      <c r="J139" s="11" t="s">
        <v>62</v>
      </c>
      <c r="K139" s="11" t="s">
        <v>527</v>
      </c>
      <c r="L139" s="11"/>
      <c r="M139" s="11"/>
      <c r="N139" s="11"/>
      <c r="O139" s="8"/>
      <c r="P139" s="8"/>
      <c r="Q139" s="8"/>
      <c r="R139" s="8"/>
      <c r="S139" s="8"/>
      <c r="T139" s="8"/>
    </row>
    <row r="140" customFormat="false" ht="35.05" hidden="false" customHeight="false" outlineLevel="0" collapsed="false">
      <c r="A140" s="7" t="s">
        <v>528</v>
      </c>
      <c r="B140" s="7" t="s">
        <v>518</v>
      </c>
      <c r="C140" s="7" t="s">
        <v>518</v>
      </c>
      <c r="D140" s="7" t="s">
        <v>519</v>
      </c>
      <c r="E140" s="7" t="s">
        <v>520</v>
      </c>
      <c r="F140" s="7"/>
      <c r="G140" s="7" t="s">
        <v>65</v>
      </c>
      <c r="H140" s="7" t="s">
        <v>118</v>
      </c>
      <c r="I140" s="7"/>
      <c r="J140" s="7" t="s">
        <v>67</v>
      </c>
      <c r="K140" s="7" t="s">
        <v>529</v>
      </c>
      <c r="L140" s="7" t="s">
        <v>527</v>
      </c>
      <c r="M140" s="7" t="s">
        <v>530</v>
      </c>
      <c r="N140" s="7"/>
      <c r="O140" s="8"/>
      <c r="P140" s="8"/>
      <c r="Q140" s="8"/>
      <c r="R140" s="8"/>
      <c r="S140" s="8"/>
      <c r="T140" s="8"/>
    </row>
    <row r="141" customFormat="false" ht="23.85" hidden="false" customHeight="false" outlineLevel="0" collapsed="false">
      <c r="A141" s="11" t="s">
        <v>531</v>
      </c>
      <c r="B141" s="11" t="s">
        <v>532</v>
      </c>
      <c r="C141" s="11" t="s">
        <v>533</v>
      </c>
      <c r="D141" s="11" t="s">
        <v>534</v>
      </c>
      <c r="E141" s="11" t="s">
        <v>535</v>
      </c>
      <c r="F141" s="11" t="n">
        <v>1</v>
      </c>
      <c r="G141" s="12" t="s">
        <v>59</v>
      </c>
      <c r="H141" s="11" t="s">
        <v>60</v>
      </c>
      <c r="I141" s="11" t="s">
        <v>61</v>
      </c>
      <c r="J141" s="11" t="s">
        <v>62</v>
      </c>
      <c r="K141" s="11" t="s">
        <v>536</v>
      </c>
      <c r="L141" s="11"/>
      <c r="M141" s="11"/>
      <c r="N141" s="11"/>
      <c r="O141" s="8"/>
      <c r="P141" s="8"/>
      <c r="Q141" s="8"/>
      <c r="R141" s="8"/>
      <c r="S141" s="8"/>
      <c r="T141" s="8"/>
    </row>
    <row r="142" customFormat="false" ht="23.85" hidden="false" customHeight="false" outlineLevel="0" collapsed="false">
      <c r="A142" s="11" t="s">
        <v>537</v>
      </c>
      <c r="B142" s="11" t="s">
        <v>538</v>
      </c>
      <c r="C142" s="11" t="s">
        <v>533</v>
      </c>
      <c r="D142" s="11" t="s">
        <v>534</v>
      </c>
      <c r="E142" s="11" t="s">
        <v>535</v>
      </c>
      <c r="F142" s="11" t="n">
        <v>1</v>
      </c>
      <c r="G142" s="12" t="s">
        <v>59</v>
      </c>
      <c r="H142" s="11" t="s">
        <v>60</v>
      </c>
      <c r="I142" s="11" t="s">
        <v>61</v>
      </c>
      <c r="J142" s="11" t="s">
        <v>62</v>
      </c>
      <c r="K142" s="11" t="s">
        <v>539</v>
      </c>
      <c r="L142" s="11"/>
      <c r="M142" s="11"/>
      <c r="N142" s="11"/>
      <c r="O142" s="8"/>
      <c r="P142" s="8"/>
      <c r="Q142" s="8"/>
      <c r="R142" s="8"/>
      <c r="S142" s="8"/>
      <c r="T142" s="8"/>
    </row>
    <row r="143" customFormat="false" ht="23.85" hidden="false" customHeight="false" outlineLevel="0" collapsed="false">
      <c r="A143" s="7" t="s">
        <v>540</v>
      </c>
      <c r="B143" s="7" t="s">
        <v>541</v>
      </c>
      <c r="C143" s="7" t="s">
        <v>533</v>
      </c>
      <c r="D143" s="7" t="s">
        <v>534</v>
      </c>
      <c r="E143" s="7" t="s">
        <v>535</v>
      </c>
      <c r="F143" s="7" t="n">
        <v>2</v>
      </c>
      <c r="G143" s="7" t="s">
        <v>83</v>
      </c>
      <c r="H143" s="7" t="s">
        <v>84</v>
      </c>
      <c r="I143" s="7" t="s">
        <v>61</v>
      </c>
      <c r="J143" s="7" t="s">
        <v>62</v>
      </c>
      <c r="K143" s="7" t="s">
        <v>542</v>
      </c>
      <c r="L143" s="7" t="s">
        <v>539</v>
      </c>
      <c r="M143" s="7"/>
      <c r="N143" s="7"/>
      <c r="O143" s="8"/>
      <c r="P143" s="8"/>
      <c r="Q143" s="8"/>
      <c r="R143" s="8"/>
      <c r="S143" s="8"/>
      <c r="T143" s="8"/>
    </row>
    <row r="144" customFormat="false" ht="23.85" hidden="false" customHeight="false" outlineLevel="0" collapsed="false">
      <c r="A144" s="7" t="s">
        <v>543</v>
      </c>
      <c r="B144" s="7" t="s">
        <v>544</v>
      </c>
      <c r="C144" s="7" t="s">
        <v>533</v>
      </c>
      <c r="D144" s="7" t="s">
        <v>534</v>
      </c>
      <c r="E144" s="7" t="s">
        <v>535</v>
      </c>
      <c r="F144" s="7" t="n">
        <v>2</v>
      </c>
      <c r="G144" s="7" t="s">
        <v>83</v>
      </c>
      <c r="H144" s="7" t="s">
        <v>241</v>
      </c>
      <c r="I144" s="7" t="s">
        <v>126</v>
      </c>
      <c r="J144" s="7" t="s">
        <v>62</v>
      </c>
      <c r="K144" s="7" t="s">
        <v>545</v>
      </c>
      <c r="L144" s="7" t="s">
        <v>539</v>
      </c>
      <c r="M144" s="7"/>
      <c r="N144" s="7"/>
      <c r="O144" s="8"/>
      <c r="P144" s="8"/>
      <c r="Q144" s="8"/>
      <c r="R144" s="8"/>
      <c r="S144" s="8"/>
      <c r="T144" s="8"/>
    </row>
    <row r="145" customFormat="false" ht="23.85" hidden="false" customHeight="false" outlineLevel="0" collapsed="false">
      <c r="A145" s="7" t="s">
        <v>546</v>
      </c>
      <c r="B145" s="7" t="s">
        <v>547</v>
      </c>
      <c r="C145" s="7" t="s">
        <v>533</v>
      </c>
      <c r="D145" s="7" t="s">
        <v>534</v>
      </c>
      <c r="E145" s="7" t="s">
        <v>535</v>
      </c>
      <c r="F145" s="7" t="n">
        <v>2</v>
      </c>
      <c r="G145" s="7" t="s">
        <v>83</v>
      </c>
      <c r="H145" s="7" t="s">
        <v>84</v>
      </c>
      <c r="I145" s="7" t="s">
        <v>61</v>
      </c>
      <c r="J145" s="7" t="s">
        <v>62</v>
      </c>
      <c r="K145" s="7" t="s">
        <v>548</v>
      </c>
      <c r="L145" s="7" t="s">
        <v>539</v>
      </c>
      <c r="M145" s="7"/>
      <c r="N145" s="7"/>
      <c r="O145" s="8"/>
      <c r="P145" s="8"/>
      <c r="Q145" s="8"/>
      <c r="R145" s="8"/>
      <c r="S145" s="8"/>
      <c r="T145" s="8"/>
    </row>
    <row r="146" customFormat="false" ht="23.85" hidden="false" customHeight="false" outlineLevel="0" collapsed="false">
      <c r="A146" s="7" t="s">
        <v>549</v>
      </c>
      <c r="B146" s="7" t="s">
        <v>550</v>
      </c>
      <c r="C146" s="7" t="s">
        <v>533</v>
      </c>
      <c r="D146" s="7" t="s">
        <v>534</v>
      </c>
      <c r="E146" s="7" t="s">
        <v>535</v>
      </c>
      <c r="F146" s="7" t="n">
        <v>2</v>
      </c>
      <c r="G146" s="7" t="s">
        <v>83</v>
      </c>
      <c r="H146" s="7" t="s">
        <v>84</v>
      </c>
      <c r="I146" s="7" t="s">
        <v>61</v>
      </c>
      <c r="J146" s="7" t="s">
        <v>62</v>
      </c>
      <c r="K146" s="7" t="s">
        <v>551</v>
      </c>
      <c r="L146" s="7" t="s">
        <v>539</v>
      </c>
      <c r="M146" s="7"/>
      <c r="N146" s="7"/>
      <c r="O146" s="8"/>
      <c r="P146" s="8"/>
      <c r="Q146" s="8"/>
      <c r="R146" s="8"/>
      <c r="S146" s="8"/>
      <c r="T146" s="8"/>
    </row>
    <row r="147" customFormat="false" ht="23.85" hidden="false" customHeight="false" outlineLevel="0" collapsed="false">
      <c r="A147" s="11" t="s">
        <v>552</v>
      </c>
      <c r="B147" s="11" t="s">
        <v>553</v>
      </c>
      <c r="C147" s="11" t="s">
        <v>554</v>
      </c>
      <c r="D147" s="11" t="s">
        <v>555</v>
      </c>
      <c r="E147" s="11" t="s">
        <v>556</v>
      </c>
      <c r="F147" s="11" t="n">
        <v>1</v>
      </c>
      <c r="G147" s="12" t="s">
        <v>59</v>
      </c>
      <c r="H147" s="11" t="s">
        <v>60</v>
      </c>
      <c r="I147" s="11" t="s">
        <v>61</v>
      </c>
      <c r="J147" s="11" t="s">
        <v>62</v>
      </c>
      <c r="K147" s="11" t="s">
        <v>557</v>
      </c>
      <c r="L147" s="11"/>
      <c r="M147" s="11"/>
      <c r="N147" s="11"/>
      <c r="O147" s="8"/>
      <c r="P147" s="8"/>
      <c r="Q147" s="8"/>
      <c r="R147" s="8"/>
      <c r="S147" s="8"/>
      <c r="T147" s="8"/>
    </row>
    <row r="148" customFormat="false" ht="15" hidden="false" customHeight="false" outlineLevel="0" collapsed="false">
      <c r="A148" s="11" t="s">
        <v>558</v>
      </c>
      <c r="B148" s="11" t="s">
        <v>559</v>
      </c>
      <c r="C148" s="11" t="s">
        <v>554</v>
      </c>
      <c r="D148" s="11" t="s">
        <v>555</v>
      </c>
      <c r="E148" s="11" t="s">
        <v>556</v>
      </c>
      <c r="F148" s="11" t="n">
        <v>1</v>
      </c>
      <c r="G148" s="12" t="s">
        <v>59</v>
      </c>
      <c r="H148" s="11" t="s">
        <v>60</v>
      </c>
      <c r="I148" s="11" t="s">
        <v>61</v>
      </c>
      <c r="J148" s="11" t="s">
        <v>62</v>
      </c>
      <c r="K148" s="11" t="s">
        <v>560</v>
      </c>
      <c r="L148" s="11"/>
      <c r="M148" s="11"/>
      <c r="N148" s="11"/>
      <c r="O148" s="8"/>
      <c r="P148" s="8"/>
      <c r="Q148" s="8"/>
      <c r="R148" s="8"/>
      <c r="S148" s="8"/>
      <c r="T148" s="8"/>
    </row>
    <row r="149" customFormat="false" ht="23.85" hidden="false" customHeight="false" outlineLevel="0" collapsed="false">
      <c r="A149" s="7" t="s">
        <v>561</v>
      </c>
      <c r="B149" s="7" t="s">
        <v>562</v>
      </c>
      <c r="C149" s="7" t="s">
        <v>554</v>
      </c>
      <c r="D149" s="7" t="s">
        <v>555</v>
      </c>
      <c r="E149" s="7" t="s">
        <v>556</v>
      </c>
      <c r="F149" s="7" t="n">
        <v>2</v>
      </c>
      <c r="G149" s="7" t="s">
        <v>83</v>
      </c>
      <c r="H149" s="7" t="s">
        <v>84</v>
      </c>
      <c r="I149" s="7" t="s">
        <v>61</v>
      </c>
      <c r="J149" s="7" t="s">
        <v>62</v>
      </c>
      <c r="K149" s="7" t="s">
        <v>563</v>
      </c>
      <c r="L149" s="7" t="s">
        <v>560</v>
      </c>
      <c r="M149" s="7"/>
      <c r="N149" s="7"/>
      <c r="O149" s="8"/>
      <c r="P149" s="8"/>
      <c r="Q149" s="8"/>
      <c r="R149" s="8"/>
      <c r="S149" s="8"/>
      <c r="T149" s="8"/>
    </row>
    <row r="150" customFormat="false" ht="23.85" hidden="false" customHeight="false" outlineLevel="0" collapsed="false">
      <c r="A150" s="7" t="s">
        <v>564</v>
      </c>
      <c r="B150" s="7" t="s">
        <v>565</v>
      </c>
      <c r="C150" s="7" t="s">
        <v>554</v>
      </c>
      <c r="D150" s="7" t="s">
        <v>555</v>
      </c>
      <c r="E150" s="7" t="s">
        <v>556</v>
      </c>
      <c r="F150" s="7" t="n">
        <v>2</v>
      </c>
      <c r="G150" s="7" t="s">
        <v>83</v>
      </c>
      <c r="H150" s="7" t="s">
        <v>84</v>
      </c>
      <c r="I150" s="7" t="s">
        <v>61</v>
      </c>
      <c r="J150" s="7" t="s">
        <v>62</v>
      </c>
      <c r="K150" s="7" t="s">
        <v>566</v>
      </c>
      <c r="L150" s="7" t="s">
        <v>560</v>
      </c>
      <c r="M150" s="7"/>
      <c r="N150" s="7"/>
      <c r="O150" s="8"/>
      <c r="P150" s="8"/>
      <c r="Q150" s="8"/>
      <c r="R150" s="8"/>
      <c r="S150" s="8"/>
      <c r="T150" s="8"/>
    </row>
    <row r="151" customFormat="false" ht="35.05" hidden="false" customHeight="false" outlineLevel="0" collapsed="false">
      <c r="A151" s="7" t="s">
        <v>567</v>
      </c>
      <c r="B151" s="7" t="s">
        <v>568</v>
      </c>
      <c r="C151" s="7" t="s">
        <v>554</v>
      </c>
      <c r="D151" s="7" t="s">
        <v>555</v>
      </c>
      <c r="E151" s="7" t="s">
        <v>556</v>
      </c>
      <c r="F151" s="7" t="n">
        <v>2</v>
      </c>
      <c r="G151" s="7" t="s">
        <v>83</v>
      </c>
      <c r="H151" s="7" t="s">
        <v>84</v>
      </c>
      <c r="I151" s="7" t="s">
        <v>126</v>
      </c>
      <c r="J151" s="7" t="s">
        <v>62</v>
      </c>
      <c r="K151" s="7" t="s">
        <v>569</v>
      </c>
      <c r="L151" s="7" t="s">
        <v>560</v>
      </c>
      <c r="M151" s="7"/>
      <c r="N151" s="7"/>
      <c r="O151" s="8"/>
      <c r="P151" s="8"/>
      <c r="Q151" s="8"/>
      <c r="R151" s="8"/>
      <c r="S151" s="8"/>
      <c r="T151" s="8"/>
    </row>
    <row r="152" customFormat="false" ht="46.25" hidden="false" customHeight="false" outlineLevel="0" collapsed="false">
      <c r="A152" s="7" t="s">
        <v>570</v>
      </c>
      <c r="B152" s="7" t="s">
        <v>571</v>
      </c>
      <c r="C152" s="7" t="s">
        <v>554</v>
      </c>
      <c r="D152" s="7" t="s">
        <v>555</v>
      </c>
      <c r="E152" s="7" t="s">
        <v>556</v>
      </c>
      <c r="F152" s="7" t="n">
        <v>2</v>
      </c>
      <c r="G152" s="7" t="s">
        <v>83</v>
      </c>
      <c r="H152" s="7" t="s">
        <v>84</v>
      </c>
      <c r="I152" s="7" t="s">
        <v>61</v>
      </c>
      <c r="J152" s="7" t="s">
        <v>62</v>
      </c>
      <c r="K152" s="7" t="s">
        <v>572</v>
      </c>
      <c r="L152" s="7" t="s">
        <v>560</v>
      </c>
      <c r="M152" s="7"/>
      <c r="N152" s="7"/>
      <c r="O152" s="8"/>
      <c r="P152" s="8"/>
      <c r="Q152" s="8"/>
      <c r="R152" s="8"/>
      <c r="S152" s="8"/>
      <c r="T152" s="8"/>
    </row>
    <row r="153" customFormat="false" ht="35.05" hidden="false" customHeight="false" outlineLevel="0" collapsed="false">
      <c r="A153" s="7" t="s">
        <v>573</v>
      </c>
      <c r="B153" s="7" t="s">
        <v>574</v>
      </c>
      <c r="C153" s="7" t="s">
        <v>554</v>
      </c>
      <c r="D153" s="7" t="s">
        <v>555</v>
      </c>
      <c r="E153" s="7" t="s">
        <v>556</v>
      </c>
      <c r="F153" s="7" t="n">
        <v>2</v>
      </c>
      <c r="G153" s="7" t="s">
        <v>83</v>
      </c>
      <c r="H153" s="7" t="s">
        <v>84</v>
      </c>
      <c r="I153" s="7" t="s">
        <v>61</v>
      </c>
      <c r="J153" s="7" t="s">
        <v>62</v>
      </c>
      <c r="K153" s="7" t="s">
        <v>575</v>
      </c>
      <c r="L153" s="7" t="s">
        <v>560</v>
      </c>
      <c r="M153" s="7"/>
      <c r="N153" s="7"/>
      <c r="O153" s="8"/>
      <c r="P153" s="8"/>
      <c r="Q153" s="8"/>
      <c r="R153" s="8"/>
      <c r="S153" s="8"/>
      <c r="T153" s="8"/>
    </row>
    <row r="154" customFormat="false" ht="35.05" hidden="false" customHeight="false" outlineLevel="0" collapsed="false">
      <c r="A154" s="7" t="s">
        <v>576</v>
      </c>
      <c r="B154" s="7" t="s">
        <v>577</v>
      </c>
      <c r="C154" s="7" t="s">
        <v>554</v>
      </c>
      <c r="D154" s="7" t="s">
        <v>555</v>
      </c>
      <c r="E154" s="7" t="s">
        <v>556</v>
      </c>
      <c r="F154" s="7" t="n">
        <v>2</v>
      </c>
      <c r="G154" s="7" t="s">
        <v>83</v>
      </c>
      <c r="H154" s="7" t="s">
        <v>84</v>
      </c>
      <c r="I154" s="7" t="s">
        <v>61</v>
      </c>
      <c r="J154" s="7" t="s">
        <v>62</v>
      </c>
      <c r="K154" s="7" t="s">
        <v>578</v>
      </c>
      <c r="L154" s="7" t="s">
        <v>560</v>
      </c>
      <c r="M154" s="7"/>
      <c r="N154" s="7"/>
      <c r="O154" s="8"/>
      <c r="P154" s="8"/>
      <c r="Q154" s="8"/>
      <c r="R154" s="8"/>
      <c r="S154" s="8"/>
      <c r="T154" s="8"/>
    </row>
    <row r="155" customFormat="false" ht="23.85" hidden="false" customHeight="false" outlineLevel="0" collapsed="false">
      <c r="A155" s="7" t="s">
        <v>579</v>
      </c>
      <c r="B155" s="7" t="s">
        <v>580</v>
      </c>
      <c r="C155" s="7" t="s">
        <v>554</v>
      </c>
      <c r="D155" s="7" t="s">
        <v>555</v>
      </c>
      <c r="E155" s="7" t="s">
        <v>556</v>
      </c>
      <c r="F155" s="7" t="n">
        <v>2</v>
      </c>
      <c r="G155" s="7" t="s">
        <v>83</v>
      </c>
      <c r="H155" s="7" t="s">
        <v>84</v>
      </c>
      <c r="I155" s="7" t="s">
        <v>61</v>
      </c>
      <c r="J155" s="7" t="s">
        <v>62</v>
      </c>
      <c r="K155" s="7" t="s">
        <v>581</v>
      </c>
      <c r="L155" s="7" t="s">
        <v>560</v>
      </c>
      <c r="M155" s="7"/>
      <c r="N155" s="7"/>
      <c r="O155" s="8"/>
      <c r="P155" s="8"/>
      <c r="Q155" s="8"/>
      <c r="R155" s="8"/>
      <c r="S155" s="8"/>
      <c r="T155" s="8"/>
    </row>
    <row r="156" customFormat="false" ht="15" hidden="false" customHeight="false" outlineLevel="0" collapsed="false">
      <c r="A156" s="11" t="s">
        <v>582</v>
      </c>
      <c r="B156" s="11" t="s">
        <v>583</v>
      </c>
      <c r="C156" s="11" t="s">
        <v>554</v>
      </c>
      <c r="D156" s="11" t="s">
        <v>555</v>
      </c>
      <c r="E156" s="11" t="s">
        <v>556</v>
      </c>
      <c r="F156" s="11" t="n">
        <v>1</v>
      </c>
      <c r="G156" s="12" t="s">
        <v>59</v>
      </c>
      <c r="H156" s="11" t="s">
        <v>60</v>
      </c>
      <c r="I156" s="11" t="s">
        <v>61</v>
      </c>
      <c r="J156" s="11" t="s">
        <v>62</v>
      </c>
      <c r="K156" s="11" t="s">
        <v>584</v>
      </c>
      <c r="L156" s="11"/>
      <c r="M156" s="11"/>
      <c r="N156" s="11"/>
      <c r="O156" s="8"/>
      <c r="P156" s="8"/>
      <c r="Q156" s="8"/>
      <c r="R156" s="8"/>
      <c r="S156" s="8"/>
      <c r="T156" s="8"/>
    </row>
    <row r="157" customFormat="false" ht="35.05" hidden="false" customHeight="false" outlineLevel="0" collapsed="false">
      <c r="A157" s="11" t="s">
        <v>585</v>
      </c>
      <c r="B157" s="11" t="s">
        <v>586</v>
      </c>
      <c r="C157" s="11" t="s">
        <v>587</v>
      </c>
      <c r="D157" s="11" t="s">
        <v>588</v>
      </c>
      <c r="E157" s="11" t="s">
        <v>589</v>
      </c>
      <c r="F157" s="11" t="n">
        <v>1</v>
      </c>
      <c r="G157" s="12" t="s">
        <v>59</v>
      </c>
      <c r="H157" s="11" t="s">
        <v>60</v>
      </c>
      <c r="I157" s="11" t="s">
        <v>61</v>
      </c>
      <c r="J157" s="11" t="s">
        <v>62</v>
      </c>
      <c r="K157" s="11" t="s">
        <v>590</v>
      </c>
      <c r="L157" s="11"/>
      <c r="M157" s="11"/>
      <c r="N157" s="11"/>
      <c r="O157" s="8"/>
      <c r="P157" s="8"/>
      <c r="Q157" s="8"/>
      <c r="R157" s="8"/>
      <c r="S157" s="8"/>
      <c r="T157" s="8"/>
    </row>
    <row r="158" customFormat="false" ht="23.85" hidden="false" customHeight="false" outlineLevel="0" collapsed="false">
      <c r="A158" s="11" t="s">
        <v>591</v>
      </c>
      <c r="B158" s="11" t="s">
        <v>592</v>
      </c>
      <c r="C158" s="11" t="s">
        <v>593</v>
      </c>
      <c r="D158" s="11" t="s">
        <v>594</v>
      </c>
      <c r="E158" s="11" t="s">
        <v>595</v>
      </c>
      <c r="F158" s="11" t="n">
        <v>1</v>
      </c>
      <c r="G158" s="12" t="s">
        <v>59</v>
      </c>
      <c r="H158" s="11" t="s">
        <v>60</v>
      </c>
      <c r="I158" s="11" t="s">
        <v>61</v>
      </c>
      <c r="J158" s="11" t="s">
        <v>62</v>
      </c>
      <c r="K158" s="11" t="s">
        <v>596</v>
      </c>
      <c r="L158" s="11"/>
      <c r="M158" s="11"/>
      <c r="N158" s="11"/>
      <c r="O158" s="8"/>
      <c r="P158" s="8"/>
      <c r="Q158" s="8"/>
      <c r="R158" s="8"/>
      <c r="S158" s="8"/>
      <c r="T158" s="8"/>
    </row>
    <row r="159" customFormat="false" ht="35.05" hidden="false" customHeight="false" outlineLevel="0" collapsed="false">
      <c r="A159" s="7" t="s">
        <v>597</v>
      </c>
      <c r="B159" s="7" t="s">
        <v>598</v>
      </c>
      <c r="C159" s="7" t="s">
        <v>593</v>
      </c>
      <c r="D159" s="7" t="s">
        <v>594</v>
      </c>
      <c r="E159" s="7" t="s">
        <v>595</v>
      </c>
      <c r="F159" s="7" t="n">
        <v>2</v>
      </c>
      <c r="G159" s="7" t="s">
        <v>83</v>
      </c>
      <c r="H159" s="7" t="s">
        <v>84</v>
      </c>
      <c r="I159" s="7" t="s">
        <v>61</v>
      </c>
      <c r="J159" s="7" t="s">
        <v>62</v>
      </c>
      <c r="K159" s="7" t="s">
        <v>599</v>
      </c>
      <c r="L159" s="7" t="s">
        <v>596</v>
      </c>
      <c r="M159" s="7"/>
      <c r="N159" s="7"/>
      <c r="O159" s="8"/>
      <c r="P159" s="8"/>
      <c r="Q159" s="8"/>
      <c r="R159" s="8"/>
      <c r="S159" s="8"/>
      <c r="T159" s="8"/>
    </row>
    <row r="160" customFormat="false" ht="35.05" hidden="false" customHeight="false" outlineLevel="0" collapsed="false">
      <c r="A160" s="7" t="s">
        <v>600</v>
      </c>
      <c r="B160" s="7" t="s">
        <v>601</v>
      </c>
      <c r="C160" s="7" t="s">
        <v>593</v>
      </c>
      <c r="D160" s="7" t="s">
        <v>594</v>
      </c>
      <c r="E160" s="7" t="s">
        <v>595</v>
      </c>
      <c r="F160" s="7" t="n">
        <v>2</v>
      </c>
      <c r="G160" s="7" t="s">
        <v>83</v>
      </c>
      <c r="H160" s="7" t="s">
        <v>241</v>
      </c>
      <c r="I160" s="7" t="s">
        <v>61</v>
      </c>
      <c r="J160" s="7" t="s">
        <v>62</v>
      </c>
      <c r="K160" s="7" t="s">
        <v>602</v>
      </c>
      <c r="L160" s="7" t="s">
        <v>596</v>
      </c>
      <c r="M160" s="7"/>
      <c r="N160" s="7"/>
      <c r="O160" s="8"/>
      <c r="P160" s="8"/>
      <c r="Q160" s="8"/>
      <c r="R160" s="8"/>
      <c r="S160" s="8"/>
      <c r="T160" s="8"/>
    </row>
    <row r="161" customFormat="false" ht="35.05" hidden="false" customHeight="false" outlineLevel="0" collapsed="false">
      <c r="A161" s="7" t="s">
        <v>603</v>
      </c>
      <c r="B161" s="7" t="s">
        <v>604</v>
      </c>
      <c r="C161" s="7" t="s">
        <v>593</v>
      </c>
      <c r="D161" s="7" t="s">
        <v>594</v>
      </c>
      <c r="E161" s="7" t="s">
        <v>595</v>
      </c>
      <c r="F161" s="7" t="n">
        <v>2</v>
      </c>
      <c r="G161" s="7" t="s">
        <v>83</v>
      </c>
      <c r="H161" s="7" t="s">
        <v>84</v>
      </c>
      <c r="I161" s="7" t="s">
        <v>61</v>
      </c>
      <c r="J161" s="7" t="s">
        <v>62</v>
      </c>
      <c r="K161" s="7" t="s">
        <v>605</v>
      </c>
      <c r="L161" s="7" t="s">
        <v>596</v>
      </c>
      <c r="M161" s="7"/>
      <c r="N161" s="7"/>
      <c r="O161" s="8"/>
      <c r="P161" s="8"/>
      <c r="Q161" s="8"/>
      <c r="R161" s="8"/>
      <c r="S161" s="8"/>
      <c r="T161" s="8"/>
    </row>
    <row r="162" customFormat="false" ht="35.05" hidden="false" customHeight="false" outlineLevel="0" collapsed="false">
      <c r="A162" s="7" t="s">
        <v>606</v>
      </c>
      <c r="B162" s="7" t="s">
        <v>607</v>
      </c>
      <c r="C162" s="7" t="s">
        <v>593</v>
      </c>
      <c r="D162" s="7" t="s">
        <v>594</v>
      </c>
      <c r="E162" s="7" t="s">
        <v>595</v>
      </c>
      <c r="F162" s="7" t="n">
        <v>2</v>
      </c>
      <c r="G162" s="7" t="s">
        <v>83</v>
      </c>
      <c r="H162" s="7" t="s">
        <v>84</v>
      </c>
      <c r="I162" s="7" t="s">
        <v>61</v>
      </c>
      <c r="J162" s="7" t="s">
        <v>62</v>
      </c>
      <c r="K162" s="7" t="s">
        <v>608</v>
      </c>
      <c r="L162" s="7" t="s">
        <v>596</v>
      </c>
      <c r="M162" s="7"/>
      <c r="N162" s="7"/>
      <c r="O162" s="8"/>
      <c r="P162" s="8"/>
      <c r="Q162" s="8"/>
      <c r="R162" s="8"/>
      <c r="S162" s="8"/>
      <c r="T162" s="8"/>
    </row>
    <row r="163" customFormat="false" ht="35.05" hidden="false" customHeight="false" outlineLevel="0" collapsed="false">
      <c r="A163" s="7" t="s">
        <v>609</v>
      </c>
      <c r="B163" s="7" t="s">
        <v>610</v>
      </c>
      <c r="C163" s="7" t="s">
        <v>593</v>
      </c>
      <c r="D163" s="7" t="s">
        <v>594</v>
      </c>
      <c r="E163" s="7" t="s">
        <v>595</v>
      </c>
      <c r="F163" s="7" t="n">
        <v>2</v>
      </c>
      <c r="G163" s="7" t="s">
        <v>83</v>
      </c>
      <c r="H163" s="7" t="s">
        <v>241</v>
      </c>
      <c r="I163" s="7" t="s">
        <v>61</v>
      </c>
      <c r="J163" s="7" t="s">
        <v>62</v>
      </c>
      <c r="K163" s="7" t="s">
        <v>611</v>
      </c>
      <c r="L163" s="7" t="s">
        <v>596</v>
      </c>
      <c r="M163" s="7"/>
      <c r="N163" s="7"/>
      <c r="O163" s="8"/>
      <c r="P163" s="8"/>
      <c r="Q163" s="8"/>
      <c r="R163" s="8"/>
      <c r="S163" s="8"/>
      <c r="T163" s="8"/>
    </row>
    <row r="164" customFormat="false" ht="35.05" hidden="false" customHeight="false" outlineLevel="0" collapsed="false">
      <c r="A164" s="7" t="s">
        <v>612</v>
      </c>
      <c r="B164" s="7" t="s">
        <v>613</v>
      </c>
      <c r="C164" s="7" t="s">
        <v>593</v>
      </c>
      <c r="D164" s="7" t="s">
        <v>594</v>
      </c>
      <c r="E164" s="7" t="s">
        <v>595</v>
      </c>
      <c r="F164" s="7" t="n">
        <v>2</v>
      </c>
      <c r="G164" s="7" t="s">
        <v>83</v>
      </c>
      <c r="H164" s="7" t="s">
        <v>84</v>
      </c>
      <c r="I164" s="7" t="s">
        <v>61</v>
      </c>
      <c r="J164" s="7" t="s">
        <v>62</v>
      </c>
      <c r="K164" s="7" t="s">
        <v>614</v>
      </c>
      <c r="L164" s="7" t="s">
        <v>596</v>
      </c>
      <c r="M164" s="7"/>
      <c r="N164" s="7"/>
      <c r="O164" s="8"/>
      <c r="P164" s="8"/>
      <c r="Q164" s="8"/>
      <c r="R164" s="8"/>
      <c r="S164" s="8"/>
      <c r="T164" s="8"/>
    </row>
    <row r="165" customFormat="false" ht="35.05" hidden="false" customHeight="false" outlineLevel="0" collapsed="false">
      <c r="A165" s="7" t="s">
        <v>615</v>
      </c>
      <c r="B165" s="7" t="s">
        <v>616</v>
      </c>
      <c r="C165" s="7" t="s">
        <v>593</v>
      </c>
      <c r="D165" s="7" t="s">
        <v>594</v>
      </c>
      <c r="E165" s="7" t="s">
        <v>595</v>
      </c>
      <c r="F165" s="7" t="n">
        <v>2</v>
      </c>
      <c r="G165" s="7" t="s">
        <v>83</v>
      </c>
      <c r="H165" s="7" t="s">
        <v>84</v>
      </c>
      <c r="I165" s="7" t="s">
        <v>61</v>
      </c>
      <c r="J165" s="7" t="s">
        <v>62</v>
      </c>
      <c r="K165" s="7" t="s">
        <v>617</v>
      </c>
      <c r="L165" s="7" t="s">
        <v>596</v>
      </c>
      <c r="M165" s="7"/>
      <c r="N165" s="7"/>
      <c r="O165" s="8"/>
      <c r="P165" s="8"/>
      <c r="Q165" s="8"/>
      <c r="R165" s="8"/>
      <c r="S165" s="8"/>
      <c r="T165" s="8"/>
    </row>
    <row r="166" customFormat="false" ht="35.05" hidden="false" customHeight="false" outlineLevel="0" collapsed="false">
      <c r="A166" s="7" t="s">
        <v>618</v>
      </c>
      <c r="B166" s="7" t="s">
        <v>619</v>
      </c>
      <c r="C166" s="7" t="s">
        <v>593</v>
      </c>
      <c r="D166" s="7" t="s">
        <v>594</v>
      </c>
      <c r="E166" s="7" t="s">
        <v>595</v>
      </c>
      <c r="F166" s="7" t="n">
        <v>2</v>
      </c>
      <c r="G166" s="7" t="s">
        <v>83</v>
      </c>
      <c r="H166" s="7" t="s">
        <v>84</v>
      </c>
      <c r="I166" s="7" t="s">
        <v>61</v>
      </c>
      <c r="J166" s="7" t="s">
        <v>62</v>
      </c>
      <c r="K166" s="7" t="s">
        <v>620</v>
      </c>
      <c r="L166" s="7" t="s">
        <v>596</v>
      </c>
      <c r="M166" s="7"/>
      <c r="N166" s="7"/>
      <c r="O166" s="8"/>
      <c r="P166" s="8"/>
      <c r="Q166" s="8"/>
      <c r="R166" s="8"/>
      <c r="S166" s="8"/>
      <c r="T166" s="8"/>
    </row>
    <row r="167" customFormat="false" ht="35.05" hidden="false" customHeight="false" outlineLevel="0" collapsed="false">
      <c r="A167" s="7" t="s">
        <v>621</v>
      </c>
      <c r="B167" s="7" t="s">
        <v>622</v>
      </c>
      <c r="C167" s="7" t="s">
        <v>593</v>
      </c>
      <c r="D167" s="7" t="s">
        <v>594</v>
      </c>
      <c r="E167" s="7" t="s">
        <v>595</v>
      </c>
      <c r="F167" s="7" t="n">
        <v>2</v>
      </c>
      <c r="G167" s="7" t="s">
        <v>83</v>
      </c>
      <c r="H167" s="7" t="s">
        <v>66</v>
      </c>
      <c r="I167" s="7" t="s">
        <v>61</v>
      </c>
      <c r="J167" s="7" t="s">
        <v>62</v>
      </c>
      <c r="K167" s="7" t="s">
        <v>623</v>
      </c>
      <c r="L167" s="7" t="s">
        <v>596</v>
      </c>
      <c r="M167" s="7"/>
      <c r="N167" s="7"/>
      <c r="O167" s="8"/>
      <c r="P167" s="8"/>
      <c r="Q167" s="8"/>
      <c r="R167" s="8"/>
      <c r="S167" s="8"/>
      <c r="T167" s="8"/>
    </row>
    <row r="168" customFormat="false" ht="35.05" hidden="false" customHeight="false" outlineLevel="0" collapsed="false">
      <c r="A168" s="7" t="s">
        <v>624</v>
      </c>
      <c r="B168" s="7" t="s">
        <v>625</v>
      </c>
      <c r="C168" s="7" t="s">
        <v>593</v>
      </c>
      <c r="D168" s="7" t="s">
        <v>594</v>
      </c>
      <c r="E168" s="7" t="s">
        <v>595</v>
      </c>
      <c r="F168" s="7" t="n">
        <v>2</v>
      </c>
      <c r="G168" s="7" t="s">
        <v>83</v>
      </c>
      <c r="H168" s="7" t="s">
        <v>84</v>
      </c>
      <c r="I168" s="7" t="s">
        <v>61</v>
      </c>
      <c r="J168" s="7" t="s">
        <v>62</v>
      </c>
      <c r="K168" s="7" t="s">
        <v>626</v>
      </c>
      <c r="L168" s="7" t="s">
        <v>596</v>
      </c>
      <c r="M168" s="7"/>
      <c r="N168" s="7"/>
      <c r="O168" s="8"/>
      <c r="P168" s="8"/>
      <c r="Q168" s="8"/>
      <c r="R168" s="8"/>
      <c r="S168" s="8"/>
      <c r="T168" s="8"/>
    </row>
    <row r="169" customFormat="false" ht="35.05" hidden="false" customHeight="false" outlineLevel="0" collapsed="false">
      <c r="A169" s="7" t="s">
        <v>627</v>
      </c>
      <c r="B169" s="7" t="s">
        <v>628</v>
      </c>
      <c r="C169" s="7" t="s">
        <v>593</v>
      </c>
      <c r="D169" s="7" t="s">
        <v>594</v>
      </c>
      <c r="E169" s="7" t="s">
        <v>595</v>
      </c>
      <c r="F169" s="7" t="n">
        <v>2</v>
      </c>
      <c r="G169" s="7" t="s">
        <v>83</v>
      </c>
      <c r="H169" s="7" t="s">
        <v>84</v>
      </c>
      <c r="I169" s="7" t="s">
        <v>61</v>
      </c>
      <c r="J169" s="7" t="s">
        <v>62</v>
      </c>
      <c r="K169" s="7" t="s">
        <v>629</v>
      </c>
      <c r="L169" s="7" t="s">
        <v>596</v>
      </c>
      <c r="M169" s="7"/>
      <c r="N169" s="7"/>
      <c r="O169" s="8"/>
      <c r="P169" s="8"/>
      <c r="Q169" s="8"/>
      <c r="R169" s="8"/>
      <c r="S169" s="8"/>
      <c r="T169" s="8"/>
    </row>
    <row r="170" customFormat="false" ht="35.05" hidden="false" customHeight="false" outlineLevel="0" collapsed="false">
      <c r="A170" s="7" t="s">
        <v>630</v>
      </c>
      <c r="B170" s="7" t="s">
        <v>631</v>
      </c>
      <c r="C170" s="7" t="s">
        <v>593</v>
      </c>
      <c r="D170" s="7" t="s">
        <v>594</v>
      </c>
      <c r="E170" s="7" t="s">
        <v>595</v>
      </c>
      <c r="F170" s="7" t="n">
        <v>2</v>
      </c>
      <c r="G170" s="7" t="s">
        <v>83</v>
      </c>
      <c r="H170" s="7" t="s">
        <v>118</v>
      </c>
      <c r="I170" s="7" t="s">
        <v>126</v>
      </c>
      <c r="J170" s="7" t="s">
        <v>67</v>
      </c>
      <c r="K170" s="7" t="s">
        <v>632</v>
      </c>
      <c r="L170" s="7" t="s">
        <v>596</v>
      </c>
      <c r="M170" s="7"/>
      <c r="N170" s="7"/>
      <c r="O170" s="8"/>
      <c r="P170" s="8"/>
      <c r="Q170" s="8"/>
      <c r="R170" s="8"/>
      <c r="S170" s="8"/>
      <c r="T170" s="8"/>
    </row>
    <row r="171" customFormat="false" ht="23.85" hidden="false" customHeight="false" outlineLevel="0" collapsed="false">
      <c r="A171" s="11" t="s">
        <v>633</v>
      </c>
      <c r="B171" s="11" t="s">
        <v>634</v>
      </c>
      <c r="C171" s="11" t="s">
        <v>635</v>
      </c>
      <c r="D171" s="11" t="s">
        <v>636</v>
      </c>
      <c r="E171" s="11" t="s">
        <v>637</v>
      </c>
      <c r="F171" s="11" t="n">
        <v>1</v>
      </c>
      <c r="G171" s="12" t="s">
        <v>59</v>
      </c>
      <c r="H171" s="11" t="s">
        <v>60</v>
      </c>
      <c r="I171" s="11" t="s">
        <v>61</v>
      </c>
      <c r="J171" s="11" t="s">
        <v>62</v>
      </c>
      <c r="K171" s="11" t="s">
        <v>638</v>
      </c>
      <c r="L171" s="11"/>
      <c r="M171" s="11"/>
      <c r="N171" s="11" t="s">
        <v>639</v>
      </c>
      <c r="O171" s="8"/>
      <c r="P171" s="8"/>
      <c r="Q171" s="8"/>
      <c r="R171" s="8"/>
      <c r="S171" s="8"/>
      <c r="T171" s="8"/>
    </row>
    <row r="172" customFormat="false" ht="23.85" hidden="false" customHeight="false" outlineLevel="0" collapsed="false">
      <c r="A172" s="11" t="s">
        <v>640</v>
      </c>
      <c r="B172" s="11" t="s">
        <v>641</v>
      </c>
      <c r="C172" s="11" t="s">
        <v>635</v>
      </c>
      <c r="D172" s="11" t="s">
        <v>636</v>
      </c>
      <c r="E172" s="11" t="s">
        <v>637</v>
      </c>
      <c r="F172" s="11" t="n">
        <v>1</v>
      </c>
      <c r="G172" s="12" t="s">
        <v>59</v>
      </c>
      <c r="H172" s="11" t="s">
        <v>60</v>
      </c>
      <c r="I172" s="11"/>
      <c r="J172" s="11" t="s">
        <v>62</v>
      </c>
      <c r="K172" s="11" t="s">
        <v>642</v>
      </c>
      <c r="L172" s="11"/>
      <c r="M172" s="11"/>
      <c r="N172" s="11"/>
      <c r="O172" s="8"/>
      <c r="P172" s="8"/>
      <c r="Q172" s="8"/>
      <c r="R172" s="8"/>
      <c r="S172" s="8"/>
      <c r="T172" s="8"/>
    </row>
    <row r="173" customFormat="false" ht="35.05" hidden="false" customHeight="false" outlineLevel="0" collapsed="false">
      <c r="A173" s="7" t="s">
        <v>643</v>
      </c>
      <c r="B173" s="7" t="s">
        <v>644</v>
      </c>
      <c r="C173" s="7" t="s">
        <v>635</v>
      </c>
      <c r="D173" s="7" t="s">
        <v>636</v>
      </c>
      <c r="E173" s="7" t="s">
        <v>637</v>
      </c>
      <c r="F173" s="7" t="n">
        <v>2</v>
      </c>
      <c r="G173" s="7" t="s">
        <v>83</v>
      </c>
      <c r="H173" s="7" t="s">
        <v>84</v>
      </c>
      <c r="I173" s="7" t="s">
        <v>126</v>
      </c>
      <c r="J173" s="7" t="s">
        <v>62</v>
      </c>
      <c r="K173" s="7" t="s">
        <v>645</v>
      </c>
      <c r="L173" s="7" t="s">
        <v>642</v>
      </c>
      <c r="M173" s="7"/>
      <c r="N173" s="7"/>
      <c r="O173" s="8"/>
      <c r="P173" s="8"/>
      <c r="Q173" s="8"/>
      <c r="R173" s="8"/>
      <c r="S173" s="8"/>
      <c r="T173" s="8"/>
    </row>
    <row r="174" customFormat="false" ht="35.05" hidden="false" customHeight="false" outlineLevel="0" collapsed="false">
      <c r="A174" s="7" t="s">
        <v>646</v>
      </c>
      <c r="B174" s="7" t="s">
        <v>647</v>
      </c>
      <c r="C174" s="7" t="s">
        <v>635</v>
      </c>
      <c r="D174" s="7" t="s">
        <v>636</v>
      </c>
      <c r="E174" s="7" t="s">
        <v>637</v>
      </c>
      <c r="F174" s="7" t="n">
        <v>2</v>
      </c>
      <c r="G174" s="7" t="s">
        <v>83</v>
      </c>
      <c r="H174" s="7" t="s">
        <v>84</v>
      </c>
      <c r="I174" s="7"/>
      <c r="J174" s="7" t="s">
        <v>62</v>
      </c>
      <c r="K174" s="7" t="s">
        <v>648</v>
      </c>
      <c r="L174" s="7" t="s">
        <v>642</v>
      </c>
      <c r="M174" s="7"/>
      <c r="N174" s="7"/>
      <c r="O174" s="8"/>
      <c r="P174" s="8"/>
      <c r="Q174" s="8"/>
      <c r="R174" s="8"/>
      <c r="S174" s="8"/>
      <c r="T174" s="8"/>
    </row>
    <row r="175" customFormat="false" ht="35.05" hidden="false" customHeight="false" outlineLevel="0" collapsed="false">
      <c r="A175" s="7" t="s">
        <v>649</v>
      </c>
      <c r="B175" s="7" t="s">
        <v>650</v>
      </c>
      <c r="C175" s="7" t="s">
        <v>635</v>
      </c>
      <c r="D175" s="7" t="s">
        <v>636</v>
      </c>
      <c r="E175" s="7" t="s">
        <v>637</v>
      </c>
      <c r="F175" s="7" t="n">
        <v>2</v>
      </c>
      <c r="G175" s="7" t="s">
        <v>83</v>
      </c>
      <c r="H175" s="7" t="s">
        <v>84</v>
      </c>
      <c r="I175" s="7" t="s">
        <v>126</v>
      </c>
      <c r="J175" s="7" t="s">
        <v>62</v>
      </c>
      <c r="K175" s="7" t="s">
        <v>651</v>
      </c>
      <c r="L175" s="7" t="s">
        <v>642</v>
      </c>
      <c r="M175" s="7"/>
      <c r="N175" s="7"/>
      <c r="O175" s="8"/>
      <c r="P175" s="8"/>
      <c r="Q175" s="8"/>
      <c r="R175" s="8"/>
      <c r="S175" s="8"/>
      <c r="T175" s="8"/>
    </row>
    <row r="176" customFormat="false" ht="35.05" hidden="false" customHeight="false" outlineLevel="0" collapsed="false">
      <c r="A176" s="7" t="s">
        <v>652</v>
      </c>
      <c r="B176" s="7" t="s">
        <v>653</v>
      </c>
      <c r="C176" s="7" t="s">
        <v>635</v>
      </c>
      <c r="D176" s="7" t="s">
        <v>636</v>
      </c>
      <c r="E176" s="7" t="s">
        <v>637</v>
      </c>
      <c r="F176" s="7" t="n">
        <v>2</v>
      </c>
      <c r="G176" s="7" t="s">
        <v>83</v>
      </c>
      <c r="H176" s="7" t="s">
        <v>84</v>
      </c>
      <c r="I176" s="7" t="s">
        <v>126</v>
      </c>
      <c r="J176" s="7" t="s">
        <v>62</v>
      </c>
      <c r="K176" s="7" t="s">
        <v>654</v>
      </c>
      <c r="L176" s="7" t="s">
        <v>642</v>
      </c>
      <c r="M176" s="7"/>
      <c r="N176" s="7"/>
      <c r="O176" s="8"/>
      <c r="P176" s="8"/>
      <c r="Q176" s="8"/>
      <c r="R176" s="8"/>
      <c r="S176" s="8"/>
      <c r="T176" s="8"/>
    </row>
    <row r="177" customFormat="false" ht="57.45" hidden="false" customHeight="false" outlineLevel="0" collapsed="false">
      <c r="A177" s="7" t="s">
        <v>655</v>
      </c>
      <c r="B177" s="7" t="s">
        <v>656</v>
      </c>
      <c r="C177" s="7" t="s">
        <v>635</v>
      </c>
      <c r="D177" s="7" t="s">
        <v>636</v>
      </c>
      <c r="E177" s="7" t="s">
        <v>637</v>
      </c>
      <c r="F177" s="7" t="n">
        <v>3</v>
      </c>
      <c r="G177" s="7" t="s">
        <v>83</v>
      </c>
      <c r="H177" s="7" t="s">
        <v>84</v>
      </c>
      <c r="I177" s="7"/>
      <c r="J177" s="7" t="s">
        <v>62</v>
      </c>
      <c r="K177" s="7" t="s">
        <v>657</v>
      </c>
      <c r="L177" s="7" t="s">
        <v>654</v>
      </c>
      <c r="M177" s="7"/>
      <c r="N177" s="7"/>
      <c r="O177" s="8"/>
      <c r="P177" s="8"/>
      <c r="Q177" s="8"/>
      <c r="R177" s="8"/>
      <c r="S177" s="8"/>
      <c r="T177" s="8"/>
    </row>
    <row r="178" customFormat="false" ht="57.45" hidden="false" customHeight="false" outlineLevel="0" collapsed="false">
      <c r="A178" s="7" t="s">
        <v>658</v>
      </c>
      <c r="B178" s="7" t="s">
        <v>659</v>
      </c>
      <c r="C178" s="7" t="s">
        <v>635</v>
      </c>
      <c r="D178" s="7" t="s">
        <v>636</v>
      </c>
      <c r="E178" s="7" t="s">
        <v>637</v>
      </c>
      <c r="F178" s="7" t="n">
        <v>3</v>
      </c>
      <c r="G178" s="7" t="s">
        <v>83</v>
      </c>
      <c r="H178" s="7" t="s">
        <v>660</v>
      </c>
      <c r="I178" s="7"/>
      <c r="J178" s="7" t="s">
        <v>67</v>
      </c>
      <c r="K178" s="7" t="s">
        <v>661</v>
      </c>
      <c r="L178" s="7" t="s">
        <v>654</v>
      </c>
      <c r="M178" s="7"/>
      <c r="N178" s="7"/>
      <c r="O178" s="8"/>
      <c r="P178" s="8"/>
      <c r="Q178" s="8"/>
      <c r="R178" s="8"/>
      <c r="S178" s="8"/>
      <c r="T178" s="8"/>
    </row>
    <row r="179" customFormat="false" ht="35.05" hidden="false" customHeight="false" outlineLevel="0" collapsed="false">
      <c r="A179" s="7" t="s">
        <v>662</v>
      </c>
      <c r="B179" s="7" t="s">
        <v>663</v>
      </c>
      <c r="C179" s="7" t="s">
        <v>635</v>
      </c>
      <c r="D179" s="7" t="s">
        <v>636</v>
      </c>
      <c r="E179" s="7" t="s">
        <v>637</v>
      </c>
      <c r="F179" s="7" t="n">
        <v>2</v>
      </c>
      <c r="G179" s="7" t="s">
        <v>83</v>
      </c>
      <c r="H179" s="7" t="s">
        <v>118</v>
      </c>
      <c r="I179" s="7"/>
      <c r="J179" s="7" t="s">
        <v>67</v>
      </c>
      <c r="K179" s="7" t="s">
        <v>664</v>
      </c>
      <c r="L179" s="7" t="s">
        <v>642</v>
      </c>
      <c r="M179" s="7"/>
      <c r="N179" s="7"/>
      <c r="O179" s="8"/>
      <c r="P179" s="8"/>
      <c r="Q179" s="8"/>
      <c r="R179" s="8"/>
      <c r="S179" s="8"/>
      <c r="T179" s="8"/>
    </row>
    <row r="180" customFormat="false" ht="35.05" hidden="false" customHeight="false" outlineLevel="0" collapsed="false">
      <c r="A180" s="7" t="s">
        <v>665</v>
      </c>
      <c r="B180" s="7" t="s">
        <v>666</v>
      </c>
      <c r="C180" s="7" t="s">
        <v>635</v>
      </c>
      <c r="D180" s="7" t="s">
        <v>636</v>
      </c>
      <c r="E180" s="7" t="s">
        <v>637</v>
      </c>
      <c r="F180" s="7" t="n">
        <v>3</v>
      </c>
      <c r="G180" s="7" t="s">
        <v>83</v>
      </c>
      <c r="H180" s="7" t="s">
        <v>84</v>
      </c>
      <c r="I180" s="7"/>
      <c r="J180" s="7" t="s">
        <v>62</v>
      </c>
      <c r="K180" s="7" t="s">
        <v>667</v>
      </c>
      <c r="L180" s="7" t="s">
        <v>664</v>
      </c>
      <c r="M180" s="7"/>
      <c r="N180" s="7"/>
      <c r="O180" s="8"/>
      <c r="P180" s="8"/>
      <c r="Q180" s="8"/>
      <c r="R180" s="8"/>
      <c r="S180" s="8"/>
      <c r="T180" s="8"/>
    </row>
    <row r="181" customFormat="false" ht="35.05" hidden="false" customHeight="false" outlineLevel="0" collapsed="false">
      <c r="A181" s="7" t="s">
        <v>668</v>
      </c>
      <c r="B181" s="7" t="s">
        <v>669</v>
      </c>
      <c r="C181" s="7" t="s">
        <v>635</v>
      </c>
      <c r="D181" s="7" t="s">
        <v>636</v>
      </c>
      <c r="E181" s="7" t="s">
        <v>637</v>
      </c>
      <c r="F181" s="7" t="n">
        <v>3</v>
      </c>
      <c r="G181" s="7" t="s">
        <v>83</v>
      </c>
      <c r="H181" s="7" t="s">
        <v>84</v>
      </c>
      <c r="I181" s="7"/>
      <c r="J181" s="7" t="s">
        <v>62</v>
      </c>
      <c r="K181" s="7" t="s">
        <v>670</v>
      </c>
      <c r="L181" s="7" t="s">
        <v>664</v>
      </c>
      <c r="M181" s="7"/>
      <c r="N181" s="7"/>
      <c r="O181" s="8"/>
      <c r="P181" s="8"/>
      <c r="Q181" s="8"/>
      <c r="R181" s="8"/>
      <c r="S181" s="8"/>
      <c r="T181" s="8"/>
    </row>
    <row r="182" customFormat="false" ht="35.05" hidden="false" customHeight="false" outlineLevel="0" collapsed="false">
      <c r="A182" s="7" t="s">
        <v>671</v>
      </c>
      <c r="B182" s="7" t="s">
        <v>672</v>
      </c>
      <c r="C182" s="7" t="s">
        <v>635</v>
      </c>
      <c r="D182" s="7" t="s">
        <v>636</v>
      </c>
      <c r="E182" s="7" t="s">
        <v>637</v>
      </c>
      <c r="F182" s="7" t="n">
        <v>3</v>
      </c>
      <c r="G182" s="7" t="s">
        <v>83</v>
      </c>
      <c r="H182" s="7" t="s">
        <v>84</v>
      </c>
      <c r="I182" s="7"/>
      <c r="J182" s="7" t="s">
        <v>62</v>
      </c>
      <c r="K182" s="7" t="s">
        <v>673</v>
      </c>
      <c r="L182" s="7" t="s">
        <v>664</v>
      </c>
      <c r="M182" s="7"/>
      <c r="N182" s="7"/>
      <c r="O182" s="8"/>
      <c r="P182" s="8"/>
      <c r="Q182" s="8"/>
      <c r="R182" s="8"/>
      <c r="S182" s="8"/>
      <c r="T182" s="8"/>
    </row>
    <row r="183" customFormat="false" ht="35.05" hidden="false" customHeight="false" outlineLevel="0" collapsed="false">
      <c r="A183" s="7" t="s">
        <v>674</v>
      </c>
      <c r="B183" s="7" t="s">
        <v>675</v>
      </c>
      <c r="C183" s="7" t="s">
        <v>635</v>
      </c>
      <c r="D183" s="7" t="s">
        <v>636</v>
      </c>
      <c r="E183" s="7" t="s">
        <v>637</v>
      </c>
      <c r="F183" s="7" t="n">
        <v>3</v>
      </c>
      <c r="G183" s="7" t="s">
        <v>83</v>
      </c>
      <c r="H183" s="7" t="s">
        <v>84</v>
      </c>
      <c r="I183" s="7"/>
      <c r="J183" s="7" t="s">
        <v>62</v>
      </c>
      <c r="K183" s="7" t="s">
        <v>676</v>
      </c>
      <c r="L183" s="7" t="s">
        <v>664</v>
      </c>
      <c r="M183" s="7"/>
      <c r="N183" s="7"/>
      <c r="O183" s="8"/>
      <c r="P183" s="8"/>
      <c r="Q183" s="8"/>
      <c r="R183" s="8"/>
      <c r="S183" s="8"/>
      <c r="T183" s="8"/>
    </row>
    <row r="184" customFormat="false" ht="35.05" hidden="false" customHeight="false" outlineLevel="0" collapsed="false">
      <c r="A184" s="7" t="s">
        <v>677</v>
      </c>
      <c r="B184" s="7" t="s">
        <v>678</v>
      </c>
      <c r="C184" s="7" t="s">
        <v>635</v>
      </c>
      <c r="D184" s="7" t="s">
        <v>636</v>
      </c>
      <c r="E184" s="7" t="s">
        <v>637</v>
      </c>
      <c r="F184" s="7" t="n">
        <v>3</v>
      </c>
      <c r="G184" s="7" t="s">
        <v>83</v>
      </c>
      <c r="H184" s="7" t="s">
        <v>84</v>
      </c>
      <c r="I184" s="7"/>
      <c r="J184" s="7" t="s">
        <v>62</v>
      </c>
      <c r="K184" s="7" t="s">
        <v>679</v>
      </c>
      <c r="L184" s="7" t="s">
        <v>664</v>
      </c>
      <c r="M184" s="7"/>
      <c r="N184" s="7"/>
      <c r="O184" s="8"/>
      <c r="P184" s="8"/>
      <c r="Q184" s="8"/>
      <c r="R184" s="8"/>
      <c r="S184" s="8"/>
      <c r="T184" s="8"/>
    </row>
    <row r="185" customFormat="false" ht="35.05" hidden="false" customHeight="false" outlineLevel="0" collapsed="false">
      <c r="A185" s="7" t="s">
        <v>680</v>
      </c>
      <c r="B185" s="7" t="s">
        <v>681</v>
      </c>
      <c r="C185" s="7" t="s">
        <v>635</v>
      </c>
      <c r="D185" s="7" t="s">
        <v>636</v>
      </c>
      <c r="E185" s="7" t="s">
        <v>637</v>
      </c>
      <c r="F185" s="7" t="n">
        <v>3</v>
      </c>
      <c r="G185" s="7" t="s">
        <v>83</v>
      </c>
      <c r="H185" s="7" t="s">
        <v>84</v>
      </c>
      <c r="I185" s="7"/>
      <c r="J185" s="7" t="s">
        <v>62</v>
      </c>
      <c r="K185" s="7" t="s">
        <v>682</v>
      </c>
      <c r="L185" s="7" t="s">
        <v>664</v>
      </c>
      <c r="M185" s="7"/>
      <c r="N185" s="7"/>
      <c r="O185" s="8"/>
      <c r="P185" s="8"/>
      <c r="Q185" s="8"/>
      <c r="R185" s="8"/>
      <c r="S185" s="8"/>
      <c r="T185" s="8"/>
    </row>
    <row r="186" customFormat="false" ht="35.05" hidden="false" customHeight="false" outlineLevel="0" collapsed="false">
      <c r="A186" s="7" t="s">
        <v>683</v>
      </c>
      <c r="B186" s="7" t="s">
        <v>635</v>
      </c>
      <c r="C186" s="7" t="s">
        <v>635</v>
      </c>
      <c r="D186" s="7" t="s">
        <v>636</v>
      </c>
      <c r="E186" s="7" t="s">
        <v>637</v>
      </c>
      <c r="F186" s="7" t="n">
        <v>4</v>
      </c>
      <c r="G186" s="7" t="s">
        <v>83</v>
      </c>
      <c r="H186" s="7" t="s">
        <v>84</v>
      </c>
      <c r="I186" s="7"/>
      <c r="J186" s="7" t="s">
        <v>62</v>
      </c>
      <c r="K186" s="7" t="s">
        <v>684</v>
      </c>
      <c r="L186" s="7" t="s">
        <v>664</v>
      </c>
      <c r="M186" s="7"/>
      <c r="N186" s="7"/>
      <c r="O186" s="8"/>
      <c r="P186" s="8"/>
      <c r="Q186" s="8"/>
      <c r="R186" s="8"/>
      <c r="S186" s="8"/>
      <c r="T186" s="8"/>
    </row>
    <row r="187" customFormat="false" ht="35.05" hidden="false" customHeight="false" outlineLevel="0" collapsed="false">
      <c r="A187" s="7" t="s">
        <v>685</v>
      </c>
      <c r="B187" s="7" t="s">
        <v>635</v>
      </c>
      <c r="C187" s="7" t="s">
        <v>635</v>
      </c>
      <c r="D187" s="7" t="s">
        <v>636</v>
      </c>
      <c r="E187" s="7" t="s">
        <v>637</v>
      </c>
      <c r="F187" s="7" t="n">
        <v>4</v>
      </c>
      <c r="G187" s="7" t="s">
        <v>83</v>
      </c>
      <c r="H187" s="7" t="s">
        <v>84</v>
      </c>
      <c r="I187" s="7"/>
      <c r="J187" s="7" t="s">
        <v>62</v>
      </c>
      <c r="K187" s="7" t="s">
        <v>686</v>
      </c>
      <c r="L187" s="7" t="s">
        <v>664</v>
      </c>
      <c r="M187" s="7"/>
      <c r="N187" s="7"/>
      <c r="O187" s="8"/>
      <c r="P187" s="8"/>
      <c r="Q187" s="8"/>
      <c r="R187" s="8"/>
      <c r="S187" s="8"/>
      <c r="T187" s="8"/>
    </row>
    <row r="188" customFormat="false" ht="35.05" hidden="false" customHeight="false" outlineLevel="0" collapsed="false">
      <c r="A188" s="7" t="s">
        <v>687</v>
      </c>
      <c r="B188" s="7" t="s">
        <v>635</v>
      </c>
      <c r="C188" s="7" t="s">
        <v>635</v>
      </c>
      <c r="D188" s="7" t="s">
        <v>636</v>
      </c>
      <c r="E188" s="7" t="s">
        <v>637</v>
      </c>
      <c r="F188" s="7" t="n">
        <v>4</v>
      </c>
      <c r="G188" s="7" t="s">
        <v>83</v>
      </c>
      <c r="H188" s="7" t="s">
        <v>84</v>
      </c>
      <c r="I188" s="7"/>
      <c r="J188" s="7" t="s">
        <v>62</v>
      </c>
      <c r="K188" s="7" t="s">
        <v>688</v>
      </c>
      <c r="L188" s="7" t="s">
        <v>664</v>
      </c>
      <c r="M188" s="7"/>
      <c r="N188" s="7"/>
      <c r="O188" s="8"/>
      <c r="P188" s="8"/>
      <c r="Q188" s="8"/>
      <c r="R188" s="8"/>
      <c r="S188" s="8"/>
      <c r="T188" s="8"/>
    </row>
    <row r="189" customFormat="false" ht="35.05" hidden="false" customHeight="false" outlineLevel="0" collapsed="false">
      <c r="A189" s="7" t="s">
        <v>689</v>
      </c>
      <c r="B189" s="7" t="s">
        <v>635</v>
      </c>
      <c r="C189" s="7" t="s">
        <v>635</v>
      </c>
      <c r="D189" s="7" t="s">
        <v>636</v>
      </c>
      <c r="E189" s="7" t="s">
        <v>637</v>
      </c>
      <c r="F189" s="7" t="n">
        <v>4</v>
      </c>
      <c r="G189" s="7" t="s">
        <v>83</v>
      </c>
      <c r="H189" s="7" t="s">
        <v>84</v>
      </c>
      <c r="I189" s="7"/>
      <c r="J189" s="7" t="s">
        <v>62</v>
      </c>
      <c r="K189" s="7" t="s">
        <v>690</v>
      </c>
      <c r="L189" s="7" t="s">
        <v>664</v>
      </c>
      <c r="M189" s="7"/>
      <c r="N189" s="7"/>
      <c r="O189" s="8"/>
      <c r="P189" s="8"/>
      <c r="Q189" s="8"/>
      <c r="R189" s="8"/>
      <c r="S189" s="8"/>
      <c r="T189" s="8"/>
    </row>
    <row r="190" customFormat="false" ht="35.05" hidden="false" customHeight="false" outlineLevel="0" collapsed="false">
      <c r="A190" s="7" t="s">
        <v>691</v>
      </c>
      <c r="B190" s="7" t="s">
        <v>635</v>
      </c>
      <c r="C190" s="7" t="s">
        <v>635</v>
      </c>
      <c r="D190" s="7" t="s">
        <v>636</v>
      </c>
      <c r="E190" s="7" t="s">
        <v>637</v>
      </c>
      <c r="F190" s="7" t="n">
        <v>4</v>
      </c>
      <c r="G190" s="7" t="s">
        <v>83</v>
      </c>
      <c r="H190" s="7" t="s">
        <v>84</v>
      </c>
      <c r="I190" s="7"/>
      <c r="J190" s="7" t="s">
        <v>62</v>
      </c>
      <c r="K190" s="7" t="s">
        <v>692</v>
      </c>
      <c r="L190" s="7" t="s">
        <v>664</v>
      </c>
      <c r="M190" s="7"/>
      <c r="N190" s="7"/>
      <c r="O190" s="8"/>
      <c r="P190" s="8"/>
      <c r="Q190" s="8"/>
      <c r="R190" s="8"/>
      <c r="S190" s="8"/>
      <c r="T190" s="8"/>
    </row>
    <row r="191" customFormat="false" ht="35.05" hidden="false" customHeight="false" outlineLevel="0" collapsed="false">
      <c r="A191" s="7" t="s">
        <v>693</v>
      </c>
      <c r="B191" s="7" t="s">
        <v>635</v>
      </c>
      <c r="C191" s="7" t="s">
        <v>635</v>
      </c>
      <c r="D191" s="7" t="s">
        <v>636</v>
      </c>
      <c r="E191" s="7" t="s">
        <v>637</v>
      </c>
      <c r="F191" s="7" t="n">
        <v>4</v>
      </c>
      <c r="G191" s="7" t="s">
        <v>83</v>
      </c>
      <c r="H191" s="7" t="s">
        <v>84</v>
      </c>
      <c r="I191" s="7"/>
      <c r="J191" s="7" t="s">
        <v>62</v>
      </c>
      <c r="K191" s="7" t="s">
        <v>694</v>
      </c>
      <c r="L191" s="7" t="s">
        <v>664</v>
      </c>
      <c r="M191" s="7"/>
      <c r="N191" s="7"/>
      <c r="O191" s="8"/>
      <c r="P191" s="8"/>
      <c r="Q191" s="8"/>
      <c r="R191" s="8"/>
      <c r="S191" s="8"/>
      <c r="T191" s="8"/>
    </row>
    <row r="192" customFormat="false" ht="35.05" hidden="false" customHeight="false" outlineLevel="0" collapsed="false">
      <c r="A192" s="7" t="s">
        <v>695</v>
      </c>
      <c r="B192" s="7" t="s">
        <v>635</v>
      </c>
      <c r="C192" s="7" t="s">
        <v>635</v>
      </c>
      <c r="D192" s="7" t="s">
        <v>636</v>
      </c>
      <c r="E192" s="7" t="s">
        <v>637</v>
      </c>
      <c r="F192" s="7" t="n">
        <v>4</v>
      </c>
      <c r="G192" s="7" t="s">
        <v>83</v>
      </c>
      <c r="H192" s="7" t="s">
        <v>84</v>
      </c>
      <c r="I192" s="7"/>
      <c r="J192" s="7" t="s">
        <v>62</v>
      </c>
      <c r="K192" s="7" t="s">
        <v>696</v>
      </c>
      <c r="L192" s="7" t="s">
        <v>664</v>
      </c>
      <c r="M192" s="7"/>
      <c r="N192" s="7"/>
      <c r="O192" s="8"/>
      <c r="P192" s="8"/>
      <c r="Q192" s="8"/>
      <c r="R192" s="8"/>
      <c r="S192" s="8"/>
      <c r="T192" s="8"/>
    </row>
    <row r="193" customFormat="false" ht="35.05" hidden="false" customHeight="false" outlineLevel="0" collapsed="false">
      <c r="A193" s="7" t="s">
        <v>697</v>
      </c>
      <c r="B193" s="7" t="s">
        <v>698</v>
      </c>
      <c r="C193" s="7" t="s">
        <v>635</v>
      </c>
      <c r="D193" s="7" t="s">
        <v>636</v>
      </c>
      <c r="E193" s="7" t="s">
        <v>637</v>
      </c>
      <c r="F193" s="7" t="n">
        <v>2</v>
      </c>
      <c r="G193" s="7" t="s">
        <v>83</v>
      </c>
      <c r="H193" s="7" t="s">
        <v>84</v>
      </c>
      <c r="I193" s="7"/>
      <c r="J193" s="7" t="s">
        <v>62</v>
      </c>
      <c r="K193" s="7" t="s">
        <v>699</v>
      </c>
      <c r="L193" s="7" t="s">
        <v>642</v>
      </c>
      <c r="M193" s="7"/>
      <c r="N193" s="7"/>
      <c r="O193" s="8"/>
      <c r="P193" s="8"/>
      <c r="Q193" s="8"/>
      <c r="R193" s="8"/>
      <c r="S193" s="8"/>
      <c r="T193" s="8"/>
    </row>
    <row r="194" customFormat="false" ht="35.05" hidden="false" customHeight="false" outlineLevel="0" collapsed="false">
      <c r="A194" s="7" t="s">
        <v>700</v>
      </c>
      <c r="B194" s="7" t="s">
        <v>701</v>
      </c>
      <c r="C194" s="7" t="s">
        <v>635</v>
      </c>
      <c r="D194" s="7" t="s">
        <v>636</v>
      </c>
      <c r="E194" s="7" t="s">
        <v>637</v>
      </c>
      <c r="F194" s="7" t="n">
        <v>2</v>
      </c>
      <c r="G194" s="7" t="s">
        <v>83</v>
      </c>
      <c r="H194" s="7" t="s">
        <v>84</v>
      </c>
      <c r="I194" s="7"/>
      <c r="J194" s="7" t="s">
        <v>62</v>
      </c>
      <c r="K194" s="7" t="s">
        <v>702</v>
      </c>
      <c r="L194" s="7" t="s">
        <v>642</v>
      </c>
      <c r="M194" s="7"/>
      <c r="N194" s="7"/>
      <c r="O194" s="8"/>
      <c r="P194" s="8"/>
      <c r="Q194" s="8"/>
      <c r="R194" s="8"/>
      <c r="S194" s="8"/>
      <c r="T194" s="8"/>
    </row>
    <row r="195" customFormat="false" ht="35.05" hidden="false" customHeight="false" outlineLevel="0" collapsed="false">
      <c r="A195" s="7" t="s">
        <v>703</v>
      </c>
      <c r="B195" s="7" t="s">
        <v>704</v>
      </c>
      <c r="C195" s="7" t="s">
        <v>635</v>
      </c>
      <c r="D195" s="7" t="s">
        <v>636</v>
      </c>
      <c r="E195" s="7" t="s">
        <v>637</v>
      </c>
      <c r="F195" s="7" t="n">
        <v>2</v>
      </c>
      <c r="G195" s="7" t="s">
        <v>83</v>
      </c>
      <c r="H195" s="7" t="s">
        <v>84</v>
      </c>
      <c r="I195" s="7"/>
      <c r="J195" s="7" t="s">
        <v>62</v>
      </c>
      <c r="K195" s="7" t="s">
        <v>705</v>
      </c>
      <c r="L195" s="7" t="s">
        <v>642</v>
      </c>
      <c r="M195" s="7"/>
      <c r="N195" s="7"/>
      <c r="O195" s="8"/>
      <c r="P195" s="8"/>
      <c r="Q195" s="8"/>
      <c r="R195" s="8"/>
      <c r="S195" s="8"/>
      <c r="T195" s="8"/>
    </row>
    <row r="196" customFormat="false" ht="35.05" hidden="false" customHeight="false" outlineLevel="0" collapsed="false">
      <c r="A196" s="7" t="s">
        <v>706</v>
      </c>
      <c r="B196" s="7" t="s">
        <v>707</v>
      </c>
      <c r="C196" s="7" t="s">
        <v>635</v>
      </c>
      <c r="D196" s="7" t="s">
        <v>636</v>
      </c>
      <c r="E196" s="7" t="s">
        <v>637</v>
      </c>
      <c r="F196" s="7" t="n">
        <v>2</v>
      </c>
      <c r="G196" s="7" t="s">
        <v>83</v>
      </c>
      <c r="H196" s="7" t="s">
        <v>84</v>
      </c>
      <c r="I196" s="7"/>
      <c r="J196" s="7" t="s">
        <v>62</v>
      </c>
      <c r="K196" s="7" t="s">
        <v>708</v>
      </c>
      <c r="L196" s="7" t="s">
        <v>642</v>
      </c>
      <c r="M196" s="7"/>
      <c r="N196" s="7"/>
      <c r="O196" s="8"/>
      <c r="P196" s="8"/>
      <c r="Q196" s="8"/>
      <c r="R196" s="8"/>
      <c r="S196" s="8"/>
      <c r="T196" s="8"/>
    </row>
    <row r="197" customFormat="false" ht="35.05" hidden="false" customHeight="false" outlineLevel="0" collapsed="false">
      <c r="A197" s="7" t="s">
        <v>709</v>
      </c>
      <c r="B197" s="7" t="s">
        <v>710</v>
      </c>
      <c r="C197" s="7" t="s">
        <v>635</v>
      </c>
      <c r="D197" s="7" t="s">
        <v>636</v>
      </c>
      <c r="E197" s="7" t="s">
        <v>637</v>
      </c>
      <c r="F197" s="7" t="n">
        <v>2</v>
      </c>
      <c r="G197" s="7" t="s">
        <v>83</v>
      </c>
      <c r="H197" s="7" t="s">
        <v>84</v>
      </c>
      <c r="I197" s="7"/>
      <c r="J197" s="7" t="s">
        <v>62</v>
      </c>
      <c r="K197" s="7" t="s">
        <v>711</v>
      </c>
      <c r="L197" s="7" t="s">
        <v>642</v>
      </c>
      <c r="M197" s="7"/>
      <c r="N197" s="7"/>
      <c r="O197" s="8"/>
      <c r="P197" s="8"/>
      <c r="Q197" s="8"/>
      <c r="R197" s="8"/>
      <c r="S197" s="8"/>
      <c r="T197" s="8"/>
    </row>
    <row r="198" customFormat="false" ht="35.05" hidden="false" customHeight="false" outlineLevel="0" collapsed="false">
      <c r="A198" s="7" t="s">
        <v>712</v>
      </c>
      <c r="B198" s="7" t="s">
        <v>713</v>
      </c>
      <c r="C198" s="7" t="s">
        <v>635</v>
      </c>
      <c r="D198" s="7" t="s">
        <v>636</v>
      </c>
      <c r="E198" s="7" t="s">
        <v>637</v>
      </c>
      <c r="F198" s="7" t="n">
        <v>2</v>
      </c>
      <c r="G198" s="7" t="s">
        <v>83</v>
      </c>
      <c r="H198" s="7" t="s">
        <v>84</v>
      </c>
      <c r="I198" s="7"/>
      <c r="J198" s="7" t="s">
        <v>62</v>
      </c>
      <c r="K198" s="7" t="s">
        <v>714</v>
      </c>
      <c r="L198" s="7" t="s">
        <v>642</v>
      </c>
      <c r="M198" s="7"/>
      <c r="N198" s="7"/>
      <c r="O198" s="8"/>
      <c r="P198" s="8"/>
      <c r="Q198" s="8"/>
      <c r="R198" s="8"/>
      <c r="S198" s="8"/>
      <c r="T198" s="8"/>
    </row>
    <row r="199" customFormat="false" ht="35.05" hidden="false" customHeight="false" outlineLevel="0" collapsed="false">
      <c r="A199" s="7" t="s">
        <v>715</v>
      </c>
      <c r="B199" s="7" t="s">
        <v>716</v>
      </c>
      <c r="C199" s="7" t="s">
        <v>635</v>
      </c>
      <c r="D199" s="7" t="s">
        <v>636</v>
      </c>
      <c r="E199" s="7" t="s">
        <v>637</v>
      </c>
      <c r="F199" s="7" t="n">
        <v>2</v>
      </c>
      <c r="G199" s="7" t="s">
        <v>83</v>
      </c>
      <c r="H199" s="7" t="s">
        <v>84</v>
      </c>
      <c r="I199" s="7"/>
      <c r="J199" s="7" t="s">
        <v>62</v>
      </c>
      <c r="K199" s="7" t="s">
        <v>717</v>
      </c>
      <c r="L199" s="7" t="s">
        <v>642</v>
      </c>
      <c r="M199" s="7"/>
      <c r="N199" s="7"/>
      <c r="O199" s="8"/>
      <c r="P199" s="8"/>
      <c r="Q199" s="8"/>
      <c r="R199" s="8"/>
      <c r="S199" s="8"/>
      <c r="T199" s="8"/>
    </row>
    <row r="200" customFormat="false" ht="35.05" hidden="false" customHeight="false" outlineLevel="0" collapsed="false">
      <c r="A200" s="7" t="s">
        <v>718</v>
      </c>
      <c r="B200" s="7" t="s">
        <v>719</v>
      </c>
      <c r="C200" s="7" t="s">
        <v>635</v>
      </c>
      <c r="D200" s="7" t="s">
        <v>636</v>
      </c>
      <c r="E200" s="7" t="s">
        <v>637</v>
      </c>
      <c r="F200" s="7" t="n">
        <v>2</v>
      </c>
      <c r="G200" s="7" t="s">
        <v>83</v>
      </c>
      <c r="H200" s="7" t="s">
        <v>84</v>
      </c>
      <c r="I200" s="7"/>
      <c r="J200" s="7" t="s">
        <v>62</v>
      </c>
      <c r="K200" s="7" t="s">
        <v>720</v>
      </c>
      <c r="L200" s="7" t="s">
        <v>642</v>
      </c>
      <c r="M200" s="7"/>
      <c r="N200" s="7"/>
      <c r="O200" s="8"/>
      <c r="P200" s="8"/>
      <c r="Q200" s="8"/>
      <c r="R200" s="8"/>
      <c r="S200" s="8"/>
      <c r="T200" s="8"/>
    </row>
    <row r="201" customFormat="false" ht="35.05" hidden="false" customHeight="false" outlineLevel="0" collapsed="false">
      <c r="A201" s="7" t="s">
        <v>721</v>
      </c>
      <c r="B201" s="7" t="s">
        <v>722</v>
      </c>
      <c r="C201" s="7" t="s">
        <v>635</v>
      </c>
      <c r="D201" s="7" t="s">
        <v>636</v>
      </c>
      <c r="E201" s="7" t="s">
        <v>637</v>
      </c>
      <c r="F201" s="7" t="n">
        <v>2</v>
      </c>
      <c r="G201" s="7" t="s">
        <v>83</v>
      </c>
      <c r="H201" s="7" t="s">
        <v>84</v>
      </c>
      <c r="I201" s="7"/>
      <c r="J201" s="7" t="s">
        <v>62</v>
      </c>
      <c r="K201" s="7" t="s">
        <v>723</v>
      </c>
      <c r="L201" s="7" t="s">
        <v>642</v>
      </c>
      <c r="M201" s="7"/>
      <c r="N201" s="7"/>
      <c r="O201" s="8"/>
      <c r="P201" s="8"/>
      <c r="Q201" s="8"/>
      <c r="R201" s="8"/>
      <c r="S201" s="8"/>
      <c r="T201" s="8"/>
    </row>
    <row r="202" customFormat="false" ht="35.05" hidden="false" customHeight="false" outlineLevel="0" collapsed="false">
      <c r="A202" s="7" t="s">
        <v>724</v>
      </c>
      <c r="B202" s="7" t="s">
        <v>725</v>
      </c>
      <c r="C202" s="7" t="s">
        <v>635</v>
      </c>
      <c r="D202" s="7" t="s">
        <v>636</v>
      </c>
      <c r="E202" s="7" t="s">
        <v>637</v>
      </c>
      <c r="F202" s="7" t="n">
        <v>2</v>
      </c>
      <c r="G202" s="7" t="s">
        <v>83</v>
      </c>
      <c r="H202" s="7" t="s">
        <v>84</v>
      </c>
      <c r="I202" s="7"/>
      <c r="J202" s="7" t="s">
        <v>62</v>
      </c>
      <c r="K202" s="7" t="s">
        <v>726</v>
      </c>
      <c r="L202" s="7" t="s">
        <v>642</v>
      </c>
      <c r="M202" s="7"/>
      <c r="N202" s="7"/>
      <c r="O202" s="8"/>
      <c r="P202" s="8"/>
      <c r="Q202" s="8"/>
      <c r="R202" s="8"/>
      <c r="S202" s="8"/>
      <c r="T202" s="8"/>
    </row>
    <row r="203" customFormat="false" ht="35.05" hidden="false" customHeight="false" outlineLevel="0" collapsed="false">
      <c r="A203" s="7" t="s">
        <v>727</v>
      </c>
      <c r="B203" s="7" t="s">
        <v>728</v>
      </c>
      <c r="C203" s="7" t="s">
        <v>635</v>
      </c>
      <c r="D203" s="7" t="s">
        <v>636</v>
      </c>
      <c r="E203" s="7" t="s">
        <v>637</v>
      </c>
      <c r="F203" s="7" t="n">
        <v>2</v>
      </c>
      <c r="G203" s="7" t="s">
        <v>83</v>
      </c>
      <c r="H203" s="7" t="s">
        <v>84</v>
      </c>
      <c r="I203" s="7"/>
      <c r="J203" s="7" t="s">
        <v>62</v>
      </c>
      <c r="K203" s="7" t="s">
        <v>729</v>
      </c>
      <c r="L203" s="7" t="s">
        <v>642</v>
      </c>
      <c r="M203" s="7"/>
      <c r="N203" s="7"/>
      <c r="O203" s="8"/>
      <c r="P203" s="8"/>
      <c r="Q203" s="8"/>
      <c r="R203" s="8"/>
      <c r="S203" s="8"/>
      <c r="T203" s="8"/>
    </row>
    <row r="204" customFormat="false" ht="35.05" hidden="false" customHeight="false" outlineLevel="0" collapsed="false">
      <c r="A204" s="7" t="s">
        <v>730</v>
      </c>
      <c r="B204" s="7" t="s">
        <v>731</v>
      </c>
      <c r="C204" s="7" t="s">
        <v>635</v>
      </c>
      <c r="D204" s="7" t="s">
        <v>636</v>
      </c>
      <c r="E204" s="7" t="s">
        <v>637</v>
      </c>
      <c r="F204" s="7" t="n">
        <v>2</v>
      </c>
      <c r="G204" s="7" t="s">
        <v>83</v>
      </c>
      <c r="H204" s="7" t="s">
        <v>84</v>
      </c>
      <c r="I204" s="7"/>
      <c r="J204" s="7" t="s">
        <v>62</v>
      </c>
      <c r="K204" s="7" t="s">
        <v>732</v>
      </c>
      <c r="L204" s="7" t="s">
        <v>642</v>
      </c>
      <c r="M204" s="7"/>
      <c r="N204" s="7"/>
      <c r="O204" s="8"/>
      <c r="P204" s="8"/>
      <c r="Q204" s="8"/>
      <c r="R204" s="8"/>
      <c r="S204" s="8"/>
      <c r="T204" s="8"/>
    </row>
    <row r="205" customFormat="false" ht="35.05" hidden="false" customHeight="false" outlineLevel="0" collapsed="false">
      <c r="A205" s="7" t="s">
        <v>733</v>
      </c>
      <c r="B205" s="7" t="s">
        <v>734</v>
      </c>
      <c r="C205" s="7" t="s">
        <v>635</v>
      </c>
      <c r="D205" s="7" t="s">
        <v>636</v>
      </c>
      <c r="E205" s="7" t="s">
        <v>637</v>
      </c>
      <c r="F205" s="7" t="n">
        <v>2</v>
      </c>
      <c r="G205" s="7" t="s">
        <v>83</v>
      </c>
      <c r="H205" s="7" t="s">
        <v>84</v>
      </c>
      <c r="I205" s="7"/>
      <c r="J205" s="7" t="s">
        <v>62</v>
      </c>
      <c r="K205" s="7" t="s">
        <v>735</v>
      </c>
      <c r="L205" s="7" t="s">
        <v>642</v>
      </c>
      <c r="M205" s="7"/>
      <c r="N205" s="7"/>
      <c r="O205" s="8"/>
      <c r="P205" s="8"/>
      <c r="Q205" s="8"/>
      <c r="R205" s="8"/>
      <c r="S205" s="8"/>
      <c r="T205" s="8"/>
    </row>
    <row r="206" customFormat="false" ht="35.05" hidden="false" customHeight="false" outlineLevel="0" collapsed="false">
      <c r="A206" s="7" t="s">
        <v>736</v>
      </c>
      <c r="B206" s="7" t="s">
        <v>737</v>
      </c>
      <c r="C206" s="7" t="s">
        <v>635</v>
      </c>
      <c r="D206" s="7" t="s">
        <v>636</v>
      </c>
      <c r="E206" s="7" t="s">
        <v>637</v>
      </c>
      <c r="F206" s="7" t="n">
        <v>2</v>
      </c>
      <c r="G206" s="7" t="s">
        <v>83</v>
      </c>
      <c r="H206" s="7" t="s">
        <v>84</v>
      </c>
      <c r="I206" s="7"/>
      <c r="J206" s="7" t="s">
        <v>62</v>
      </c>
      <c r="K206" s="7" t="s">
        <v>738</v>
      </c>
      <c r="L206" s="7" t="s">
        <v>642</v>
      </c>
      <c r="M206" s="7"/>
      <c r="N206" s="7"/>
      <c r="O206" s="8"/>
      <c r="P206" s="8"/>
      <c r="Q206" s="8"/>
      <c r="R206" s="8"/>
      <c r="S206" s="8"/>
      <c r="T206" s="8"/>
    </row>
    <row r="207" customFormat="false" ht="35.05" hidden="false" customHeight="false" outlineLevel="0" collapsed="false">
      <c r="A207" s="7" t="s">
        <v>739</v>
      </c>
      <c r="B207" s="7" t="s">
        <v>740</v>
      </c>
      <c r="C207" s="7" t="s">
        <v>635</v>
      </c>
      <c r="D207" s="7" t="s">
        <v>636</v>
      </c>
      <c r="E207" s="7" t="s">
        <v>637</v>
      </c>
      <c r="F207" s="7" t="n">
        <v>2</v>
      </c>
      <c r="G207" s="7" t="s">
        <v>83</v>
      </c>
      <c r="H207" s="7" t="s">
        <v>84</v>
      </c>
      <c r="I207" s="7"/>
      <c r="J207" s="7" t="s">
        <v>62</v>
      </c>
      <c r="K207" s="7" t="s">
        <v>741</v>
      </c>
      <c r="L207" s="7" t="s">
        <v>642</v>
      </c>
      <c r="M207" s="7"/>
      <c r="N207" s="7"/>
      <c r="O207" s="8"/>
      <c r="P207" s="8"/>
      <c r="Q207" s="8"/>
      <c r="R207" s="8"/>
      <c r="S207" s="8"/>
      <c r="T207" s="8"/>
    </row>
    <row r="208" customFormat="false" ht="35.05" hidden="false" customHeight="false" outlineLevel="0" collapsed="false">
      <c r="A208" s="7" t="s">
        <v>742</v>
      </c>
      <c r="B208" s="7" t="s">
        <v>743</v>
      </c>
      <c r="C208" s="7" t="s">
        <v>635</v>
      </c>
      <c r="D208" s="7" t="s">
        <v>636</v>
      </c>
      <c r="E208" s="7" t="s">
        <v>637</v>
      </c>
      <c r="F208" s="7" t="n">
        <v>2</v>
      </c>
      <c r="G208" s="7" t="s">
        <v>83</v>
      </c>
      <c r="H208" s="7" t="s">
        <v>84</v>
      </c>
      <c r="I208" s="7"/>
      <c r="J208" s="7" t="s">
        <v>62</v>
      </c>
      <c r="K208" s="7" t="s">
        <v>744</v>
      </c>
      <c r="L208" s="7" t="s">
        <v>642</v>
      </c>
      <c r="M208" s="7"/>
      <c r="N208" s="7"/>
      <c r="O208" s="8"/>
      <c r="P208" s="8"/>
      <c r="Q208" s="8"/>
      <c r="R208" s="8"/>
      <c r="S208" s="8"/>
      <c r="T208" s="8"/>
    </row>
    <row r="209" customFormat="false" ht="35.05" hidden="false" customHeight="false" outlineLevel="0" collapsed="false">
      <c r="A209" s="7" t="s">
        <v>745</v>
      </c>
      <c r="B209" s="7" t="s">
        <v>746</v>
      </c>
      <c r="C209" s="7" t="s">
        <v>635</v>
      </c>
      <c r="D209" s="7" t="s">
        <v>636</v>
      </c>
      <c r="E209" s="7" t="s">
        <v>637</v>
      </c>
      <c r="F209" s="7" t="n">
        <v>2</v>
      </c>
      <c r="G209" s="7" t="s">
        <v>83</v>
      </c>
      <c r="H209" s="7" t="s">
        <v>84</v>
      </c>
      <c r="I209" s="7"/>
      <c r="J209" s="7" t="s">
        <v>62</v>
      </c>
      <c r="K209" s="7" t="s">
        <v>747</v>
      </c>
      <c r="L209" s="7" t="s">
        <v>642</v>
      </c>
      <c r="M209" s="7"/>
      <c r="N209" s="7"/>
      <c r="O209" s="8"/>
      <c r="P209" s="8"/>
      <c r="Q209" s="8"/>
      <c r="R209" s="8"/>
      <c r="S209" s="8"/>
      <c r="T209" s="8"/>
    </row>
    <row r="210" customFormat="false" ht="35.05" hidden="false" customHeight="false" outlineLevel="0" collapsed="false">
      <c r="A210" s="7" t="s">
        <v>748</v>
      </c>
      <c r="B210" s="7" t="s">
        <v>749</v>
      </c>
      <c r="C210" s="7" t="s">
        <v>635</v>
      </c>
      <c r="D210" s="7" t="s">
        <v>636</v>
      </c>
      <c r="E210" s="7" t="s">
        <v>637</v>
      </c>
      <c r="F210" s="7" t="n">
        <v>2</v>
      </c>
      <c r="G210" s="7" t="s">
        <v>83</v>
      </c>
      <c r="H210" s="7" t="s">
        <v>66</v>
      </c>
      <c r="I210" s="7"/>
      <c r="J210" s="7" t="s">
        <v>62</v>
      </c>
      <c r="K210" s="7" t="s">
        <v>750</v>
      </c>
      <c r="L210" s="7" t="s">
        <v>642</v>
      </c>
      <c r="M210" s="7"/>
      <c r="N210" s="7"/>
      <c r="O210" s="8"/>
      <c r="P210" s="8"/>
      <c r="Q210" s="8"/>
      <c r="R210" s="8"/>
      <c r="S210" s="8"/>
      <c r="T210" s="8"/>
    </row>
    <row r="211" customFormat="false" ht="35.05" hidden="false" customHeight="false" outlineLevel="0" collapsed="false">
      <c r="A211" s="7" t="s">
        <v>751</v>
      </c>
      <c r="B211" s="7" t="s">
        <v>752</v>
      </c>
      <c r="C211" s="7" t="s">
        <v>635</v>
      </c>
      <c r="D211" s="7" t="s">
        <v>636</v>
      </c>
      <c r="E211" s="7" t="s">
        <v>637</v>
      </c>
      <c r="F211" s="7" t="n">
        <v>2</v>
      </c>
      <c r="G211" s="7" t="s">
        <v>83</v>
      </c>
      <c r="H211" s="7" t="s">
        <v>84</v>
      </c>
      <c r="I211" s="7"/>
      <c r="J211" s="7" t="s">
        <v>62</v>
      </c>
      <c r="K211" s="7" t="s">
        <v>753</v>
      </c>
      <c r="L211" s="7" t="s">
        <v>642</v>
      </c>
      <c r="M211" s="7"/>
      <c r="N211" s="7"/>
      <c r="O211" s="8"/>
      <c r="P211" s="8"/>
      <c r="Q211" s="8"/>
      <c r="R211" s="8"/>
      <c r="S211" s="8"/>
      <c r="T211" s="8"/>
    </row>
    <row r="212" customFormat="false" ht="35.05" hidden="false" customHeight="false" outlineLevel="0" collapsed="false">
      <c r="A212" s="7" t="s">
        <v>754</v>
      </c>
      <c r="B212" s="7" t="s">
        <v>755</v>
      </c>
      <c r="C212" s="7" t="s">
        <v>635</v>
      </c>
      <c r="D212" s="7" t="s">
        <v>636</v>
      </c>
      <c r="E212" s="7" t="s">
        <v>637</v>
      </c>
      <c r="F212" s="7" t="n">
        <v>2</v>
      </c>
      <c r="G212" s="7" t="s">
        <v>83</v>
      </c>
      <c r="H212" s="7" t="s">
        <v>84</v>
      </c>
      <c r="I212" s="7"/>
      <c r="J212" s="7" t="s">
        <v>62</v>
      </c>
      <c r="K212" s="7" t="s">
        <v>756</v>
      </c>
      <c r="L212" s="7" t="s">
        <v>642</v>
      </c>
      <c r="M212" s="7"/>
      <c r="N212" s="7"/>
      <c r="O212" s="8"/>
      <c r="P212" s="8"/>
      <c r="Q212" s="8"/>
      <c r="R212" s="8"/>
      <c r="S212" s="8"/>
      <c r="T212" s="8"/>
    </row>
    <row r="213" customFormat="false" ht="35.05" hidden="false" customHeight="false" outlineLevel="0" collapsed="false">
      <c r="A213" s="7" t="s">
        <v>757</v>
      </c>
      <c r="B213" s="7" t="s">
        <v>758</v>
      </c>
      <c r="C213" s="7" t="s">
        <v>635</v>
      </c>
      <c r="D213" s="7" t="s">
        <v>636</v>
      </c>
      <c r="E213" s="7" t="s">
        <v>637</v>
      </c>
      <c r="F213" s="7" t="n">
        <v>2</v>
      </c>
      <c r="G213" s="7" t="s">
        <v>83</v>
      </c>
      <c r="H213" s="7" t="s">
        <v>84</v>
      </c>
      <c r="I213" s="7"/>
      <c r="J213" s="7" t="s">
        <v>62</v>
      </c>
      <c r="K213" s="7" t="s">
        <v>759</v>
      </c>
      <c r="L213" s="7" t="s">
        <v>642</v>
      </c>
      <c r="M213" s="7"/>
      <c r="N213" s="7"/>
      <c r="O213" s="8"/>
      <c r="P213" s="8"/>
      <c r="Q213" s="8"/>
      <c r="R213" s="8"/>
      <c r="S213" s="8"/>
      <c r="T213" s="8"/>
    </row>
    <row r="214" customFormat="false" ht="35.05" hidden="false" customHeight="false" outlineLevel="0" collapsed="false">
      <c r="A214" s="7" t="s">
        <v>760</v>
      </c>
      <c r="B214" s="7" t="s">
        <v>761</v>
      </c>
      <c r="C214" s="7" t="s">
        <v>635</v>
      </c>
      <c r="D214" s="7" t="s">
        <v>636</v>
      </c>
      <c r="E214" s="7" t="s">
        <v>637</v>
      </c>
      <c r="F214" s="7" t="n">
        <v>2</v>
      </c>
      <c r="G214" s="7" t="s">
        <v>83</v>
      </c>
      <c r="H214" s="7" t="s">
        <v>84</v>
      </c>
      <c r="I214" s="7"/>
      <c r="J214" s="7" t="s">
        <v>62</v>
      </c>
      <c r="K214" s="7" t="s">
        <v>762</v>
      </c>
      <c r="L214" s="7" t="s">
        <v>642</v>
      </c>
      <c r="M214" s="7"/>
      <c r="N214" s="7"/>
      <c r="O214" s="8"/>
      <c r="P214" s="8"/>
      <c r="Q214" s="8"/>
      <c r="R214" s="8"/>
      <c r="S214" s="8"/>
      <c r="T214" s="8"/>
    </row>
    <row r="215" customFormat="false" ht="35.05" hidden="false" customHeight="false" outlineLevel="0" collapsed="false">
      <c r="A215" s="7" t="s">
        <v>763</v>
      </c>
      <c r="B215" s="7" t="s">
        <v>764</v>
      </c>
      <c r="C215" s="7" t="s">
        <v>635</v>
      </c>
      <c r="D215" s="7" t="s">
        <v>636</v>
      </c>
      <c r="E215" s="7" t="s">
        <v>637</v>
      </c>
      <c r="F215" s="7" t="n">
        <v>2</v>
      </c>
      <c r="G215" s="7" t="s">
        <v>83</v>
      </c>
      <c r="H215" s="7" t="s">
        <v>84</v>
      </c>
      <c r="I215" s="7"/>
      <c r="J215" s="7" t="s">
        <v>62</v>
      </c>
      <c r="K215" s="7" t="s">
        <v>765</v>
      </c>
      <c r="L215" s="7" t="s">
        <v>642</v>
      </c>
      <c r="M215" s="7"/>
      <c r="N215" s="7"/>
      <c r="O215" s="8"/>
      <c r="P215" s="8"/>
      <c r="Q215" s="8"/>
      <c r="R215" s="8"/>
      <c r="S215" s="8"/>
      <c r="T215" s="8"/>
    </row>
    <row r="216" customFormat="false" ht="35.05" hidden="false" customHeight="false" outlineLevel="0" collapsed="false">
      <c r="A216" s="7" t="s">
        <v>766</v>
      </c>
      <c r="B216" s="7" t="s">
        <v>767</v>
      </c>
      <c r="C216" s="7" t="s">
        <v>635</v>
      </c>
      <c r="D216" s="7" t="s">
        <v>636</v>
      </c>
      <c r="E216" s="7" t="s">
        <v>637</v>
      </c>
      <c r="F216" s="7" t="n">
        <v>2</v>
      </c>
      <c r="G216" s="7" t="s">
        <v>83</v>
      </c>
      <c r="H216" s="7" t="s">
        <v>84</v>
      </c>
      <c r="I216" s="7"/>
      <c r="J216" s="7" t="s">
        <v>62</v>
      </c>
      <c r="K216" s="7" t="s">
        <v>768</v>
      </c>
      <c r="L216" s="7" t="s">
        <v>642</v>
      </c>
      <c r="M216" s="7"/>
      <c r="N216" s="7"/>
      <c r="O216" s="8"/>
      <c r="P216" s="8"/>
      <c r="Q216" s="8"/>
      <c r="R216" s="8"/>
      <c r="S216" s="8"/>
      <c r="T216" s="8"/>
    </row>
    <row r="217" customFormat="false" ht="35.05" hidden="false" customHeight="false" outlineLevel="0" collapsed="false">
      <c r="A217" s="7" t="s">
        <v>769</v>
      </c>
      <c r="B217" s="7" t="s">
        <v>770</v>
      </c>
      <c r="C217" s="7" t="s">
        <v>635</v>
      </c>
      <c r="D217" s="7" t="s">
        <v>636</v>
      </c>
      <c r="E217" s="7" t="s">
        <v>637</v>
      </c>
      <c r="F217" s="7" t="n">
        <v>2</v>
      </c>
      <c r="G217" s="7" t="s">
        <v>83</v>
      </c>
      <c r="H217" s="7" t="s">
        <v>84</v>
      </c>
      <c r="I217" s="7"/>
      <c r="J217" s="7" t="s">
        <v>62</v>
      </c>
      <c r="K217" s="7" t="s">
        <v>771</v>
      </c>
      <c r="L217" s="7" t="s">
        <v>642</v>
      </c>
      <c r="M217" s="7"/>
      <c r="N217" s="7"/>
      <c r="O217" s="8"/>
      <c r="P217" s="8"/>
      <c r="Q217" s="8"/>
      <c r="R217" s="8"/>
      <c r="S217" s="8"/>
      <c r="T217" s="8"/>
    </row>
    <row r="218" customFormat="false" ht="35.05" hidden="false" customHeight="false" outlineLevel="0" collapsed="false">
      <c r="A218" s="7" t="s">
        <v>772</v>
      </c>
      <c r="B218" s="7" t="s">
        <v>773</v>
      </c>
      <c r="C218" s="7" t="s">
        <v>635</v>
      </c>
      <c r="D218" s="7" t="s">
        <v>636</v>
      </c>
      <c r="E218" s="7" t="s">
        <v>637</v>
      </c>
      <c r="F218" s="7" t="n">
        <v>2</v>
      </c>
      <c r="G218" s="7" t="s">
        <v>83</v>
      </c>
      <c r="H218" s="7" t="s">
        <v>84</v>
      </c>
      <c r="I218" s="7"/>
      <c r="J218" s="7" t="s">
        <v>62</v>
      </c>
      <c r="K218" s="7" t="s">
        <v>774</v>
      </c>
      <c r="L218" s="7" t="s">
        <v>642</v>
      </c>
      <c r="M218" s="7"/>
      <c r="N218" s="7"/>
      <c r="O218" s="8"/>
      <c r="P218" s="8"/>
      <c r="Q218" s="8"/>
      <c r="R218" s="8"/>
      <c r="S218" s="8"/>
      <c r="T218" s="8"/>
    </row>
    <row r="219" customFormat="false" ht="46.25" hidden="false" customHeight="false" outlineLevel="0" collapsed="false">
      <c r="A219" s="7" t="s">
        <v>775</v>
      </c>
      <c r="B219" s="7" t="s">
        <v>776</v>
      </c>
      <c r="C219" s="7" t="s">
        <v>635</v>
      </c>
      <c r="D219" s="7" t="s">
        <v>636</v>
      </c>
      <c r="E219" s="7" t="s">
        <v>637</v>
      </c>
      <c r="F219" s="7" t="n">
        <v>2</v>
      </c>
      <c r="G219" s="7" t="s">
        <v>83</v>
      </c>
      <c r="H219" s="7" t="s">
        <v>84</v>
      </c>
      <c r="I219" s="7"/>
      <c r="J219" s="7" t="s">
        <v>62</v>
      </c>
      <c r="K219" s="7" t="s">
        <v>777</v>
      </c>
      <c r="L219" s="7" t="s">
        <v>642</v>
      </c>
      <c r="M219" s="7"/>
      <c r="N219" s="7"/>
      <c r="O219" s="8"/>
      <c r="P219" s="8"/>
      <c r="Q219" s="8"/>
      <c r="R219" s="8"/>
      <c r="S219" s="8"/>
      <c r="T219" s="8"/>
    </row>
    <row r="220" customFormat="false" ht="57.45" hidden="false" customHeight="false" outlineLevel="0" collapsed="false">
      <c r="A220" s="7" t="s">
        <v>778</v>
      </c>
      <c r="B220" s="7" t="s">
        <v>779</v>
      </c>
      <c r="C220" s="7" t="s">
        <v>635</v>
      </c>
      <c r="D220" s="7" t="s">
        <v>636</v>
      </c>
      <c r="E220" s="7" t="s">
        <v>637</v>
      </c>
      <c r="F220" s="7" t="n">
        <v>3</v>
      </c>
      <c r="G220" s="7" t="s">
        <v>83</v>
      </c>
      <c r="H220" s="7" t="s">
        <v>84</v>
      </c>
      <c r="I220" s="7"/>
      <c r="J220" s="7" t="s">
        <v>62</v>
      </c>
      <c r="K220" s="7" t="s">
        <v>780</v>
      </c>
      <c r="L220" s="7" t="s">
        <v>777</v>
      </c>
      <c r="M220" s="7"/>
      <c r="N220" s="7"/>
      <c r="O220" s="8"/>
      <c r="P220" s="8"/>
      <c r="Q220" s="8"/>
      <c r="R220" s="8"/>
      <c r="S220" s="8"/>
      <c r="T220" s="8"/>
    </row>
    <row r="221" customFormat="false" ht="57.45" hidden="false" customHeight="false" outlineLevel="0" collapsed="false">
      <c r="A221" s="7" t="s">
        <v>781</v>
      </c>
      <c r="B221" s="7" t="s">
        <v>782</v>
      </c>
      <c r="C221" s="7" t="s">
        <v>635</v>
      </c>
      <c r="D221" s="7" t="s">
        <v>636</v>
      </c>
      <c r="E221" s="7" t="s">
        <v>637</v>
      </c>
      <c r="F221" s="7" t="n">
        <v>3</v>
      </c>
      <c r="G221" s="7" t="s">
        <v>83</v>
      </c>
      <c r="H221" s="7" t="s">
        <v>118</v>
      </c>
      <c r="I221" s="7"/>
      <c r="J221" s="7" t="s">
        <v>67</v>
      </c>
      <c r="K221" s="7" t="s">
        <v>783</v>
      </c>
      <c r="L221" s="7" t="s">
        <v>777</v>
      </c>
      <c r="M221" s="7"/>
      <c r="N221" s="7"/>
      <c r="O221" s="8"/>
      <c r="P221" s="8"/>
      <c r="Q221" s="8"/>
      <c r="R221" s="8"/>
      <c r="S221" s="8"/>
      <c r="T221" s="8"/>
    </row>
    <row r="222" customFormat="false" ht="46.25" hidden="false" customHeight="false" outlineLevel="0" collapsed="false">
      <c r="A222" s="11" t="s">
        <v>784</v>
      </c>
      <c r="B222" s="11" t="s">
        <v>785</v>
      </c>
      <c r="C222" s="11" t="s">
        <v>786</v>
      </c>
      <c r="D222" s="11" t="s">
        <v>787</v>
      </c>
      <c r="E222" s="11" t="s">
        <v>788</v>
      </c>
      <c r="F222" s="11" t="n">
        <v>1</v>
      </c>
      <c r="G222" s="12" t="s">
        <v>59</v>
      </c>
      <c r="H222" s="11" t="s">
        <v>60</v>
      </c>
      <c r="I222" s="11" t="s">
        <v>61</v>
      </c>
      <c r="J222" s="11" t="s">
        <v>62</v>
      </c>
      <c r="K222" s="11" t="s">
        <v>789</v>
      </c>
      <c r="L222" s="11"/>
      <c r="M222" s="11"/>
      <c r="N222" s="11" t="s">
        <v>639</v>
      </c>
      <c r="O222" s="8"/>
      <c r="P222" s="8"/>
      <c r="Q222" s="8"/>
      <c r="R222" s="8"/>
      <c r="S222" s="8"/>
      <c r="T222" s="8"/>
    </row>
    <row r="223" customFormat="false" ht="23.85" hidden="false" customHeight="false" outlineLevel="0" collapsed="false">
      <c r="A223" s="11" t="s">
        <v>790</v>
      </c>
      <c r="B223" s="11" t="s">
        <v>791</v>
      </c>
      <c r="C223" s="11" t="s">
        <v>786</v>
      </c>
      <c r="D223" s="11" t="s">
        <v>787</v>
      </c>
      <c r="E223" s="11" t="s">
        <v>788</v>
      </c>
      <c r="F223" s="11" t="n">
        <v>1</v>
      </c>
      <c r="G223" s="12" t="s">
        <v>59</v>
      </c>
      <c r="H223" s="11" t="s">
        <v>60</v>
      </c>
      <c r="I223" s="11" t="s">
        <v>61</v>
      </c>
      <c r="J223" s="11" t="s">
        <v>62</v>
      </c>
      <c r="K223" s="11" t="s">
        <v>792</v>
      </c>
      <c r="L223" s="11"/>
      <c r="M223" s="11"/>
      <c r="N223" s="11"/>
      <c r="O223" s="8"/>
      <c r="P223" s="8"/>
      <c r="Q223" s="8"/>
      <c r="R223" s="8"/>
      <c r="S223" s="8"/>
      <c r="T223" s="8"/>
    </row>
    <row r="224" customFormat="false" ht="35.05" hidden="false" customHeight="false" outlineLevel="0" collapsed="false">
      <c r="A224" s="7" t="s">
        <v>793</v>
      </c>
      <c r="B224" s="7" t="s">
        <v>786</v>
      </c>
      <c r="C224" s="7" t="s">
        <v>786</v>
      </c>
      <c r="D224" s="7" t="s">
        <v>787</v>
      </c>
      <c r="E224" s="7" t="s">
        <v>788</v>
      </c>
      <c r="F224" s="7"/>
      <c r="G224" s="7" t="s">
        <v>65</v>
      </c>
      <c r="H224" s="7" t="s">
        <v>118</v>
      </c>
      <c r="I224" s="7"/>
      <c r="J224" s="7" t="s">
        <v>67</v>
      </c>
      <c r="K224" s="7" t="s">
        <v>794</v>
      </c>
      <c r="L224" s="7" t="s">
        <v>792</v>
      </c>
      <c r="M224" s="7" t="s">
        <v>795</v>
      </c>
      <c r="N224" s="7"/>
      <c r="O224" s="8"/>
      <c r="P224" s="8"/>
      <c r="Q224" s="8"/>
      <c r="R224" s="8"/>
      <c r="S224" s="8"/>
      <c r="T224" s="8"/>
    </row>
    <row r="225" customFormat="false" ht="46.25" hidden="false" customHeight="false" outlineLevel="0" collapsed="false">
      <c r="A225" s="11" t="s">
        <v>796</v>
      </c>
      <c r="B225" s="11" t="s">
        <v>797</v>
      </c>
      <c r="C225" s="11" t="s">
        <v>798</v>
      </c>
      <c r="D225" s="11" t="s">
        <v>799</v>
      </c>
      <c r="E225" s="11" t="s">
        <v>800</v>
      </c>
      <c r="F225" s="11" t="n">
        <v>1</v>
      </c>
      <c r="G225" s="12" t="s">
        <v>59</v>
      </c>
      <c r="H225" s="11" t="s">
        <v>60</v>
      </c>
      <c r="I225" s="11" t="s">
        <v>61</v>
      </c>
      <c r="J225" s="11" t="s">
        <v>62</v>
      </c>
      <c r="K225" s="11" t="s">
        <v>801</v>
      </c>
      <c r="L225" s="11"/>
      <c r="M225" s="11"/>
      <c r="N225" s="11"/>
      <c r="O225" s="8"/>
      <c r="P225" s="8"/>
      <c r="Q225" s="8"/>
      <c r="R225" s="8"/>
      <c r="S225" s="8"/>
      <c r="T225" s="8"/>
    </row>
    <row r="226" customFormat="false" ht="35.05" hidden="false" customHeight="false" outlineLevel="0" collapsed="false">
      <c r="A226" s="11" t="s">
        <v>802</v>
      </c>
      <c r="B226" s="11" t="s">
        <v>803</v>
      </c>
      <c r="C226" s="11" t="s">
        <v>798</v>
      </c>
      <c r="D226" s="11" t="s">
        <v>799</v>
      </c>
      <c r="E226" s="11" t="s">
        <v>800</v>
      </c>
      <c r="F226" s="11" t="n">
        <v>1</v>
      </c>
      <c r="G226" s="12" t="s">
        <v>59</v>
      </c>
      <c r="H226" s="11" t="s">
        <v>60</v>
      </c>
      <c r="I226" s="11" t="s">
        <v>61</v>
      </c>
      <c r="J226" s="11" t="s">
        <v>62</v>
      </c>
      <c r="K226" s="11" t="s">
        <v>804</v>
      </c>
      <c r="L226" s="11"/>
      <c r="M226" s="11"/>
      <c r="N226" s="11"/>
      <c r="O226" s="8"/>
      <c r="P226" s="8"/>
      <c r="Q226" s="8"/>
      <c r="R226" s="8"/>
      <c r="S226" s="8"/>
      <c r="T226" s="8"/>
    </row>
    <row r="227" customFormat="false" ht="46.25" hidden="false" customHeight="false" outlineLevel="0" collapsed="false">
      <c r="A227" s="7" t="s">
        <v>805</v>
      </c>
      <c r="B227" s="7" t="s">
        <v>806</v>
      </c>
      <c r="C227" s="7" t="s">
        <v>798</v>
      </c>
      <c r="D227" s="7" t="s">
        <v>799</v>
      </c>
      <c r="E227" s="7" t="s">
        <v>800</v>
      </c>
      <c r="F227" s="7" t="n">
        <v>2</v>
      </c>
      <c r="G227" s="7" t="s">
        <v>83</v>
      </c>
      <c r="H227" s="7" t="s">
        <v>84</v>
      </c>
      <c r="I227" s="7" t="s">
        <v>61</v>
      </c>
      <c r="J227" s="7" t="s">
        <v>62</v>
      </c>
      <c r="K227" s="7" t="s">
        <v>807</v>
      </c>
      <c r="L227" s="7" t="s">
        <v>804</v>
      </c>
      <c r="M227" s="7"/>
      <c r="N227" s="7"/>
      <c r="O227" s="8"/>
      <c r="P227" s="8"/>
      <c r="Q227" s="8"/>
      <c r="R227" s="8"/>
      <c r="S227" s="8"/>
      <c r="T227" s="8"/>
    </row>
    <row r="228" customFormat="false" ht="46.25" hidden="false" customHeight="false" outlineLevel="0" collapsed="false">
      <c r="A228" s="7" t="s">
        <v>808</v>
      </c>
      <c r="B228" s="7" t="s">
        <v>809</v>
      </c>
      <c r="C228" s="7" t="s">
        <v>798</v>
      </c>
      <c r="D228" s="7" t="s">
        <v>799</v>
      </c>
      <c r="E228" s="7" t="s">
        <v>800</v>
      </c>
      <c r="F228" s="7" t="n">
        <v>2</v>
      </c>
      <c r="G228" s="7" t="s">
        <v>83</v>
      </c>
      <c r="H228" s="7" t="s">
        <v>84</v>
      </c>
      <c r="I228" s="7" t="s">
        <v>126</v>
      </c>
      <c r="J228" s="7" t="s">
        <v>62</v>
      </c>
      <c r="K228" s="7" t="s">
        <v>810</v>
      </c>
      <c r="L228" s="7" t="s">
        <v>804</v>
      </c>
      <c r="M228" s="7"/>
      <c r="N228" s="7"/>
      <c r="O228" s="8"/>
      <c r="P228" s="8"/>
      <c r="Q228" s="8"/>
      <c r="R228" s="8"/>
      <c r="S228" s="8"/>
      <c r="T228" s="8"/>
    </row>
    <row r="229" customFormat="false" ht="46.25" hidden="false" customHeight="false" outlineLevel="0" collapsed="false">
      <c r="A229" s="11" t="s">
        <v>811</v>
      </c>
      <c r="B229" s="11" t="s">
        <v>812</v>
      </c>
      <c r="C229" s="11" t="s">
        <v>798</v>
      </c>
      <c r="D229" s="11" t="s">
        <v>799</v>
      </c>
      <c r="E229" s="11" t="s">
        <v>800</v>
      </c>
      <c r="F229" s="11" t="n">
        <v>1</v>
      </c>
      <c r="G229" s="12" t="s">
        <v>59</v>
      </c>
      <c r="H229" s="11" t="s">
        <v>60</v>
      </c>
      <c r="I229" s="11" t="s">
        <v>61</v>
      </c>
      <c r="J229" s="11" t="s">
        <v>62</v>
      </c>
      <c r="K229" s="11" t="s">
        <v>813</v>
      </c>
      <c r="L229" s="11"/>
      <c r="M229" s="11"/>
      <c r="N229" s="11"/>
      <c r="O229" s="8"/>
      <c r="P229" s="8"/>
      <c r="Q229" s="8"/>
      <c r="R229" s="8"/>
      <c r="S229" s="8"/>
      <c r="T229" s="8"/>
    </row>
    <row r="230" customFormat="false" ht="57.45" hidden="false" customHeight="false" outlineLevel="0" collapsed="false">
      <c r="A230" s="7" t="s">
        <v>814</v>
      </c>
      <c r="B230" s="7" t="s">
        <v>815</v>
      </c>
      <c r="C230" s="7" t="s">
        <v>815</v>
      </c>
      <c r="D230" s="7" t="s">
        <v>816</v>
      </c>
      <c r="E230" s="7" t="s">
        <v>817</v>
      </c>
      <c r="F230" s="7"/>
      <c r="G230" s="7" t="s">
        <v>65</v>
      </c>
      <c r="H230" s="7" t="s">
        <v>241</v>
      </c>
      <c r="I230" s="7" t="s">
        <v>61</v>
      </c>
      <c r="J230" s="7" t="s">
        <v>67</v>
      </c>
      <c r="K230" s="7" t="s">
        <v>818</v>
      </c>
      <c r="L230" s="7"/>
      <c r="M230" s="7"/>
      <c r="N230" s="7"/>
      <c r="O230" s="8"/>
      <c r="P230" s="8"/>
      <c r="Q230" s="8"/>
      <c r="R230" s="8"/>
      <c r="S230" s="8"/>
      <c r="T230" s="8"/>
    </row>
    <row r="231" customFormat="false" ht="35.05" hidden="false" customHeight="false" outlineLevel="0" collapsed="false">
      <c r="A231" s="7" t="s">
        <v>819</v>
      </c>
      <c r="B231" s="7" t="s">
        <v>815</v>
      </c>
      <c r="C231" s="7" t="s">
        <v>815</v>
      </c>
      <c r="D231" s="7" t="s">
        <v>816</v>
      </c>
      <c r="E231" s="7" t="s">
        <v>817</v>
      </c>
      <c r="F231" s="7"/>
      <c r="G231" s="7" t="s">
        <v>125</v>
      </c>
      <c r="H231" s="7"/>
      <c r="I231" s="7" t="s">
        <v>126</v>
      </c>
      <c r="J231" s="7" t="s">
        <v>67</v>
      </c>
      <c r="K231" s="7" t="s">
        <v>820</v>
      </c>
      <c r="L231" s="7"/>
      <c r="M231" s="7"/>
      <c r="N231" s="7"/>
      <c r="O231" s="8"/>
      <c r="P231" s="8"/>
      <c r="Q231" s="8"/>
      <c r="R231" s="8"/>
      <c r="S231" s="8"/>
      <c r="T231" s="8"/>
    </row>
    <row r="232" customFormat="false" ht="35.05" hidden="false" customHeight="false" outlineLevel="0" collapsed="false">
      <c r="A232" s="7" t="s">
        <v>821</v>
      </c>
      <c r="B232" s="7" t="s">
        <v>822</v>
      </c>
      <c r="C232" s="7" t="s">
        <v>822</v>
      </c>
      <c r="D232" s="7" t="s">
        <v>823</v>
      </c>
      <c r="E232" s="7" t="s">
        <v>824</v>
      </c>
      <c r="F232" s="7"/>
      <c r="G232" s="7" t="s">
        <v>125</v>
      </c>
      <c r="H232" s="7"/>
      <c r="I232" s="7" t="s">
        <v>126</v>
      </c>
      <c r="J232" s="7" t="s">
        <v>67</v>
      </c>
      <c r="K232" s="7" t="s">
        <v>825</v>
      </c>
      <c r="L232" s="7"/>
      <c r="M232" s="7"/>
      <c r="N232" s="7"/>
      <c r="O232" s="8"/>
      <c r="P232" s="8"/>
      <c r="Q232" s="8"/>
      <c r="R232" s="8"/>
      <c r="S232" s="8"/>
      <c r="T232" s="8"/>
    </row>
    <row r="233" customFormat="false" ht="23.85" hidden="false" customHeight="false" outlineLevel="0" collapsed="false">
      <c r="A233" s="11" t="s">
        <v>826</v>
      </c>
      <c r="B233" s="11" t="s">
        <v>827</v>
      </c>
      <c r="C233" s="11" t="s">
        <v>822</v>
      </c>
      <c r="D233" s="11" t="s">
        <v>823</v>
      </c>
      <c r="E233" s="11" t="s">
        <v>824</v>
      </c>
      <c r="F233" s="11" t="n">
        <v>1</v>
      </c>
      <c r="G233" s="12" t="s">
        <v>59</v>
      </c>
      <c r="H233" s="11" t="s">
        <v>60</v>
      </c>
      <c r="I233" s="11" t="s">
        <v>61</v>
      </c>
      <c r="J233" s="11" t="s">
        <v>62</v>
      </c>
      <c r="K233" s="11" t="s">
        <v>828</v>
      </c>
      <c r="L233" s="11"/>
      <c r="M233" s="11"/>
      <c r="N233" s="11"/>
      <c r="O233" s="8"/>
      <c r="P233" s="8"/>
      <c r="Q233" s="8"/>
      <c r="R233" s="8"/>
      <c r="S233" s="8"/>
      <c r="T233" s="8"/>
    </row>
    <row r="234" customFormat="false" ht="46.25" hidden="false" customHeight="false" outlineLevel="0" collapsed="false">
      <c r="A234" s="7" t="s">
        <v>829</v>
      </c>
      <c r="B234" s="7" t="s">
        <v>830</v>
      </c>
      <c r="C234" s="7" t="s">
        <v>830</v>
      </c>
      <c r="D234" s="7" t="s">
        <v>831</v>
      </c>
      <c r="E234" s="7" t="s">
        <v>832</v>
      </c>
      <c r="F234" s="7"/>
      <c r="G234" s="7" t="s">
        <v>125</v>
      </c>
      <c r="H234" s="7"/>
      <c r="I234" s="7"/>
      <c r="J234" s="7" t="s">
        <v>67</v>
      </c>
      <c r="K234" s="7" t="s">
        <v>833</v>
      </c>
      <c r="L234" s="7"/>
      <c r="M234" s="7"/>
      <c r="N234" s="7"/>
      <c r="O234" s="8"/>
      <c r="P234" s="8"/>
      <c r="Q234" s="8"/>
      <c r="R234" s="8"/>
      <c r="S234" s="8"/>
      <c r="T234" s="8"/>
    </row>
    <row r="235" customFormat="false" ht="35.05" hidden="false" customHeight="false" outlineLevel="0" collapsed="false">
      <c r="A235" s="11" t="s">
        <v>834</v>
      </c>
      <c r="B235" s="11" t="s">
        <v>835</v>
      </c>
      <c r="C235" s="11" t="s">
        <v>836</v>
      </c>
      <c r="D235" s="11" t="s">
        <v>837</v>
      </c>
      <c r="E235" s="11" t="s">
        <v>838</v>
      </c>
      <c r="F235" s="11" t="n">
        <v>1</v>
      </c>
      <c r="G235" s="12" t="s">
        <v>59</v>
      </c>
      <c r="H235" s="11" t="s">
        <v>60</v>
      </c>
      <c r="I235" s="11" t="s">
        <v>61</v>
      </c>
      <c r="J235" s="11" t="s">
        <v>62</v>
      </c>
      <c r="K235" s="11" t="s">
        <v>839</v>
      </c>
      <c r="L235" s="11"/>
      <c r="M235" s="11"/>
      <c r="N235" s="11"/>
      <c r="O235" s="8"/>
      <c r="P235" s="8"/>
      <c r="Q235" s="8"/>
      <c r="R235" s="8"/>
      <c r="S235" s="8"/>
      <c r="T235" s="8"/>
    </row>
    <row r="236" customFormat="false" ht="35.05" hidden="false" customHeight="false" outlineLevel="0" collapsed="false">
      <c r="A236" s="11" t="s">
        <v>840</v>
      </c>
      <c r="B236" s="11" t="s">
        <v>841</v>
      </c>
      <c r="C236" s="11" t="s">
        <v>842</v>
      </c>
      <c r="D236" s="11" t="s">
        <v>843</v>
      </c>
      <c r="E236" s="11" t="s">
        <v>844</v>
      </c>
      <c r="F236" s="11" t="n">
        <v>1</v>
      </c>
      <c r="G236" s="12" t="s">
        <v>59</v>
      </c>
      <c r="H236" s="11" t="s">
        <v>60</v>
      </c>
      <c r="I236" s="11" t="s">
        <v>61</v>
      </c>
      <c r="J236" s="11" t="s">
        <v>62</v>
      </c>
      <c r="K236" s="11" t="s">
        <v>845</v>
      </c>
      <c r="L236" s="11"/>
      <c r="M236" s="11"/>
      <c r="N236" s="11"/>
      <c r="O236" s="8"/>
      <c r="P236" s="8"/>
      <c r="Q236" s="8"/>
      <c r="R236" s="8"/>
      <c r="S236" s="8"/>
      <c r="T236" s="8"/>
    </row>
    <row r="237" customFormat="false" ht="35.05" hidden="false" customHeight="false" outlineLevel="0" collapsed="false">
      <c r="A237" s="11" t="s">
        <v>846</v>
      </c>
      <c r="B237" s="11" t="s">
        <v>847</v>
      </c>
      <c r="C237" s="11" t="s">
        <v>842</v>
      </c>
      <c r="D237" s="11" t="s">
        <v>843</v>
      </c>
      <c r="E237" s="11" t="s">
        <v>844</v>
      </c>
      <c r="F237" s="11" t="n">
        <v>1</v>
      </c>
      <c r="G237" s="12" t="s">
        <v>59</v>
      </c>
      <c r="H237" s="11" t="s">
        <v>60</v>
      </c>
      <c r="I237" s="11" t="s">
        <v>61</v>
      </c>
      <c r="J237" s="11" t="s">
        <v>62</v>
      </c>
      <c r="K237" s="11" t="s">
        <v>848</v>
      </c>
      <c r="L237" s="11"/>
      <c r="M237" s="11"/>
      <c r="N237" s="11"/>
      <c r="O237" s="8"/>
      <c r="P237" s="8"/>
      <c r="Q237" s="8"/>
      <c r="R237" s="8"/>
      <c r="S237" s="8"/>
      <c r="T237" s="8"/>
    </row>
    <row r="238" customFormat="false" ht="46.25" hidden="false" customHeight="false" outlineLevel="0" collapsed="false">
      <c r="A238" s="11" t="s">
        <v>849</v>
      </c>
      <c r="B238" s="11" t="s">
        <v>850</v>
      </c>
      <c r="C238" s="11" t="s">
        <v>851</v>
      </c>
      <c r="D238" s="11" t="s">
        <v>852</v>
      </c>
      <c r="E238" s="11" t="s">
        <v>853</v>
      </c>
      <c r="F238" s="11" t="n">
        <v>1</v>
      </c>
      <c r="G238" s="12" t="s">
        <v>59</v>
      </c>
      <c r="H238" s="11" t="s">
        <v>60</v>
      </c>
      <c r="I238" s="11" t="s">
        <v>61</v>
      </c>
      <c r="J238" s="11" t="s">
        <v>62</v>
      </c>
      <c r="K238" s="11" t="s">
        <v>854</v>
      </c>
      <c r="L238" s="11"/>
      <c r="M238" s="11"/>
      <c r="N238" s="11"/>
      <c r="O238" s="8"/>
      <c r="P238" s="8"/>
      <c r="Q238" s="8"/>
      <c r="R238" s="8"/>
      <c r="S238" s="8"/>
      <c r="T238" s="8"/>
    </row>
    <row r="239" customFormat="false" ht="23.85" hidden="false" customHeight="false" outlineLevel="0" collapsed="false">
      <c r="A239" s="11" t="s">
        <v>855</v>
      </c>
      <c r="B239" s="11" t="s">
        <v>856</v>
      </c>
      <c r="C239" s="11" t="s">
        <v>851</v>
      </c>
      <c r="D239" s="11" t="s">
        <v>852</v>
      </c>
      <c r="E239" s="11" t="s">
        <v>853</v>
      </c>
      <c r="F239" s="11" t="n">
        <v>1</v>
      </c>
      <c r="G239" s="12" t="s">
        <v>59</v>
      </c>
      <c r="H239" s="11" t="s">
        <v>60</v>
      </c>
      <c r="I239" s="11" t="s">
        <v>61</v>
      </c>
      <c r="J239" s="11" t="s">
        <v>62</v>
      </c>
      <c r="K239" s="11" t="s">
        <v>857</v>
      </c>
      <c r="L239" s="11"/>
      <c r="M239" s="11"/>
      <c r="N239" s="11"/>
      <c r="O239" s="8"/>
      <c r="P239" s="8"/>
      <c r="Q239" s="8"/>
      <c r="R239" s="8"/>
      <c r="S239" s="8"/>
      <c r="T239" s="8"/>
    </row>
    <row r="240" customFormat="false" ht="23.85" hidden="false" customHeight="false" outlineLevel="0" collapsed="false">
      <c r="A240" s="11" t="s">
        <v>858</v>
      </c>
      <c r="B240" s="11" t="s">
        <v>859</v>
      </c>
      <c r="C240" s="11" t="s">
        <v>851</v>
      </c>
      <c r="D240" s="11" t="s">
        <v>852</v>
      </c>
      <c r="E240" s="11" t="s">
        <v>853</v>
      </c>
      <c r="F240" s="11" t="n">
        <v>1</v>
      </c>
      <c r="G240" s="12" t="s">
        <v>59</v>
      </c>
      <c r="H240" s="11" t="s">
        <v>60</v>
      </c>
      <c r="I240" s="11" t="s">
        <v>61</v>
      </c>
      <c r="J240" s="11" t="s">
        <v>62</v>
      </c>
      <c r="K240" s="11" t="s">
        <v>860</v>
      </c>
      <c r="L240" s="11"/>
      <c r="M240" s="11"/>
      <c r="N240" s="11"/>
      <c r="O240" s="8"/>
      <c r="P240" s="8"/>
      <c r="Q240" s="8"/>
      <c r="R240" s="8"/>
      <c r="S240" s="8"/>
      <c r="T240" s="8"/>
    </row>
    <row r="241" customFormat="false" ht="23.85" hidden="false" customHeight="false" outlineLevel="0" collapsed="false">
      <c r="A241" s="11" t="s">
        <v>861</v>
      </c>
      <c r="B241" s="11" t="s">
        <v>862</v>
      </c>
      <c r="C241" s="11" t="s">
        <v>851</v>
      </c>
      <c r="D241" s="11" t="s">
        <v>852</v>
      </c>
      <c r="E241" s="11" t="s">
        <v>853</v>
      </c>
      <c r="F241" s="11" t="n">
        <v>1</v>
      </c>
      <c r="G241" s="12" t="s">
        <v>59</v>
      </c>
      <c r="H241" s="11" t="s">
        <v>60</v>
      </c>
      <c r="I241" s="11" t="s">
        <v>61</v>
      </c>
      <c r="J241" s="11" t="s">
        <v>62</v>
      </c>
      <c r="K241" s="11" t="s">
        <v>863</v>
      </c>
      <c r="L241" s="11"/>
      <c r="M241" s="11"/>
      <c r="N241" s="11"/>
      <c r="O241" s="8"/>
      <c r="P241" s="8"/>
      <c r="Q241" s="8"/>
      <c r="R241" s="8"/>
      <c r="S241" s="8"/>
      <c r="T241" s="8"/>
    </row>
    <row r="242" customFormat="false" ht="46.25" hidden="false" customHeight="false" outlineLevel="0" collapsed="false">
      <c r="A242" s="11" t="s">
        <v>864</v>
      </c>
      <c r="B242" s="11" t="s">
        <v>865</v>
      </c>
      <c r="C242" s="11" t="s">
        <v>866</v>
      </c>
      <c r="D242" s="11" t="s">
        <v>867</v>
      </c>
      <c r="E242" s="11" t="s">
        <v>868</v>
      </c>
      <c r="F242" s="11" t="n">
        <v>1</v>
      </c>
      <c r="G242" s="12" t="s">
        <v>59</v>
      </c>
      <c r="H242" s="11" t="s">
        <v>60</v>
      </c>
      <c r="I242" s="11" t="s">
        <v>61</v>
      </c>
      <c r="J242" s="11" t="s">
        <v>62</v>
      </c>
      <c r="K242" s="11" t="s">
        <v>869</v>
      </c>
      <c r="L242" s="11"/>
      <c r="M242" s="11"/>
      <c r="N242" s="11"/>
      <c r="O242" s="8"/>
      <c r="P242" s="8"/>
      <c r="Q242" s="8"/>
      <c r="R242" s="8"/>
      <c r="S242" s="8"/>
      <c r="T242" s="8"/>
    </row>
    <row r="243" customFormat="false" ht="46.25" hidden="false" customHeight="false" outlineLevel="0" collapsed="false">
      <c r="A243" s="11" t="s">
        <v>870</v>
      </c>
      <c r="B243" s="11" t="s">
        <v>871</v>
      </c>
      <c r="C243" s="11" t="s">
        <v>872</v>
      </c>
      <c r="D243" s="11" t="s">
        <v>873</v>
      </c>
      <c r="E243" s="11" t="s">
        <v>874</v>
      </c>
      <c r="F243" s="11" t="n">
        <v>1</v>
      </c>
      <c r="G243" s="12" t="s">
        <v>59</v>
      </c>
      <c r="H243" s="11" t="s">
        <v>60</v>
      </c>
      <c r="I243" s="11" t="s">
        <v>61</v>
      </c>
      <c r="J243" s="11" t="s">
        <v>62</v>
      </c>
      <c r="K243" s="11" t="s">
        <v>875</v>
      </c>
      <c r="L243" s="11"/>
      <c r="M243" s="11"/>
      <c r="N243" s="11"/>
      <c r="O243" s="8"/>
      <c r="P243" s="8"/>
      <c r="Q243" s="8"/>
      <c r="R243" s="8"/>
      <c r="S243" s="8"/>
      <c r="T243" s="8"/>
    </row>
    <row r="244" customFormat="false" ht="35.05" hidden="false" customHeight="false" outlineLevel="0" collapsed="false">
      <c r="A244" s="11" t="s">
        <v>876</v>
      </c>
      <c r="B244" s="11" t="s">
        <v>877</v>
      </c>
      <c r="C244" s="11" t="s">
        <v>872</v>
      </c>
      <c r="D244" s="11" t="s">
        <v>873</v>
      </c>
      <c r="E244" s="11" t="s">
        <v>874</v>
      </c>
      <c r="F244" s="11" t="n">
        <v>1</v>
      </c>
      <c r="G244" s="12" t="s">
        <v>59</v>
      </c>
      <c r="H244" s="11" t="s">
        <v>60</v>
      </c>
      <c r="I244" s="11" t="s">
        <v>61</v>
      </c>
      <c r="J244" s="11" t="s">
        <v>62</v>
      </c>
      <c r="K244" s="11" t="s">
        <v>878</v>
      </c>
      <c r="L244" s="11"/>
      <c r="M244" s="11"/>
      <c r="N244" s="11"/>
      <c r="O244" s="8"/>
      <c r="P244" s="8"/>
      <c r="Q244" s="8"/>
      <c r="R244" s="8"/>
      <c r="S244" s="8"/>
      <c r="T244" s="8"/>
    </row>
    <row r="245" customFormat="false" ht="35.05" hidden="false" customHeight="false" outlineLevel="0" collapsed="false">
      <c r="A245" s="11" t="s">
        <v>879</v>
      </c>
      <c r="B245" s="11" t="s">
        <v>880</v>
      </c>
      <c r="C245" s="11" t="s">
        <v>872</v>
      </c>
      <c r="D245" s="11" t="s">
        <v>873</v>
      </c>
      <c r="E245" s="11" t="s">
        <v>874</v>
      </c>
      <c r="F245" s="11" t="n">
        <v>1</v>
      </c>
      <c r="G245" s="12" t="s">
        <v>59</v>
      </c>
      <c r="H245" s="11" t="s">
        <v>60</v>
      </c>
      <c r="I245" s="11" t="s">
        <v>61</v>
      </c>
      <c r="J245" s="11" t="s">
        <v>62</v>
      </c>
      <c r="K245" s="11" t="s">
        <v>881</v>
      </c>
      <c r="L245" s="11"/>
      <c r="M245" s="11"/>
      <c r="N245" s="11"/>
      <c r="O245" s="8"/>
      <c r="P245" s="8"/>
      <c r="Q245" s="8"/>
      <c r="R245" s="8"/>
      <c r="S245" s="8"/>
      <c r="T245" s="8"/>
    </row>
    <row r="246" customFormat="false" ht="35.05" hidden="false" customHeight="false" outlineLevel="0" collapsed="false">
      <c r="A246" s="11" t="s">
        <v>882</v>
      </c>
      <c r="B246" s="11" t="s">
        <v>883</v>
      </c>
      <c r="C246" s="11" t="s">
        <v>884</v>
      </c>
      <c r="D246" s="11" t="s">
        <v>885</v>
      </c>
      <c r="E246" s="11" t="s">
        <v>886</v>
      </c>
      <c r="F246" s="11" t="n">
        <v>1</v>
      </c>
      <c r="G246" s="12" t="s">
        <v>59</v>
      </c>
      <c r="H246" s="11" t="s">
        <v>60</v>
      </c>
      <c r="I246" s="11" t="s">
        <v>61</v>
      </c>
      <c r="J246" s="11" t="s">
        <v>62</v>
      </c>
      <c r="K246" s="11" t="s">
        <v>887</v>
      </c>
      <c r="L246" s="11"/>
      <c r="M246" s="11"/>
      <c r="N246" s="11"/>
      <c r="O246" s="8"/>
      <c r="P246" s="8"/>
      <c r="Q246" s="8"/>
      <c r="R246" s="8"/>
      <c r="S246" s="8"/>
      <c r="T246" s="8"/>
    </row>
    <row r="247" customFormat="false" ht="35.05" hidden="false" customHeight="false" outlineLevel="0" collapsed="false">
      <c r="A247" s="11" t="s">
        <v>888</v>
      </c>
      <c r="B247" s="11" t="s">
        <v>889</v>
      </c>
      <c r="C247" s="11" t="s">
        <v>890</v>
      </c>
      <c r="D247" s="11" t="s">
        <v>891</v>
      </c>
      <c r="E247" s="11" t="s">
        <v>892</v>
      </c>
      <c r="F247" s="11" t="n">
        <v>1</v>
      </c>
      <c r="G247" s="12" t="s">
        <v>59</v>
      </c>
      <c r="H247" s="11" t="s">
        <v>60</v>
      </c>
      <c r="I247" s="11" t="s">
        <v>61</v>
      </c>
      <c r="J247" s="11" t="s">
        <v>62</v>
      </c>
      <c r="K247" s="11" t="s">
        <v>893</v>
      </c>
      <c r="L247" s="11"/>
      <c r="M247" s="11"/>
      <c r="N247" s="11"/>
      <c r="O247" s="8"/>
      <c r="P247" s="8"/>
      <c r="Q247" s="8"/>
      <c r="R247" s="8"/>
      <c r="S247" s="8"/>
      <c r="T247" s="8"/>
    </row>
    <row r="248" customFormat="false" ht="57.45" hidden="false" customHeight="false" outlineLevel="0" collapsed="false">
      <c r="A248" s="7" t="s">
        <v>894</v>
      </c>
      <c r="B248" s="7" t="s">
        <v>890</v>
      </c>
      <c r="C248" s="7" t="s">
        <v>890</v>
      </c>
      <c r="D248" s="7" t="s">
        <v>891</v>
      </c>
      <c r="E248" s="7" t="s">
        <v>892</v>
      </c>
      <c r="F248" s="7"/>
      <c r="G248" s="7" t="s">
        <v>65</v>
      </c>
      <c r="H248" s="7" t="s">
        <v>118</v>
      </c>
      <c r="I248" s="7" t="s">
        <v>61</v>
      </c>
      <c r="J248" s="7" t="s">
        <v>67</v>
      </c>
      <c r="K248" s="7" t="s">
        <v>895</v>
      </c>
      <c r="L248" s="7" t="s">
        <v>893</v>
      </c>
      <c r="M248" s="7"/>
      <c r="N248" s="7"/>
      <c r="O248" s="8"/>
      <c r="P248" s="8"/>
      <c r="Q248" s="8"/>
      <c r="R248" s="8"/>
      <c r="S248" s="8"/>
      <c r="T248" s="8"/>
    </row>
    <row r="249" customFormat="false" ht="35.05" hidden="false" customHeight="false" outlineLevel="0" collapsed="false">
      <c r="A249" s="11" t="s">
        <v>896</v>
      </c>
      <c r="B249" s="11" t="s">
        <v>897</v>
      </c>
      <c r="C249" s="11" t="s">
        <v>890</v>
      </c>
      <c r="D249" s="11" t="s">
        <v>891</v>
      </c>
      <c r="E249" s="11" t="s">
        <v>892</v>
      </c>
      <c r="F249" s="11" t="n">
        <v>1</v>
      </c>
      <c r="G249" s="12" t="s">
        <v>59</v>
      </c>
      <c r="H249" s="11" t="s">
        <v>60</v>
      </c>
      <c r="I249" s="11" t="s">
        <v>61</v>
      </c>
      <c r="J249" s="11" t="s">
        <v>62</v>
      </c>
      <c r="K249" s="11" t="s">
        <v>898</v>
      </c>
      <c r="L249" s="11"/>
      <c r="M249" s="11"/>
      <c r="N249" s="11"/>
      <c r="O249" s="8"/>
      <c r="P249" s="8"/>
      <c r="Q249" s="8"/>
      <c r="R249" s="8"/>
      <c r="S249" s="8"/>
      <c r="T249" s="8"/>
    </row>
    <row r="250" customFormat="false" ht="15" hidden="false" customHeight="false" outlineLevel="0" collapsed="false">
      <c r="A250" s="11" t="s">
        <v>899</v>
      </c>
      <c r="B250" s="11" t="s">
        <v>900</v>
      </c>
      <c r="C250" s="11" t="s">
        <v>890</v>
      </c>
      <c r="D250" s="11" t="s">
        <v>891</v>
      </c>
      <c r="E250" s="11" t="s">
        <v>892</v>
      </c>
      <c r="F250" s="11" t="n">
        <v>1</v>
      </c>
      <c r="G250" s="12" t="s">
        <v>59</v>
      </c>
      <c r="H250" s="11" t="s">
        <v>60</v>
      </c>
      <c r="I250" s="11" t="s">
        <v>61</v>
      </c>
      <c r="J250" s="11" t="s">
        <v>62</v>
      </c>
      <c r="K250" s="11" t="s">
        <v>901</v>
      </c>
      <c r="L250" s="11"/>
      <c r="M250" s="11"/>
      <c r="N250" s="11"/>
      <c r="O250" s="8"/>
      <c r="P250" s="8"/>
      <c r="Q250" s="8"/>
      <c r="R250" s="8"/>
      <c r="S250" s="8"/>
      <c r="T250" s="8"/>
    </row>
    <row r="251" customFormat="false" ht="113.4" hidden="false" customHeight="false" outlineLevel="0" collapsed="false">
      <c r="A251" s="7" t="s">
        <v>902</v>
      </c>
      <c r="B251" s="7" t="s">
        <v>903</v>
      </c>
      <c r="C251" s="7" t="s">
        <v>890</v>
      </c>
      <c r="D251" s="7" t="s">
        <v>891</v>
      </c>
      <c r="E251" s="7" t="s">
        <v>892</v>
      </c>
      <c r="F251" s="7" t="n">
        <v>2</v>
      </c>
      <c r="G251" s="7" t="s">
        <v>83</v>
      </c>
      <c r="H251" s="7" t="s">
        <v>60</v>
      </c>
      <c r="I251" s="7" t="s">
        <v>61</v>
      </c>
      <c r="J251" s="7" t="s">
        <v>62</v>
      </c>
      <c r="K251" s="7" t="s">
        <v>904</v>
      </c>
      <c r="L251" s="7" t="s">
        <v>901</v>
      </c>
      <c r="M251" s="7"/>
      <c r="N251" s="7" t="s">
        <v>905</v>
      </c>
      <c r="O251" s="8"/>
      <c r="P251" s="8"/>
      <c r="Q251" s="8"/>
      <c r="R251" s="8"/>
      <c r="S251" s="8"/>
      <c r="T251" s="8"/>
    </row>
    <row r="252" customFormat="false" ht="91" hidden="false" customHeight="false" outlineLevel="0" collapsed="false">
      <c r="A252" s="7" t="s">
        <v>906</v>
      </c>
      <c r="B252" s="7" t="s">
        <v>907</v>
      </c>
      <c r="C252" s="7" t="s">
        <v>890</v>
      </c>
      <c r="D252" s="7" t="s">
        <v>891</v>
      </c>
      <c r="E252" s="7" t="s">
        <v>892</v>
      </c>
      <c r="F252" s="7" t="n">
        <v>2</v>
      </c>
      <c r="G252" s="7" t="s">
        <v>83</v>
      </c>
      <c r="H252" s="7" t="s">
        <v>60</v>
      </c>
      <c r="I252" s="7" t="s">
        <v>61</v>
      </c>
      <c r="J252" s="7" t="s">
        <v>62</v>
      </c>
      <c r="K252" s="7" t="s">
        <v>908</v>
      </c>
      <c r="L252" s="7" t="s">
        <v>901</v>
      </c>
      <c r="M252" s="7"/>
      <c r="N252" s="7" t="s">
        <v>905</v>
      </c>
      <c r="O252" s="8"/>
      <c r="P252" s="8"/>
      <c r="Q252" s="8"/>
      <c r="R252" s="8"/>
      <c r="S252" s="8"/>
      <c r="T252" s="8"/>
    </row>
    <row r="253" customFormat="false" ht="23.85" hidden="false" customHeight="false" outlineLevel="0" collapsed="false">
      <c r="A253" s="11" t="s">
        <v>909</v>
      </c>
      <c r="B253" s="11" t="s">
        <v>910</v>
      </c>
      <c r="C253" s="11" t="s">
        <v>890</v>
      </c>
      <c r="D253" s="11" t="s">
        <v>891</v>
      </c>
      <c r="E253" s="11" t="s">
        <v>892</v>
      </c>
      <c r="F253" s="11" t="n">
        <v>1</v>
      </c>
      <c r="G253" s="12" t="s">
        <v>59</v>
      </c>
      <c r="H253" s="11" t="s">
        <v>60</v>
      </c>
      <c r="I253" s="11" t="s">
        <v>61</v>
      </c>
      <c r="J253" s="11" t="s">
        <v>62</v>
      </c>
      <c r="K253" s="11" t="s">
        <v>911</v>
      </c>
      <c r="L253" s="11"/>
      <c r="M253" s="11"/>
      <c r="N253" s="11"/>
      <c r="O253" s="8"/>
      <c r="P253" s="8"/>
      <c r="Q253" s="8"/>
      <c r="R253" s="8"/>
      <c r="S253" s="8"/>
      <c r="T253" s="8"/>
    </row>
    <row r="254" customFormat="false" ht="35.05" hidden="false" customHeight="false" outlineLevel="0" collapsed="false">
      <c r="A254" s="7" t="s">
        <v>912</v>
      </c>
      <c r="B254" s="7" t="s">
        <v>913</v>
      </c>
      <c r="C254" s="7" t="s">
        <v>890</v>
      </c>
      <c r="D254" s="7" t="s">
        <v>891</v>
      </c>
      <c r="E254" s="7" t="s">
        <v>892</v>
      </c>
      <c r="F254" s="7" t="n">
        <v>2</v>
      </c>
      <c r="G254" s="7" t="s">
        <v>83</v>
      </c>
      <c r="H254" s="7" t="s">
        <v>84</v>
      </c>
      <c r="I254" s="7" t="s">
        <v>61</v>
      </c>
      <c r="J254" s="7" t="s">
        <v>62</v>
      </c>
      <c r="K254" s="7" t="s">
        <v>914</v>
      </c>
      <c r="L254" s="7" t="s">
        <v>911</v>
      </c>
      <c r="M254" s="7"/>
      <c r="N254" s="7"/>
      <c r="O254" s="8"/>
      <c r="P254" s="8"/>
      <c r="Q254" s="8"/>
      <c r="R254" s="8"/>
      <c r="S254" s="8"/>
      <c r="T254" s="8"/>
    </row>
    <row r="255" customFormat="false" ht="35.05" hidden="false" customHeight="false" outlineLevel="0" collapsed="false">
      <c r="A255" s="7" t="s">
        <v>915</v>
      </c>
      <c r="B255" s="7" t="s">
        <v>916</v>
      </c>
      <c r="C255" s="7" t="s">
        <v>890</v>
      </c>
      <c r="D255" s="7" t="s">
        <v>891</v>
      </c>
      <c r="E255" s="7" t="s">
        <v>892</v>
      </c>
      <c r="F255" s="7" t="n">
        <v>2</v>
      </c>
      <c r="G255" s="7" t="s">
        <v>83</v>
      </c>
      <c r="H255" s="7" t="s">
        <v>84</v>
      </c>
      <c r="I255" s="7" t="s">
        <v>61</v>
      </c>
      <c r="J255" s="7" t="s">
        <v>62</v>
      </c>
      <c r="K255" s="7" t="s">
        <v>917</v>
      </c>
      <c r="L255" s="7" t="s">
        <v>911</v>
      </c>
      <c r="M255" s="7"/>
      <c r="N255" s="7"/>
      <c r="O255" s="8"/>
      <c r="P255" s="8"/>
      <c r="Q255" s="8"/>
      <c r="R255" s="8"/>
      <c r="S255" s="8"/>
      <c r="T255" s="8"/>
    </row>
    <row r="256" customFormat="false" ht="35.05" hidden="false" customHeight="false" outlineLevel="0" collapsed="false">
      <c r="A256" s="7" t="s">
        <v>918</v>
      </c>
      <c r="B256" s="7" t="s">
        <v>919</v>
      </c>
      <c r="C256" s="7" t="s">
        <v>890</v>
      </c>
      <c r="D256" s="7" t="s">
        <v>891</v>
      </c>
      <c r="E256" s="7" t="s">
        <v>892</v>
      </c>
      <c r="F256" s="7" t="n">
        <v>2</v>
      </c>
      <c r="G256" s="7" t="s">
        <v>83</v>
      </c>
      <c r="H256" s="7" t="s">
        <v>84</v>
      </c>
      <c r="I256" s="7" t="s">
        <v>61</v>
      </c>
      <c r="J256" s="7" t="s">
        <v>62</v>
      </c>
      <c r="K256" s="7" t="s">
        <v>920</v>
      </c>
      <c r="L256" s="7" t="s">
        <v>911</v>
      </c>
      <c r="M256" s="7"/>
      <c r="N256" s="7"/>
      <c r="O256" s="8"/>
      <c r="P256" s="8"/>
      <c r="Q256" s="8"/>
      <c r="R256" s="8"/>
      <c r="S256" s="8"/>
      <c r="T256" s="8"/>
    </row>
    <row r="257" customFormat="false" ht="35.05" hidden="false" customHeight="false" outlineLevel="0" collapsed="false">
      <c r="A257" s="7" t="s">
        <v>921</v>
      </c>
      <c r="B257" s="7" t="s">
        <v>890</v>
      </c>
      <c r="C257" s="7" t="s">
        <v>890</v>
      </c>
      <c r="D257" s="7" t="s">
        <v>891</v>
      </c>
      <c r="E257" s="7" t="s">
        <v>892</v>
      </c>
      <c r="F257" s="7"/>
      <c r="G257" s="7" t="s">
        <v>65</v>
      </c>
      <c r="H257" s="7" t="s">
        <v>118</v>
      </c>
      <c r="I257" s="7"/>
      <c r="J257" s="7" t="s">
        <v>67</v>
      </c>
      <c r="K257" s="7" t="s">
        <v>922</v>
      </c>
      <c r="L257" s="7" t="s">
        <v>911</v>
      </c>
      <c r="M257" s="7" t="s">
        <v>923</v>
      </c>
      <c r="N257" s="7"/>
      <c r="O257" s="8"/>
      <c r="P257" s="8"/>
      <c r="Q257" s="8"/>
      <c r="R257" s="8"/>
      <c r="S257" s="8"/>
      <c r="T257" s="8"/>
    </row>
    <row r="258" customFormat="false" ht="35.05" hidden="false" customHeight="false" outlineLevel="0" collapsed="false">
      <c r="A258" s="11" t="s">
        <v>924</v>
      </c>
      <c r="B258" s="11" t="s">
        <v>925</v>
      </c>
      <c r="C258" s="11" t="s">
        <v>926</v>
      </c>
      <c r="D258" s="11" t="s">
        <v>927</v>
      </c>
      <c r="E258" s="11" t="s">
        <v>928</v>
      </c>
      <c r="F258" s="11" t="n">
        <v>1</v>
      </c>
      <c r="G258" s="12" t="s">
        <v>59</v>
      </c>
      <c r="H258" s="11" t="s">
        <v>60</v>
      </c>
      <c r="I258" s="11" t="s">
        <v>61</v>
      </c>
      <c r="J258" s="11" t="s">
        <v>62</v>
      </c>
      <c r="K258" s="11" t="s">
        <v>929</v>
      </c>
      <c r="L258" s="11"/>
      <c r="M258" s="11"/>
      <c r="N258" s="11"/>
      <c r="O258" s="8"/>
      <c r="P258" s="8"/>
      <c r="Q258" s="8"/>
      <c r="R258" s="8"/>
      <c r="S258" s="8"/>
      <c r="T258" s="8"/>
    </row>
    <row r="259" customFormat="false" ht="46.25" hidden="false" customHeight="false" outlineLevel="0" collapsed="false">
      <c r="A259" s="11" t="s">
        <v>930</v>
      </c>
      <c r="B259" s="11" t="s">
        <v>931</v>
      </c>
      <c r="C259" s="11" t="s">
        <v>926</v>
      </c>
      <c r="D259" s="11" t="s">
        <v>927</v>
      </c>
      <c r="E259" s="11" t="s">
        <v>928</v>
      </c>
      <c r="F259" s="11" t="n">
        <v>1</v>
      </c>
      <c r="G259" s="12" t="s">
        <v>59</v>
      </c>
      <c r="H259" s="11" t="s">
        <v>60</v>
      </c>
      <c r="I259" s="11" t="s">
        <v>61</v>
      </c>
      <c r="J259" s="11" t="s">
        <v>62</v>
      </c>
      <c r="K259" s="11" t="s">
        <v>932</v>
      </c>
      <c r="L259" s="11"/>
      <c r="M259" s="11"/>
      <c r="N259" s="11"/>
      <c r="O259" s="8"/>
      <c r="P259" s="8"/>
      <c r="Q259" s="8"/>
      <c r="R259" s="8"/>
      <c r="S259" s="8"/>
      <c r="T259" s="8"/>
    </row>
    <row r="260" customFormat="false" ht="23.85" hidden="false" customHeight="false" outlineLevel="0" collapsed="false">
      <c r="A260" s="11" t="s">
        <v>933</v>
      </c>
      <c r="B260" s="11" t="s">
        <v>934</v>
      </c>
      <c r="C260" s="11" t="s">
        <v>935</v>
      </c>
      <c r="D260" s="11" t="s">
        <v>936</v>
      </c>
      <c r="E260" s="11" t="s">
        <v>937</v>
      </c>
      <c r="F260" s="11" t="n">
        <v>1</v>
      </c>
      <c r="G260" s="12" t="s">
        <v>59</v>
      </c>
      <c r="H260" s="11" t="s">
        <v>60</v>
      </c>
      <c r="I260" s="11" t="s">
        <v>61</v>
      </c>
      <c r="J260" s="11" t="s">
        <v>62</v>
      </c>
      <c r="K260" s="11" t="s">
        <v>938</v>
      </c>
      <c r="L260" s="11"/>
      <c r="M260" s="11"/>
      <c r="N260" s="11" t="s">
        <v>939</v>
      </c>
      <c r="O260" s="8"/>
      <c r="P260" s="8"/>
      <c r="Q260" s="8"/>
      <c r="R260" s="8"/>
      <c r="S260" s="8"/>
      <c r="T260" s="8"/>
    </row>
    <row r="261" customFormat="false" ht="46.25" hidden="false" customHeight="false" outlineLevel="0" collapsed="false">
      <c r="A261" s="7" t="s">
        <v>940</v>
      </c>
      <c r="B261" s="7" t="s">
        <v>941</v>
      </c>
      <c r="C261" s="7" t="s">
        <v>935</v>
      </c>
      <c r="D261" s="7" t="s">
        <v>936</v>
      </c>
      <c r="E261" s="7" t="s">
        <v>937</v>
      </c>
      <c r="F261" s="7" t="n">
        <v>2</v>
      </c>
      <c r="G261" s="7" t="s">
        <v>83</v>
      </c>
      <c r="H261" s="7" t="s">
        <v>84</v>
      </c>
      <c r="I261" s="7" t="s">
        <v>61</v>
      </c>
      <c r="J261" s="7" t="s">
        <v>62</v>
      </c>
      <c r="K261" s="7" t="s">
        <v>942</v>
      </c>
      <c r="L261" s="7" t="s">
        <v>938</v>
      </c>
      <c r="M261" s="7"/>
      <c r="N261" s="7"/>
      <c r="O261" s="8"/>
      <c r="P261" s="8"/>
      <c r="Q261" s="8"/>
      <c r="R261" s="8"/>
      <c r="S261" s="8"/>
      <c r="T261" s="8"/>
    </row>
    <row r="262" customFormat="false" ht="35.05" hidden="false" customHeight="false" outlineLevel="0" collapsed="false">
      <c r="A262" s="7" t="s">
        <v>943</v>
      </c>
      <c r="B262" s="7" t="s">
        <v>944</v>
      </c>
      <c r="C262" s="7" t="s">
        <v>935</v>
      </c>
      <c r="D262" s="7" t="s">
        <v>936</v>
      </c>
      <c r="E262" s="7" t="s">
        <v>937</v>
      </c>
      <c r="F262" s="7" t="n">
        <v>3</v>
      </c>
      <c r="G262" s="7" t="s">
        <v>83</v>
      </c>
      <c r="H262" s="7" t="s">
        <v>84</v>
      </c>
      <c r="I262" s="7" t="s">
        <v>61</v>
      </c>
      <c r="J262" s="7" t="s">
        <v>62</v>
      </c>
      <c r="K262" s="7" t="s">
        <v>945</v>
      </c>
      <c r="L262" s="7" t="s">
        <v>942</v>
      </c>
      <c r="M262" s="7"/>
      <c r="N262" s="7"/>
      <c r="O262" s="8"/>
      <c r="P262" s="8"/>
      <c r="Q262" s="8"/>
      <c r="R262" s="8"/>
      <c r="S262" s="8"/>
      <c r="T262" s="8"/>
    </row>
    <row r="263" customFormat="false" ht="35.05" hidden="false" customHeight="false" outlineLevel="0" collapsed="false">
      <c r="A263" s="7" t="s">
        <v>946</v>
      </c>
      <c r="B263" s="7" t="s">
        <v>947</v>
      </c>
      <c r="C263" s="7" t="s">
        <v>935</v>
      </c>
      <c r="D263" s="7" t="s">
        <v>936</v>
      </c>
      <c r="E263" s="7" t="s">
        <v>937</v>
      </c>
      <c r="F263" s="7" t="n">
        <v>3</v>
      </c>
      <c r="G263" s="7" t="s">
        <v>83</v>
      </c>
      <c r="H263" s="7" t="s">
        <v>84</v>
      </c>
      <c r="I263" s="7" t="s">
        <v>61</v>
      </c>
      <c r="J263" s="7" t="s">
        <v>62</v>
      </c>
      <c r="K263" s="7" t="s">
        <v>948</v>
      </c>
      <c r="L263" s="7" t="s">
        <v>942</v>
      </c>
      <c r="M263" s="7"/>
      <c r="N263" s="7"/>
      <c r="O263" s="8"/>
      <c r="P263" s="8"/>
      <c r="Q263" s="8"/>
      <c r="R263" s="8"/>
      <c r="S263" s="8"/>
      <c r="T263" s="8"/>
    </row>
    <row r="264" customFormat="false" ht="35.05" hidden="false" customHeight="false" outlineLevel="0" collapsed="false">
      <c r="A264" s="7" t="s">
        <v>949</v>
      </c>
      <c r="B264" s="7" t="s">
        <v>950</v>
      </c>
      <c r="C264" s="7" t="s">
        <v>935</v>
      </c>
      <c r="D264" s="7" t="s">
        <v>936</v>
      </c>
      <c r="E264" s="7" t="s">
        <v>937</v>
      </c>
      <c r="F264" s="7" t="n">
        <v>3</v>
      </c>
      <c r="G264" s="7" t="s">
        <v>83</v>
      </c>
      <c r="H264" s="7" t="s">
        <v>84</v>
      </c>
      <c r="I264" s="7" t="s">
        <v>61</v>
      </c>
      <c r="J264" s="7" t="s">
        <v>62</v>
      </c>
      <c r="K264" s="7" t="s">
        <v>951</v>
      </c>
      <c r="L264" s="7" t="s">
        <v>942</v>
      </c>
      <c r="M264" s="7"/>
      <c r="N264" s="7"/>
      <c r="O264" s="8"/>
      <c r="P264" s="8"/>
      <c r="Q264" s="8"/>
      <c r="R264" s="8"/>
      <c r="S264" s="8"/>
      <c r="T264" s="8"/>
    </row>
    <row r="265" customFormat="false" ht="35.05" hidden="false" customHeight="false" outlineLevel="0" collapsed="false">
      <c r="A265" s="7" t="s">
        <v>952</v>
      </c>
      <c r="B265" s="7" t="s">
        <v>953</v>
      </c>
      <c r="C265" s="7" t="s">
        <v>935</v>
      </c>
      <c r="D265" s="7" t="s">
        <v>936</v>
      </c>
      <c r="E265" s="7" t="s">
        <v>937</v>
      </c>
      <c r="F265" s="7" t="n">
        <v>3</v>
      </c>
      <c r="G265" s="7" t="s">
        <v>83</v>
      </c>
      <c r="H265" s="7" t="s">
        <v>84</v>
      </c>
      <c r="I265" s="7" t="s">
        <v>61</v>
      </c>
      <c r="J265" s="7" t="s">
        <v>62</v>
      </c>
      <c r="K265" s="7" t="s">
        <v>954</v>
      </c>
      <c r="L265" s="7" t="s">
        <v>942</v>
      </c>
      <c r="M265" s="7"/>
      <c r="N265" s="7"/>
      <c r="O265" s="8"/>
      <c r="P265" s="8"/>
      <c r="Q265" s="8"/>
      <c r="R265" s="8"/>
      <c r="S265" s="8"/>
      <c r="T265" s="8"/>
    </row>
    <row r="266" customFormat="false" ht="46.25" hidden="false" customHeight="false" outlineLevel="0" collapsed="false">
      <c r="A266" s="7" t="s">
        <v>955</v>
      </c>
      <c r="B266" s="7" t="s">
        <v>956</v>
      </c>
      <c r="C266" s="7" t="s">
        <v>935</v>
      </c>
      <c r="D266" s="7" t="s">
        <v>936</v>
      </c>
      <c r="E266" s="7" t="s">
        <v>937</v>
      </c>
      <c r="F266" s="7" t="n">
        <v>2</v>
      </c>
      <c r="G266" s="7" t="s">
        <v>83</v>
      </c>
      <c r="H266" s="7" t="s">
        <v>84</v>
      </c>
      <c r="I266" s="7" t="s">
        <v>61</v>
      </c>
      <c r="J266" s="7" t="s">
        <v>62</v>
      </c>
      <c r="K266" s="7" t="s">
        <v>957</v>
      </c>
      <c r="L266" s="7" t="s">
        <v>938</v>
      </c>
      <c r="M266" s="7"/>
      <c r="N266" s="7"/>
      <c r="O266" s="8"/>
      <c r="P266" s="8"/>
      <c r="Q266" s="8"/>
      <c r="R266" s="8"/>
      <c r="S266" s="8"/>
      <c r="T266" s="8"/>
    </row>
    <row r="267" customFormat="false" ht="35.05" hidden="false" customHeight="false" outlineLevel="0" collapsed="false">
      <c r="A267" s="7" t="s">
        <v>958</v>
      </c>
      <c r="B267" s="7" t="s">
        <v>959</v>
      </c>
      <c r="C267" s="7" t="s">
        <v>935</v>
      </c>
      <c r="D267" s="7" t="s">
        <v>936</v>
      </c>
      <c r="E267" s="7" t="s">
        <v>937</v>
      </c>
      <c r="F267" s="7" t="n">
        <v>3</v>
      </c>
      <c r="G267" s="7" t="s">
        <v>83</v>
      </c>
      <c r="H267" s="7" t="s">
        <v>84</v>
      </c>
      <c r="I267" s="7" t="s">
        <v>61</v>
      </c>
      <c r="J267" s="7" t="s">
        <v>62</v>
      </c>
      <c r="K267" s="7" t="s">
        <v>960</v>
      </c>
      <c r="L267" s="7" t="s">
        <v>957</v>
      </c>
      <c r="M267" s="7"/>
      <c r="N267" s="7"/>
      <c r="O267" s="8"/>
      <c r="P267" s="8"/>
      <c r="Q267" s="8"/>
      <c r="R267" s="8"/>
      <c r="S267" s="8"/>
      <c r="T267" s="8"/>
    </row>
    <row r="268" customFormat="false" ht="35.05" hidden="false" customHeight="false" outlineLevel="0" collapsed="false">
      <c r="A268" s="7" t="s">
        <v>961</v>
      </c>
      <c r="B268" s="7" t="s">
        <v>962</v>
      </c>
      <c r="C268" s="7" t="s">
        <v>935</v>
      </c>
      <c r="D268" s="7" t="s">
        <v>936</v>
      </c>
      <c r="E268" s="7" t="s">
        <v>937</v>
      </c>
      <c r="F268" s="7" t="n">
        <v>3</v>
      </c>
      <c r="G268" s="7" t="s">
        <v>83</v>
      </c>
      <c r="H268" s="7" t="s">
        <v>84</v>
      </c>
      <c r="I268" s="7" t="s">
        <v>61</v>
      </c>
      <c r="J268" s="7" t="s">
        <v>62</v>
      </c>
      <c r="K268" s="7" t="s">
        <v>963</v>
      </c>
      <c r="L268" s="7" t="s">
        <v>957</v>
      </c>
      <c r="M268" s="7"/>
      <c r="N268" s="7"/>
      <c r="O268" s="8"/>
      <c r="P268" s="8"/>
      <c r="Q268" s="8"/>
      <c r="R268" s="8"/>
      <c r="S268" s="8"/>
      <c r="T268" s="8"/>
    </row>
    <row r="269" customFormat="false" ht="35.05" hidden="false" customHeight="false" outlineLevel="0" collapsed="false">
      <c r="A269" s="7" t="s">
        <v>964</v>
      </c>
      <c r="B269" s="7" t="s">
        <v>965</v>
      </c>
      <c r="C269" s="7" t="s">
        <v>935</v>
      </c>
      <c r="D269" s="7" t="s">
        <v>936</v>
      </c>
      <c r="E269" s="7" t="s">
        <v>937</v>
      </c>
      <c r="F269" s="7" t="n">
        <v>3</v>
      </c>
      <c r="G269" s="7" t="s">
        <v>83</v>
      </c>
      <c r="H269" s="7" t="s">
        <v>84</v>
      </c>
      <c r="I269" s="7" t="s">
        <v>61</v>
      </c>
      <c r="J269" s="7" t="s">
        <v>62</v>
      </c>
      <c r="K269" s="7" t="s">
        <v>966</v>
      </c>
      <c r="L269" s="7" t="s">
        <v>957</v>
      </c>
      <c r="M269" s="7"/>
      <c r="N269" s="7"/>
      <c r="O269" s="8"/>
      <c r="P269" s="8"/>
      <c r="Q269" s="8"/>
      <c r="R269" s="8"/>
      <c r="S269" s="8"/>
      <c r="T269" s="8"/>
    </row>
    <row r="270" customFormat="false" ht="35.05" hidden="false" customHeight="false" outlineLevel="0" collapsed="false">
      <c r="A270" s="7" t="s">
        <v>967</v>
      </c>
      <c r="B270" s="7" t="s">
        <v>968</v>
      </c>
      <c r="C270" s="7" t="s">
        <v>935</v>
      </c>
      <c r="D270" s="7" t="s">
        <v>936</v>
      </c>
      <c r="E270" s="7" t="s">
        <v>937</v>
      </c>
      <c r="F270" s="7" t="n">
        <v>3</v>
      </c>
      <c r="G270" s="7" t="s">
        <v>83</v>
      </c>
      <c r="H270" s="7" t="s">
        <v>84</v>
      </c>
      <c r="I270" s="7" t="s">
        <v>61</v>
      </c>
      <c r="J270" s="7" t="s">
        <v>62</v>
      </c>
      <c r="K270" s="7" t="s">
        <v>969</v>
      </c>
      <c r="L270" s="7" t="s">
        <v>957</v>
      </c>
      <c r="M270" s="7"/>
      <c r="N270" s="7"/>
      <c r="O270" s="8"/>
      <c r="P270" s="8"/>
      <c r="Q270" s="8"/>
      <c r="R270" s="8"/>
      <c r="S270" s="8"/>
      <c r="T270" s="8"/>
    </row>
    <row r="271" customFormat="false" ht="35.05" hidden="false" customHeight="false" outlineLevel="0" collapsed="false">
      <c r="A271" s="7" t="s">
        <v>970</v>
      </c>
      <c r="B271" s="7" t="s">
        <v>971</v>
      </c>
      <c r="C271" s="7" t="s">
        <v>935</v>
      </c>
      <c r="D271" s="7" t="s">
        <v>936</v>
      </c>
      <c r="E271" s="7" t="s">
        <v>937</v>
      </c>
      <c r="F271" s="7" t="n">
        <v>3</v>
      </c>
      <c r="G271" s="7" t="s">
        <v>83</v>
      </c>
      <c r="H271" s="7" t="s">
        <v>84</v>
      </c>
      <c r="I271" s="7" t="s">
        <v>61</v>
      </c>
      <c r="J271" s="7" t="s">
        <v>62</v>
      </c>
      <c r="K271" s="7" t="s">
        <v>972</v>
      </c>
      <c r="L271" s="7" t="s">
        <v>957</v>
      </c>
      <c r="M271" s="7"/>
      <c r="N271" s="7"/>
      <c r="O271" s="8"/>
      <c r="P271" s="8"/>
      <c r="Q271" s="8"/>
      <c r="R271" s="8"/>
      <c r="S271" s="8"/>
      <c r="T271" s="8"/>
    </row>
    <row r="272" customFormat="false" ht="35.05" hidden="false" customHeight="false" outlineLevel="0" collapsed="false">
      <c r="A272" s="7" t="s">
        <v>973</v>
      </c>
      <c r="B272" s="7" t="s">
        <v>974</v>
      </c>
      <c r="C272" s="7" t="s">
        <v>935</v>
      </c>
      <c r="D272" s="7" t="s">
        <v>936</v>
      </c>
      <c r="E272" s="7" t="s">
        <v>937</v>
      </c>
      <c r="F272" s="7" t="n">
        <v>3</v>
      </c>
      <c r="G272" s="7" t="s">
        <v>83</v>
      </c>
      <c r="H272" s="7" t="s">
        <v>84</v>
      </c>
      <c r="I272" s="7" t="s">
        <v>61</v>
      </c>
      <c r="J272" s="7" t="s">
        <v>62</v>
      </c>
      <c r="K272" s="7" t="s">
        <v>975</v>
      </c>
      <c r="L272" s="7" t="s">
        <v>957</v>
      </c>
      <c r="M272" s="7"/>
      <c r="N272" s="7"/>
      <c r="O272" s="8"/>
      <c r="P272" s="8"/>
      <c r="Q272" s="8"/>
      <c r="R272" s="8"/>
      <c r="S272" s="8"/>
      <c r="T272" s="8"/>
    </row>
    <row r="273" customFormat="false" ht="35.05" hidden="false" customHeight="false" outlineLevel="0" collapsed="false">
      <c r="A273" s="7" t="s">
        <v>976</v>
      </c>
      <c r="B273" s="7" t="s">
        <v>977</v>
      </c>
      <c r="C273" s="7" t="s">
        <v>935</v>
      </c>
      <c r="D273" s="7" t="s">
        <v>936</v>
      </c>
      <c r="E273" s="7" t="s">
        <v>937</v>
      </c>
      <c r="F273" s="7" t="n">
        <v>3</v>
      </c>
      <c r="G273" s="7" t="s">
        <v>83</v>
      </c>
      <c r="H273" s="7" t="s">
        <v>84</v>
      </c>
      <c r="I273" s="7" t="s">
        <v>61</v>
      </c>
      <c r="J273" s="7" t="s">
        <v>62</v>
      </c>
      <c r="K273" s="7" t="s">
        <v>978</v>
      </c>
      <c r="L273" s="7" t="s">
        <v>957</v>
      </c>
      <c r="M273" s="7"/>
      <c r="N273" s="7"/>
      <c r="O273" s="8"/>
      <c r="P273" s="8"/>
      <c r="Q273" s="8"/>
      <c r="R273" s="8"/>
      <c r="S273" s="8"/>
      <c r="T273" s="8"/>
    </row>
    <row r="274" customFormat="false" ht="35.05" hidden="false" customHeight="false" outlineLevel="0" collapsed="false">
      <c r="A274" s="7" t="s">
        <v>979</v>
      </c>
      <c r="B274" s="7" t="s">
        <v>980</v>
      </c>
      <c r="C274" s="7" t="s">
        <v>935</v>
      </c>
      <c r="D274" s="7" t="s">
        <v>936</v>
      </c>
      <c r="E274" s="7" t="s">
        <v>937</v>
      </c>
      <c r="F274" s="7" t="n">
        <v>3</v>
      </c>
      <c r="G274" s="7" t="s">
        <v>83</v>
      </c>
      <c r="H274" s="7" t="s">
        <v>84</v>
      </c>
      <c r="I274" s="7" t="s">
        <v>61</v>
      </c>
      <c r="J274" s="7" t="s">
        <v>62</v>
      </c>
      <c r="K274" s="7" t="s">
        <v>981</v>
      </c>
      <c r="L274" s="7" t="s">
        <v>957</v>
      </c>
      <c r="M274" s="7"/>
      <c r="N274" s="7"/>
      <c r="O274" s="8"/>
      <c r="P274" s="8"/>
      <c r="Q274" s="8"/>
      <c r="R274" s="8"/>
      <c r="S274" s="8"/>
      <c r="T274" s="8"/>
    </row>
    <row r="275" customFormat="false" ht="35.05" hidden="false" customHeight="false" outlineLevel="0" collapsed="false">
      <c r="A275" s="7" t="s">
        <v>982</v>
      </c>
      <c r="B275" s="7" t="s">
        <v>983</v>
      </c>
      <c r="C275" s="7" t="s">
        <v>935</v>
      </c>
      <c r="D275" s="7" t="s">
        <v>936</v>
      </c>
      <c r="E275" s="7" t="s">
        <v>937</v>
      </c>
      <c r="F275" s="7" t="n">
        <v>3</v>
      </c>
      <c r="G275" s="7" t="s">
        <v>83</v>
      </c>
      <c r="H275" s="7" t="s">
        <v>84</v>
      </c>
      <c r="I275" s="7" t="s">
        <v>61</v>
      </c>
      <c r="J275" s="7" t="s">
        <v>62</v>
      </c>
      <c r="K275" s="7" t="s">
        <v>984</v>
      </c>
      <c r="L275" s="7" t="s">
        <v>957</v>
      </c>
      <c r="M275" s="7"/>
      <c r="N275" s="7"/>
      <c r="O275" s="8"/>
      <c r="P275" s="8"/>
      <c r="Q275" s="8"/>
      <c r="R275" s="8"/>
      <c r="S275" s="8"/>
      <c r="T275" s="8"/>
    </row>
    <row r="276" customFormat="false" ht="46.25" hidden="false" customHeight="false" outlineLevel="0" collapsed="false">
      <c r="A276" s="7" t="s">
        <v>985</v>
      </c>
      <c r="B276" s="7" t="s">
        <v>986</v>
      </c>
      <c r="C276" s="7" t="s">
        <v>935</v>
      </c>
      <c r="D276" s="7" t="s">
        <v>936</v>
      </c>
      <c r="E276" s="7" t="s">
        <v>937</v>
      </c>
      <c r="F276" s="7" t="n">
        <v>2</v>
      </c>
      <c r="G276" s="7" t="s">
        <v>83</v>
      </c>
      <c r="H276" s="7" t="s">
        <v>84</v>
      </c>
      <c r="I276" s="7" t="s">
        <v>61</v>
      </c>
      <c r="J276" s="7" t="s">
        <v>62</v>
      </c>
      <c r="K276" s="7" t="s">
        <v>987</v>
      </c>
      <c r="L276" s="7" t="s">
        <v>938</v>
      </c>
      <c r="M276" s="7"/>
      <c r="N276" s="7"/>
      <c r="O276" s="8"/>
      <c r="P276" s="8"/>
      <c r="Q276" s="8"/>
      <c r="R276" s="8"/>
      <c r="S276" s="8"/>
      <c r="T276" s="8"/>
    </row>
    <row r="277" customFormat="false" ht="46.25" hidden="false" customHeight="false" outlineLevel="0" collapsed="false">
      <c r="A277" s="7" t="s">
        <v>988</v>
      </c>
      <c r="B277" s="7" t="s">
        <v>935</v>
      </c>
      <c r="C277" s="7" t="s">
        <v>935</v>
      </c>
      <c r="D277" s="7" t="s">
        <v>936</v>
      </c>
      <c r="E277" s="7" t="s">
        <v>937</v>
      </c>
      <c r="F277" s="7"/>
      <c r="G277" s="7" t="s">
        <v>65</v>
      </c>
      <c r="H277" s="7"/>
      <c r="I277" s="7"/>
      <c r="J277" s="7" t="s">
        <v>67</v>
      </c>
      <c r="K277" s="7" t="s">
        <v>989</v>
      </c>
      <c r="L277" s="7" t="s">
        <v>938</v>
      </c>
      <c r="M277" s="7"/>
      <c r="N277" s="7"/>
      <c r="O277" s="8"/>
      <c r="P277" s="8"/>
      <c r="Q277" s="8"/>
      <c r="R277" s="8"/>
      <c r="S277" s="8"/>
      <c r="T277" s="8"/>
    </row>
    <row r="278" customFormat="false" ht="23.85" hidden="false" customHeight="false" outlineLevel="0" collapsed="false">
      <c r="A278" s="11" t="s">
        <v>990</v>
      </c>
      <c r="B278" s="11" t="s">
        <v>991</v>
      </c>
      <c r="C278" s="11" t="s">
        <v>935</v>
      </c>
      <c r="D278" s="11" t="s">
        <v>936</v>
      </c>
      <c r="E278" s="11" t="s">
        <v>937</v>
      </c>
      <c r="F278" s="11" t="n">
        <v>1</v>
      </c>
      <c r="G278" s="12" t="s">
        <v>59</v>
      </c>
      <c r="H278" s="11" t="s">
        <v>60</v>
      </c>
      <c r="I278" s="11" t="s">
        <v>61</v>
      </c>
      <c r="J278" s="11" t="s">
        <v>62</v>
      </c>
      <c r="K278" s="11" t="s">
        <v>992</v>
      </c>
      <c r="L278" s="11"/>
      <c r="M278" s="11"/>
      <c r="N278" s="11"/>
      <c r="O278" s="8"/>
      <c r="P278" s="8"/>
      <c r="Q278" s="8"/>
      <c r="R278" s="8"/>
      <c r="S278" s="8"/>
      <c r="T278" s="8"/>
    </row>
    <row r="279" customFormat="false" ht="15" hidden="false" customHeight="false" outlineLevel="0" collapsed="false">
      <c r="A279" s="11" t="s">
        <v>993</v>
      </c>
      <c r="B279" s="11" t="s">
        <v>994</v>
      </c>
      <c r="C279" s="11" t="s">
        <v>935</v>
      </c>
      <c r="D279" s="11" t="s">
        <v>936</v>
      </c>
      <c r="E279" s="11" t="s">
        <v>937</v>
      </c>
      <c r="F279" s="11" t="n">
        <v>1</v>
      </c>
      <c r="G279" s="12" t="s">
        <v>59</v>
      </c>
      <c r="H279" s="11" t="s">
        <v>60</v>
      </c>
      <c r="I279" s="11" t="s">
        <v>61</v>
      </c>
      <c r="J279" s="11" t="s">
        <v>62</v>
      </c>
      <c r="K279" s="11" t="s">
        <v>995</v>
      </c>
      <c r="L279" s="11"/>
      <c r="M279" s="11"/>
      <c r="N279" s="11"/>
      <c r="O279" s="8"/>
      <c r="P279" s="8"/>
      <c r="Q279" s="8"/>
      <c r="R279" s="8"/>
      <c r="S279" s="8"/>
      <c r="T279" s="8"/>
    </row>
    <row r="280" customFormat="false" ht="35.05" hidden="false" customHeight="false" outlineLevel="0" collapsed="false">
      <c r="A280" s="7" t="s">
        <v>996</v>
      </c>
      <c r="B280" s="7" t="s">
        <v>997</v>
      </c>
      <c r="C280" s="7" t="s">
        <v>997</v>
      </c>
      <c r="D280" s="7" t="s">
        <v>998</v>
      </c>
      <c r="E280" s="7" t="s">
        <v>999</v>
      </c>
      <c r="F280" s="7"/>
      <c r="G280" s="7" t="s">
        <v>125</v>
      </c>
      <c r="H280" s="7"/>
      <c r="I280" s="7" t="s">
        <v>126</v>
      </c>
      <c r="J280" s="7" t="s">
        <v>67</v>
      </c>
      <c r="K280" s="7" t="s">
        <v>1000</v>
      </c>
      <c r="L280" s="7"/>
      <c r="M280" s="7"/>
      <c r="N280" s="7"/>
      <c r="O280" s="8"/>
      <c r="P280" s="8"/>
      <c r="Q280" s="8"/>
      <c r="R280" s="8"/>
      <c r="S280" s="8"/>
      <c r="T280" s="8"/>
    </row>
    <row r="281" customFormat="false" ht="23.85" hidden="false" customHeight="false" outlineLevel="0" collapsed="false">
      <c r="A281" s="11" t="s">
        <v>1001</v>
      </c>
      <c r="B281" s="11" t="s">
        <v>1002</v>
      </c>
      <c r="C281" s="11" t="s">
        <v>997</v>
      </c>
      <c r="D281" s="11" t="s">
        <v>998</v>
      </c>
      <c r="E281" s="11" t="s">
        <v>999</v>
      </c>
      <c r="F281" s="11" t="n">
        <v>1</v>
      </c>
      <c r="G281" s="12" t="s">
        <v>59</v>
      </c>
      <c r="H281" s="11" t="s">
        <v>60</v>
      </c>
      <c r="I281" s="11" t="s">
        <v>61</v>
      </c>
      <c r="J281" s="11" t="s">
        <v>62</v>
      </c>
      <c r="K281" s="11" t="s">
        <v>1003</v>
      </c>
      <c r="L281" s="11"/>
      <c r="M281" s="11"/>
      <c r="N281" s="11"/>
      <c r="O281" s="8"/>
      <c r="P281" s="8"/>
      <c r="Q281" s="8"/>
      <c r="R281" s="8"/>
      <c r="S281" s="8"/>
      <c r="T281" s="8"/>
    </row>
    <row r="282" customFormat="false" ht="23.85" hidden="false" customHeight="false" outlineLevel="0" collapsed="false">
      <c r="A282" s="11" t="s">
        <v>1004</v>
      </c>
      <c r="B282" s="11" t="s">
        <v>1005</v>
      </c>
      <c r="C282" s="11" t="s">
        <v>997</v>
      </c>
      <c r="D282" s="11" t="s">
        <v>998</v>
      </c>
      <c r="E282" s="11" t="s">
        <v>999</v>
      </c>
      <c r="F282" s="11" t="n">
        <v>1</v>
      </c>
      <c r="G282" s="12" t="s">
        <v>59</v>
      </c>
      <c r="H282" s="11" t="s">
        <v>60</v>
      </c>
      <c r="I282" s="11" t="s">
        <v>61</v>
      </c>
      <c r="J282" s="11" t="s">
        <v>62</v>
      </c>
      <c r="K282" s="11" t="s">
        <v>1006</v>
      </c>
      <c r="L282" s="11"/>
      <c r="M282" s="11"/>
      <c r="N282" s="11"/>
      <c r="O282" s="8"/>
      <c r="P282" s="8"/>
      <c r="Q282" s="8"/>
      <c r="R282" s="8"/>
      <c r="S282" s="8"/>
      <c r="T282" s="8"/>
    </row>
    <row r="283" customFormat="false" ht="23.85" hidden="false" customHeight="false" outlineLevel="0" collapsed="false">
      <c r="A283" s="11" t="s">
        <v>1007</v>
      </c>
      <c r="B283" s="11" t="s">
        <v>1008</v>
      </c>
      <c r="C283" s="11" t="s">
        <v>1009</v>
      </c>
      <c r="D283" s="11" t="s">
        <v>1010</v>
      </c>
      <c r="E283" s="11" t="s">
        <v>1011</v>
      </c>
      <c r="F283" s="11" t="n">
        <v>1</v>
      </c>
      <c r="G283" s="12" t="s">
        <v>59</v>
      </c>
      <c r="H283" s="11" t="s">
        <v>60</v>
      </c>
      <c r="I283" s="11" t="s">
        <v>61</v>
      </c>
      <c r="J283" s="11" t="s">
        <v>62</v>
      </c>
      <c r="K283" s="11" t="s">
        <v>1012</v>
      </c>
      <c r="L283" s="11"/>
      <c r="M283" s="11"/>
      <c r="N283" s="11"/>
      <c r="O283" s="8"/>
      <c r="P283" s="8"/>
      <c r="Q283" s="8"/>
      <c r="R283" s="8"/>
      <c r="S283" s="8"/>
      <c r="T283" s="8"/>
    </row>
    <row r="284" customFormat="false" ht="35.05" hidden="false" customHeight="false" outlineLevel="0" collapsed="false">
      <c r="A284" s="11" t="s">
        <v>1013</v>
      </c>
      <c r="B284" s="11" t="s">
        <v>1014</v>
      </c>
      <c r="C284" s="11" t="s">
        <v>1015</v>
      </c>
      <c r="D284" s="11" t="s">
        <v>1016</v>
      </c>
      <c r="E284" s="11" t="s">
        <v>1017</v>
      </c>
      <c r="F284" s="11" t="n">
        <v>1</v>
      </c>
      <c r="G284" s="12" t="s">
        <v>59</v>
      </c>
      <c r="H284" s="11" t="s">
        <v>60</v>
      </c>
      <c r="I284" s="11" t="s">
        <v>61</v>
      </c>
      <c r="J284" s="11" t="s">
        <v>62</v>
      </c>
      <c r="K284" s="11" t="s">
        <v>1018</v>
      </c>
      <c r="L284" s="11"/>
      <c r="M284" s="11"/>
      <c r="N284" s="11"/>
      <c r="O284" s="8"/>
      <c r="P284" s="8"/>
      <c r="Q284" s="8"/>
      <c r="R284" s="8"/>
      <c r="S284" s="8"/>
      <c r="T284" s="8"/>
    </row>
    <row r="285" customFormat="false" ht="35.05" hidden="false" customHeight="false" outlineLevel="0" collapsed="false">
      <c r="A285" s="11" t="s">
        <v>1019</v>
      </c>
      <c r="B285" s="11" t="s">
        <v>1020</v>
      </c>
      <c r="C285" s="11" t="s">
        <v>1015</v>
      </c>
      <c r="D285" s="11" t="s">
        <v>1016</v>
      </c>
      <c r="E285" s="11" t="s">
        <v>1017</v>
      </c>
      <c r="F285" s="11" t="n">
        <v>1</v>
      </c>
      <c r="G285" s="12" t="s">
        <v>59</v>
      </c>
      <c r="H285" s="11" t="s">
        <v>60</v>
      </c>
      <c r="I285" s="11" t="s">
        <v>61</v>
      </c>
      <c r="J285" s="11" t="s">
        <v>62</v>
      </c>
      <c r="K285" s="11" t="s">
        <v>1021</v>
      </c>
      <c r="L285" s="11"/>
      <c r="M285" s="11"/>
      <c r="N285" s="11"/>
      <c r="O285" s="8"/>
      <c r="P285" s="8"/>
      <c r="Q285" s="8"/>
      <c r="R285" s="8"/>
      <c r="S285" s="8"/>
      <c r="T285" s="8"/>
    </row>
    <row r="286" customFormat="false" ht="57.45" hidden="false" customHeight="false" outlineLevel="0" collapsed="false">
      <c r="A286" s="7" t="s">
        <v>1022</v>
      </c>
      <c r="B286" s="7" t="s">
        <v>1015</v>
      </c>
      <c r="C286" s="7" t="s">
        <v>1015</v>
      </c>
      <c r="D286" s="7" t="s">
        <v>1016</v>
      </c>
      <c r="E286" s="7" t="s">
        <v>1017</v>
      </c>
      <c r="F286" s="7"/>
      <c r="G286" s="7" t="s">
        <v>65</v>
      </c>
      <c r="H286" s="7" t="s">
        <v>118</v>
      </c>
      <c r="I286" s="7"/>
      <c r="J286" s="7" t="s">
        <v>67</v>
      </c>
      <c r="K286" s="7" t="s">
        <v>1023</v>
      </c>
      <c r="L286" s="7" t="s">
        <v>1021</v>
      </c>
      <c r="M286" s="7" t="s">
        <v>1024</v>
      </c>
      <c r="N286" s="7"/>
      <c r="O286" s="8"/>
      <c r="P286" s="8"/>
      <c r="Q286" s="8"/>
      <c r="R286" s="8"/>
      <c r="S286" s="8"/>
      <c r="T286" s="8"/>
    </row>
    <row r="287" customFormat="false" ht="23.85" hidden="false" customHeight="false" outlineLevel="0" collapsed="false">
      <c r="A287" s="11" t="s">
        <v>1025</v>
      </c>
      <c r="B287" s="11" t="s">
        <v>1026</v>
      </c>
      <c r="C287" s="11" t="s">
        <v>1027</v>
      </c>
      <c r="D287" s="11" t="s">
        <v>1028</v>
      </c>
      <c r="E287" s="11" t="s">
        <v>1029</v>
      </c>
      <c r="F287" s="11" t="n">
        <v>1</v>
      </c>
      <c r="G287" s="12" t="s">
        <v>59</v>
      </c>
      <c r="H287" s="11" t="s">
        <v>60</v>
      </c>
      <c r="I287" s="11" t="s">
        <v>61</v>
      </c>
      <c r="J287" s="11" t="s">
        <v>62</v>
      </c>
      <c r="K287" s="11" t="s">
        <v>1030</v>
      </c>
      <c r="L287" s="11"/>
      <c r="M287" s="11"/>
      <c r="N287" s="11"/>
      <c r="O287" s="8"/>
      <c r="P287" s="8"/>
      <c r="Q287" s="8"/>
      <c r="R287" s="8"/>
      <c r="S287" s="8"/>
      <c r="T287" s="8"/>
    </row>
    <row r="288" customFormat="false" ht="23.85" hidden="false" customHeight="false" outlineLevel="0" collapsed="false">
      <c r="A288" s="11" t="s">
        <v>1031</v>
      </c>
      <c r="B288" s="11" t="s">
        <v>1032</v>
      </c>
      <c r="C288" s="11" t="s">
        <v>1027</v>
      </c>
      <c r="D288" s="11" t="s">
        <v>1028</v>
      </c>
      <c r="E288" s="11" t="s">
        <v>1029</v>
      </c>
      <c r="F288" s="11" t="n">
        <v>1</v>
      </c>
      <c r="G288" s="12" t="s">
        <v>59</v>
      </c>
      <c r="H288" s="11" t="s">
        <v>60</v>
      </c>
      <c r="I288" s="11" t="s">
        <v>61</v>
      </c>
      <c r="J288" s="11" t="s">
        <v>62</v>
      </c>
      <c r="K288" s="11" t="s">
        <v>1033</v>
      </c>
      <c r="L288" s="11"/>
      <c r="M288" s="11"/>
      <c r="N288" s="11"/>
      <c r="O288" s="8"/>
      <c r="P288" s="8"/>
      <c r="Q288" s="8"/>
      <c r="R288" s="8"/>
      <c r="S288" s="8"/>
      <c r="T288" s="8"/>
    </row>
    <row r="289" customFormat="false" ht="35.05" hidden="false" customHeight="false" outlineLevel="0" collapsed="false">
      <c r="A289" s="7" t="s">
        <v>1034</v>
      </c>
      <c r="B289" s="7" t="s">
        <v>1027</v>
      </c>
      <c r="C289" s="7" t="s">
        <v>1027</v>
      </c>
      <c r="D289" s="7" t="s">
        <v>1028</v>
      </c>
      <c r="E289" s="7" t="s">
        <v>1029</v>
      </c>
      <c r="F289" s="7"/>
      <c r="G289" s="7" t="s">
        <v>65</v>
      </c>
      <c r="H289" s="7" t="s">
        <v>118</v>
      </c>
      <c r="I289" s="7"/>
      <c r="J289" s="7" t="s">
        <v>67</v>
      </c>
      <c r="K289" s="7" t="s">
        <v>1035</v>
      </c>
      <c r="L289" s="7" t="s">
        <v>1033</v>
      </c>
      <c r="M289" s="7" t="s">
        <v>1036</v>
      </c>
      <c r="N289" s="7"/>
      <c r="O289" s="8"/>
      <c r="P289" s="8"/>
      <c r="Q289" s="8"/>
      <c r="R289" s="8"/>
      <c r="S289" s="8"/>
      <c r="T289" s="8"/>
    </row>
    <row r="290" customFormat="false" ht="46.25" hidden="false" customHeight="false" outlineLevel="0" collapsed="false">
      <c r="A290" s="7" t="s">
        <v>1037</v>
      </c>
      <c r="B290" s="7" t="s">
        <v>1038</v>
      </c>
      <c r="C290" s="7" t="s">
        <v>1038</v>
      </c>
      <c r="D290" s="7" t="s">
        <v>1039</v>
      </c>
      <c r="E290" s="7" t="s">
        <v>1040</v>
      </c>
      <c r="F290" s="7"/>
      <c r="G290" s="7" t="s">
        <v>125</v>
      </c>
      <c r="H290" s="7"/>
      <c r="I290" s="7"/>
      <c r="J290" s="7" t="s">
        <v>67</v>
      </c>
      <c r="K290" s="7" t="s">
        <v>1041</v>
      </c>
      <c r="L290" s="7"/>
      <c r="M290" s="7"/>
      <c r="N290" s="7"/>
      <c r="O290" s="8"/>
      <c r="P290" s="8"/>
      <c r="Q290" s="8"/>
      <c r="R290" s="8"/>
      <c r="S290" s="8"/>
      <c r="T290" s="8"/>
    </row>
    <row r="291" customFormat="false" ht="23.85" hidden="false" customHeight="false" outlineLevel="0" collapsed="false">
      <c r="A291" s="11" t="s">
        <v>1042</v>
      </c>
      <c r="B291" s="11" t="s">
        <v>1043</v>
      </c>
      <c r="C291" s="11" t="s">
        <v>1038</v>
      </c>
      <c r="D291" s="11" t="s">
        <v>1039</v>
      </c>
      <c r="E291" s="11" t="s">
        <v>1040</v>
      </c>
      <c r="F291" s="11" t="n">
        <v>1</v>
      </c>
      <c r="G291" s="12" t="s">
        <v>59</v>
      </c>
      <c r="H291" s="11" t="s">
        <v>60</v>
      </c>
      <c r="I291" s="11" t="s">
        <v>61</v>
      </c>
      <c r="J291" s="11" t="s">
        <v>62</v>
      </c>
      <c r="K291" s="11" t="s">
        <v>1044</v>
      </c>
      <c r="L291" s="11"/>
      <c r="M291" s="11"/>
      <c r="N291" s="11"/>
      <c r="O291" s="8"/>
      <c r="P291" s="8"/>
      <c r="Q291" s="8"/>
      <c r="R291" s="8"/>
      <c r="S291" s="8"/>
      <c r="T291" s="8"/>
    </row>
    <row r="292" customFormat="false" ht="23.85" hidden="false" customHeight="false" outlineLevel="0" collapsed="false">
      <c r="A292" s="11" t="s">
        <v>1045</v>
      </c>
      <c r="B292" s="11" t="s">
        <v>1046</v>
      </c>
      <c r="C292" s="11" t="s">
        <v>1038</v>
      </c>
      <c r="D292" s="11" t="s">
        <v>1039</v>
      </c>
      <c r="E292" s="11" t="s">
        <v>1040</v>
      </c>
      <c r="F292" s="11" t="n">
        <v>1</v>
      </c>
      <c r="G292" s="12" t="s">
        <v>59</v>
      </c>
      <c r="H292" s="11" t="s">
        <v>60</v>
      </c>
      <c r="I292" s="11" t="s">
        <v>61</v>
      </c>
      <c r="J292" s="11" t="s">
        <v>62</v>
      </c>
      <c r="K292" s="11" t="s">
        <v>1047</v>
      </c>
      <c r="L292" s="11"/>
      <c r="M292" s="11"/>
      <c r="N292" s="11"/>
      <c r="O292" s="8"/>
      <c r="P292" s="8"/>
      <c r="Q292" s="8"/>
      <c r="R292" s="8"/>
      <c r="S292" s="8"/>
      <c r="T292" s="8"/>
    </row>
    <row r="293" customFormat="false" ht="23.85" hidden="false" customHeight="false" outlineLevel="0" collapsed="false">
      <c r="A293" s="7" t="s">
        <v>1048</v>
      </c>
      <c r="B293" s="7" t="s">
        <v>1049</v>
      </c>
      <c r="C293" s="7" t="s">
        <v>1049</v>
      </c>
      <c r="D293" s="7" t="s">
        <v>1050</v>
      </c>
      <c r="E293" s="7" t="s">
        <v>1051</v>
      </c>
      <c r="F293" s="7"/>
      <c r="G293" s="7" t="s">
        <v>125</v>
      </c>
      <c r="H293" s="7" t="s">
        <v>118</v>
      </c>
      <c r="I293" s="7" t="s">
        <v>61</v>
      </c>
      <c r="J293" s="7" t="s">
        <v>67</v>
      </c>
      <c r="K293" s="7" t="s">
        <v>1052</v>
      </c>
      <c r="L293" s="7"/>
      <c r="M293" s="7"/>
      <c r="N293" s="7"/>
      <c r="O293" s="8"/>
      <c r="P293" s="8"/>
      <c r="Q293" s="8"/>
      <c r="R293" s="8"/>
      <c r="S293" s="8"/>
      <c r="T293" s="8"/>
    </row>
    <row r="294" customFormat="false" ht="23.85" hidden="false" customHeight="false" outlineLevel="0" collapsed="false">
      <c r="A294" s="11" t="s">
        <v>1053</v>
      </c>
      <c r="B294" s="11" t="s">
        <v>1054</v>
      </c>
      <c r="C294" s="11" t="s">
        <v>1049</v>
      </c>
      <c r="D294" s="11" t="s">
        <v>1050</v>
      </c>
      <c r="E294" s="11" t="s">
        <v>1051</v>
      </c>
      <c r="F294" s="11" t="n">
        <v>1</v>
      </c>
      <c r="G294" s="12" t="s">
        <v>59</v>
      </c>
      <c r="H294" s="11" t="s">
        <v>60</v>
      </c>
      <c r="I294" s="11" t="s">
        <v>61</v>
      </c>
      <c r="J294" s="11" t="s">
        <v>62</v>
      </c>
      <c r="K294" s="11" t="s">
        <v>1055</v>
      </c>
      <c r="L294" s="11"/>
      <c r="M294" s="11"/>
      <c r="N294" s="11"/>
      <c r="O294" s="8"/>
      <c r="P294" s="8"/>
      <c r="Q294" s="8"/>
      <c r="R294" s="8"/>
      <c r="S294" s="8"/>
      <c r="T294" s="8"/>
    </row>
    <row r="295" customFormat="false" ht="46.25" hidden="false" customHeight="false" outlineLevel="0" collapsed="false">
      <c r="A295" s="7" t="s">
        <v>1056</v>
      </c>
      <c r="B295" s="7" t="s">
        <v>1049</v>
      </c>
      <c r="C295" s="7" t="s">
        <v>1049</v>
      </c>
      <c r="D295" s="7" t="s">
        <v>1050</v>
      </c>
      <c r="E295" s="7" t="s">
        <v>1051</v>
      </c>
      <c r="F295" s="7"/>
      <c r="G295" s="7" t="s">
        <v>125</v>
      </c>
      <c r="H295" s="7" t="s">
        <v>118</v>
      </c>
      <c r="I295" s="7"/>
      <c r="J295" s="7" t="s">
        <v>67</v>
      </c>
      <c r="K295" s="7" t="s">
        <v>1057</v>
      </c>
      <c r="L295" s="7" t="s">
        <v>1055</v>
      </c>
      <c r="M295" s="7"/>
      <c r="N295" s="7"/>
      <c r="O295" s="8"/>
      <c r="P295" s="8"/>
      <c r="Q295" s="8"/>
      <c r="R295" s="8"/>
      <c r="S295" s="8"/>
      <c r="T295" s="8"/>
    </row>
    <row r="296" customFormat="false" ht="35.05" hidden="false" customHeight="false" outlineLevel="0" collapsed="false">
      <c r="A296" s="11" t="s">
        <v>1058</v>
      </c>
      <c r="B296" s="11" t="s">
        <v>1059</v>
      </c>
      <c r="C296" s="11" t="s">
        <v>1049</v>
      </c>
      <c r="D296" s="11" t="s">
        <v>1050</v>
      </c>
      <c r="E296" s="11" t="s">
        <v>1051</v>
      </c>
      <c r="F296" s="11" t="n">
        <v>1</v>
      </c>
      <c r="G296" s="12" t="s">
        <v>59</v>
      </c>
      <c r="H296" s="11" t="s">
        <v>60</v>
      </c>
      <c r="I296" s="11" t="s">
        <v>61</v>
      </c>
      <c r="J296" s="11" t="s">
        <v>62</v>
      </c>
      <c r="K296" s="11" t="s">
        <v>1060</v>
      </c>
      <c r="L296" s="11"/>
      <c r="M296" s="11"/>
      <c r="N296" s="11"/>
      <c r="O296" s="8"/>
      <c r="P296" s="8"/>
      <c r="Q296" s="8"/>
      <c r="R296" s="8"/>
      <c r="S296" s="8"/>
      <c r="T296" s="8"/>
    </row>
    <row r="297" customFormat="false" ht="23.85" hidden="false" customHeight="false" outlineLevel="0" collapsed="false">
      <c r="A297" s="11" t="s">
        <v>1061</v>
      </c>
      <c r="B297" s="11" t="s">
        <v>1062</v>
      </c>
      <c r="C297" s="11" t="s">
        <v>1049</v>
      </c>
      <c r="D297" s="11" t="s">
        <v>1050</v>
      </c>
      <c r="E297" s="11" t="s">
        <v>1051</v>
      </c>
      <c r="F297" s="11" t="n">
        <v>1</v>
      </c>
      <c r="G297" s="12" t="s">
        <v>59</v>
      </c>
      <c r="H297" s="11" t="s">
        <v>60</v>
      </c>
      <c r="I297" s="11" t="s">
        <v>61</v>
      </c>
      <c r="J297" s="11" t="s">
        <v>62</v>
      </c>
      <c r="K297" s="11" t="s">
        <v>1063</v>
      </c>
      <c r="L297" s="11"/>
      <c r="M297" s="11"/>
      <c r="N297" s="11"/>
      <c r="O297" s="8"/>
      <c r="P297" s="8"/>
      <c r="Q297" s="8"/>
      <c r="R297" s="8"/>
      <c r="S297" s="8"/>
      <c r="T297" s="8"/>
    </row>
    <row r="298" customFormat="false" ht="35.05" hidden="false" customHeight="false" outlineLevel="0" collapsed="false">
      <c r="A298" s="7" t="s">
        <v>1064</v>
      </c>
      <c r="B298" s="7" t="s">
        <v>1065</v>
      </c>
      <c r="C298" s="7" t="s">
        <v>1049</v>
      </c>
      <c r="D298" s="7" t="s">
        <v>1050</v>
      </c>
      <c r="E298" s="7" t="s">
        <v>1051</v>
      </c>
      <c r="F298" s="7" t="n">
        <v>2</v>
      </c>
      <c r="G298" s="7" t="s">
        <v>83</v>
      </c>
      <c r="H298" s="7" t="s">
        <v>84</v>
      </c>
      <c r="I298" s="7" t="s">
        <v>61</v>
      </c>
      <c r="J298" s="7" t="s">
        <v>62</v>
      </c>
      <c r="K298" s="7" t="s">
        <v>1066</v>
      </c>
      <c r="L298" s="7" t="s">
        <v>1063</v>
      </c>
      <c r="M298" s="7"/>
      <c r="N298" s="7"/>
      <c r="O298" s="8"/>
      <c r="P298" s="8"/>
      <c r="Q298" s="8"/>
      <c r="R298" s="8"/>
      <c r="S298" s="8"/>
      <c r="T298" s="8"/>
    </row>
    <row r="299" customFormat="false" ht="35.05" hidden="false" customHeight="false" outlineLevel="0" collapsed="false">
      <c r="A299" s="7" t="s">
        <v>1067</v>
      </c>
      <c r="B299" s="7" t="s">
        <v>1068</v>
      </c>
      <c r="C299" s="7" t="s">
        <v>1049</v>
      </c>
      <c r="D299" s="7" t="s">
        <v>1050</v>
      </c>
      <c r="E299" s="7" t="s">
        <v>1051</v>
      </c>
      <c r="F299" s="7" t="n">
        <v>2</v>
      </c>
      <c r="G299" s="7" t="s">
        <v>83</v>
      </c>
      <c r="H299" s="7" t="s">
        <v>84</v>
      </c>
      <c r="I299" s="7" t="s">
        <v>61</v>
      </c>
      <c r="J299" s="7" t="s">
        <v>62</v>
      </c>
      <c r="K299" s="7" t="s">
        <v>1069</v>
      </c>
      <c r="L299" s="7" t="s">
        <v>1063</v>
      </c>
      <c r="M299" s="7"/>
      <c r="N299" s="7"/>
      <c r="O299" s="8"/>
      <c r="P299" s="8"/>
      <c r="Q299" s="8"/>
      <c r="R299" s="8"/>
      <c r="S299" s="8"/>
      <c r="T299" s="8"/>
    </row>
    <row r="300" customFormat="false" ht="35.05" hidden="false" customHeight="false" outlineLevel="0" collapsed="false">
      <c r="A300" s="7" t="s">
        <v>1070</v>
      </c>
      <c r="B300" s="7" t="s">
        <v>1071</v>
      </c>
      <c r="C300" s="7" t="s">
        <v>1049</v>
      </c>
      <c r="D300" s="7" t="s">
        <v>1050</v>
      </c>
      <c r="E300" s="7" t="s">
        <v>1051</v>
      </c>
      <c r="F300" s="7" t="n">
        <v>2</v>
      </c>
      <c r="G300" s="7" t="s">
        <v>83</v>
      </c>
      <c r="H300" s="7" t="s">
        <v>84</v>
      </c>
      <c r="I300" s="7" t="s">
        <v>61</v>
      </c>
      <c r="J300" s="7" t="s">
        <v>62</v>
      </c>
      <c r="K300" s="7" t="s">
        <v>1072</v>
      </c>
      <c r="L300" s="7" t="s">
        <v>1063</v>
      </c>
      <c r="M300" s="7"/>
      <c r="N300" s="7"/>
      <c r="O300" s="8"/>
      <c r="P300" s="8"/>
      <c r="Q300" s="8"/>
      <c r="R300" s="8"/>
      <c r="S300" s="8"/>
      <c r="T300" s="8"/>
    </row>
    <row r="301" customFormat="false" ht="35.05" hidden="false" customHeight="false" outlineLevel="0" collapsed="false">
      <c r="A301" s="7" t="s">
        <v>1073</v>
      </c>
      <c r="B301" s="7" t="s">
        <v>1074</v>
      </c>
      <c r="C301" s="7" t="s">
        <v>1049</v>
      </c>
      <c r="D301" s="7" t="s">
        <v>1050</v>
      </c>
      <c r="E301" s="7" t="s">
        <v>1051</v>
      </c>
      <c r="F301" s="7" t="n">
        <v>2</v>
      </c>
      <c r="G301" s="7" t="s">
        <v>83</v>
      </c>
      <c r="H301" s="7" t="s">
        <v>84</v>
      </c>
      <c r="I301" s="7" t="s">
        <v>61</v>
      </c>
      <c r="J301" s="7" t="s">
        <v>62</v>
      </c>
      <c r="K301" s="7" t="s">
        <v>1075</v>
      </c>
      <c r="L301" s="7" t="s">
        <v>1063</v>
      </c>
      <c r="M301" s="7"/>
      <c r="N301" s="7"/>
      <c r="O301" s="8"/>
      <c r="P301" s="8"/>
      <c r="Q301" s="8"/>
      <c r="R301" s="8"/>
      <c r="S301" s="8"/>
      <c r="T301" s="8"/>
    </row>
    <row r="302" customFormat="false" ht="35.05" hidden="false" customHeight="false" outlineLevel="0" collapsed="false">
      <c r="A302" s="7" t="s">
        <v>1076</v>
      </c>
      <c r="B302" s="7" t="s">
        <v>1077</v>
      </c>
      <c r="C302" s="7" t="s">
        <v>1049</v>
      </c>
      <c r="D302" s="7" t="s">
        <v>1050</v>
      </c>
      <c r="E302" s="7" t="s">
        <v>1051</v>
      </c>
      <c r="F302" s="7" t="n">
        <v>2</v>
      </c>
      <c r="G302" s="7" t="s">
        <v>83</v>
      </c>
      <c r="H302" s="7" t="s">
        <v>84</v>
      </c>
      <c r="I302" s="7" t="s">
        <v>61</v>
      </c>
      <c r="J302" s="7" t="s">
        <v>62</v>
      </c>
      <c r="K302" s="7" t="s">
        <v>1078</v>
      </c>
      <c r="L302" s="7" t="s">
        <v>1063</v>
      </c>
      <c r="M302" s="7"/>
      <c r="N302" s="7"/>
      <c r="O302" s="8"/>
      <c r="P302" s="8"/>
      <c r="Q302" s="8"/>
      <c r="R302" s="8"/>
      <c r="S302" s="8"/>
      <c r="T302" s="8"/>
    </row>
    <row r="303" customFormat="false" ht="35.05" hidden="false" customHeight="false" outlineLevel="0" collapsed="false">
      <c r="A303" s="7" t="s">
        <v>1079</v>
      </c>
      <c r="B303" s="7" t="s">
        <v>1080</v>
      </c>
      <c r="C303" s="7" t="s">
        <v>1049</v>
      </c>
      <c r="D303" s="7" t="s">
        <v>1050</v>
      </c>
      <c r="E303" s="7" t="s">
        <v>1051</v>
      </c>
      <c r="F303" s="7" t="n">
        <v>2</v>
      </c>
      <c r="G303" s="7" t="s">
        <v>83</v>
      </c>
      <c r="H303" s="7" t="s">
        <v>84</v>
      </c>
      <c r="I303" s="7" t="s">
        <v>61</v>
      </c>
      <c r="J303" s="7" t="s">
        <v>62</v>
      </c>
      <c r="K303" s="7" t="s">
        <v>1081</v>
      </c>
      <c r="L303" s="7" t="s">
        <v>1063</v>
      </c>
      <c r="M303" s="7"/>
      <c r="N303" s="7"/>
      <c r="O303" s="8"/>
      <c r="P303" s="8"/>
      <c r="Q303" s="8"/>
      <c r="R303" s="8"/>
      <c r="S303" s="8"/>
      <c r="T303" s="8"/>
    </row>
    <row r="304" customFormat="false" ht="35.05" hidden="false" customHeight="false" outlineLevel="0" collapsed="false">
      <c r="A304" s="7" t="s">
        <v>1082</v>
      </c>
      <c r="B304" s="7" t="s">
        <v>1083</v>
      </c>
      <c r="C304" s="7" t="s">
        <v>1049</v>
      </c>
      <c r="D304" s="7" t="s">
        <v>1050</v>
      </c>
      <c r="E304" s="7" t="s">
        <v>1051</v>
      </c>
      <c r="F304" s="7" t="n">
        <v>2</v>
      </c>
      <c r="G304" s="7" t="s">
        <v>83</v>
      </c>
      <c r="H304" s="7" t="s">
        <v>84</v>
      </c>
      <c r="I304" s="7" t="s">
        <v>61</v>
      </c>
      <c r="J304" s="7" t="s">
        <v>62</v>
      </c>
      <c r="K304" s="7" t="s">
        <v>1084</v>
      </c>
      <c r="L304" s="7" t="s">
        <v>1063</v>
      </c>
      <c r="M304" s="7"/>
      <c r="N304" s="7"/>
      <c r="O304" s="8"/>
      <c r="P304" s="8"/>
      <c r="Q304" s="8"/>
      <c r="R304" s="8"/>
      <c r="S304" s="8"/>
      <c r="T304" s="8"/>
    </row>
    <row r="305" customFormat="false" ht="35.05" hidden="false" customHeight="false" outlineLevel="0" collapsed="false">
      <c r="A305" s="7" t="s">
        <v>1085</v>
      </c>
      <c r="B305" s="7" t="s">
        <v>1086</v>
      </c>
      <c r="C305" s="7" t="s">
        <v>1049</v>
      </c>
      <c r="D305" s="7" t="s">
        <v>1050</v>
      </c>
      <c r="E305" s="7" t="s">
        <v>1051</v>
      </c>
      <c r="F305" s="7" t="n">
        <v>2</v>
      </c>
      <c r="G305" s="7" t="s">
        <v>83</v>
      </c>
      <c r="H305" s="7" t="s">
        <v>84</v>
      </c>
      <c r="I305" s="7" t="s">
        <v>61</v>
      </c>
      <c r="J305" s="7" t="s">
        <v>62</v>
      </c>
      <c r="K305" s="7" t="s">
        <v>1087</v>
      </c>
      <c r="L305" s="7" t="s">
        <v>1063</v>
      </c>
      <c r="M305" s="7"/>
      <c r="N305" s="7"/>
      <c r="O305" s="8"/>
      <c r="P305" s="8"/>
      <c r="Q305" s="8"/>
      <c r="R305" s="8"/>
      <c r="S305" s="8"/>
      <c r="T305" s="8"/>
    </row>
    <row r="306" customFormat="false" ht="35.05" hidden="false" customHeight="false" outlineLevel="0" collapsed="false">
      <c r="A306" s="7" t="s">
        <v>1088</v>
      </c>
      <c r="B306" s="7" t="s">
        <v>1089</v>
      </c>
      <c r="C306" s="7" t="s">
        <v>1049</v>
      </c>
      <c r="D306" s="7" t="s">
        <v>1050</v>
      </c>
      <c r="E306" s="7" t="s">
        <v>1051</v>
      </c>
      <c r="F306" s="7" t="n">
        <v>2</v>
      </c>
      <c r="G306" s="7" t="s">
        <v>83</v>
      </c>
      <c r="H306" s="7" t="s">
        <v>84</v>
      </c>
      <c r="I306" s="7" t="s">
        <v>61</v>
      </c>
      <c r="J306" s="7" t="s">
        <v>62</v>
      </c>
      <c r="K306" s="7" t="s">
        <v>1090</v>
      </c>
      <c r="L306" s="7" t="s">
        <v>1063</v>
      </c>
      <c r="M306" s="7"/>
      <c r="N306" s="7"/>
      <c r="O306" s="8"/>
      <c r="P306" s="8"/>
      <c r="Q306" s="8"/>
      <c r="R306" s="8"/>
      <c r="S306" s="8"/>
      <c r="T306" s="8"/>
    </row>
    <row r="307" customFormat="false" ht="35.05" hidden="false" customHeight="false" outlineLevel="0" collapsed="false">
      <c r="A307" s="7" t="s">
        <v>1091</v>
      </c>
      <c r="B307" s="7" t="s">
        <v>1092</v>
      </c>
      <c r="C307" s="7" t="s">
        <v>1049</v>
      </c>
      <c r="D307" s="7" t="s">
        <v>1050</v>
      </c>
      <c r="E307" s="7" t="s">
        <v>1051</v>
      </c>
      <c r="F307" s="7" t="n">
        <v>2</v>
      </c>
      <c r="G307" s="7" t="s">
        <v>83</v>
      </c>
      <c r="H307" s="7" t="s">
        <v>84</v>
      </c>
      <c r="I307" s="7" t="s">
        <v>61</v>
      </c>
      <c r="J307" s="7" t="s">
        <v>62</v>
      </c>
      <c r="K307" s="7" t="s">
        <v>1093</v>
      </c>
      <c r="L307" s="7" t="s">
        <v>1063</v>
      </c>
      <c r="M307" s="7"/>
      <c r="N307" s="7"/>
      <c r="O307" s="8"/>
      <c r="P307" s="8"/>
      <c r="Q307" s="8"/>
      <c r="R307" s="8"/>
      <c r="S307" s="8"/>
      <c r="T307" s="8"/>
    </row>
    <row r="308" customFormat="false" ht="15" hidden="false" customHeight="false" outlineLevel="0" collapsed="false">
      <c r="A308" s="11" t="s">
        <v>1094</v>
      </c>
      <c r="B308" s="11" t="s">
        <v>1095</v>
      </c>
      <c r="C308" s="11" t="s">
        <v>1049</v>
      </c>
      <c r="D308" s="11" t="s">
        <v>1050</v>
      </c>
      <c r="E308" s="11" t="s">
        <v>1051</v>
      </c>
      <c r="F308" s="11" t="n">
        <v>1</v>
      </c>
      <c r="G308" s="12" t="s">
        <v>59</v>
      </c>
      <c r="H308" s="11" t="s">
        <v>60</v>
      </c>
      <c r="I308" s="11" t="s">
        <v>61</v>
      </c>
      <c r="J308" s="11" t="s">
        <v>62</v>
      </c>
      <c r="K308" s="11" t="s">
        <v>1096</v>
      </c>
      <c r="L308" s="11"/>
      <c r="M308" s="11"/>
      <c r="N308" s="11"/>
      <c r="O308" s="8"/>
      <c r="P308" s="8"/>
      <c r="Q308" s="8"/>
      <c r="R308" s="8"/>
      <c r="S308" s="8"/>
      <c r="T308" s="8"/>
    </row>
    <row r="309" customFormat="false" ht="35.05" hidden="false" customHeight="false" outlineLevel="0" collapsed="false">
      <c r="A309" s="7" t="s">
        <v>1097</v>
      </c>
      <c r="B309" s="7" t="s">
        <v>1098</v>
      </c>
      <c r="C309" s="7" t="s">
        <v>1049</v>
      </c>
      <c r="D309" s="7" t="s">
        <v>1050</v>
      </c>
      <c r="E309" s="7" t="s">
        <v>1051</v>
      </c>
      <c r="F309" s="7" t="n">
        <v>2</v>
      </c>
      <c r="G309" s="7" t="s">
        <v>83</v>
      </c>
      <c r="H309" s="7" t="s">
        <v>84</v>
      </c>
      <c r="I309" s="7" t="s">
        <v>126</v>
      </c>
      <c r="J309" s="7" t="s">
        <v>62</v>
      </c>
      <c r="K309" s="7" t="s">
        <v>1099</v>
      </c>
      <c r="L309" s="7" t="s">
        <v>1096</v>
      </c>
      <c r="M309" s="7"/>
      <c r="N309" s="7"/>
      <c r="O309" s="8"/>
      <c r="P309" s="8"/>
      <c r="Q309" s="8"/>
      <c r="R309" s="8"/>
      <c r="S309" s="8"/>
      <c r="T309" s="8"/>
    </row>
    <row r="310" customFormat="false" ht="23.85" hidden="false" customHeight="false" outlineLevel="0" collapsed="false">
      <c r="A310" s="7" t="s">
        <v>1100</v>
      </c>
      <c r="B310" s="7" t="s">
        <v>1101</v>
      </c>
      <c r="C310" s="7" t="s">
        <v>1049</v>
      </c>
      <c r="D310" s="7" t="s">
        <v>1050</v>
      </c>
      <c r="E310" s="7" t="s">
        <v>1051</v>
      </c>
      <c r="F310" s="7" t="n">
        <v>2</v>
      </c>
      <c r="G310" s="7" t="s">
        <v>83</v>
      </c>
      <c r="H310" s="7" t="s">
        <v>84</v>
      </c>
      <c r="I310" s="7" t="s">
        <v>126</v>
      </c>
      <c r="J310" s="7" t="s">
        <v>62</v>
      </c>
      <c r="K310" s="7" t="s">
        <v>1102</v>
      </c>
      <c r="L310" s="7" t="s">
        <v>1096</v>
      </c>
      <c r="M310" s="7"/>
      <c r="N310" s="7"/>
      <c r="O310" s="8"/>
      <c r="P310" s="8"/>
      <c r="Q310" s="8"/>
      <c r="R310" s="8"/>
      <c r="S310" s="8"/>
      <c r="T310" s="8"/>
    </row>
    <row r="311" customFormat="false" ht="23.85" hidden="false" customHeight="false" outlineLevel="0" collapsed="false">
      <c r="A311" s="7" t="s">
        <v>1103</v>
      </c>
      <c r="B311" s="7" t="s">
        <v>1104</v>
      </c>
      <c r="C311" s="7" t="s">
        <v>1049</v>
      </c>
      <c r="D311" s="7" t="s">
        <v>1050</v>
      </c>
      <c r="E311" s="7" t="s">
        <v>1051</v>
      </c>
      <c r="F311" s="7" t="n">
        <v>2</v>
      </c>
      <c r="G311" s="7" t="s">
        <v>83</v>
      </c>
      <c r="H311" s="7" t="s">
        <v>84</v>
      </c>
      <c r="I311" s="7" t="s">
        <v>61</v>
      </c>
      <c r="J311" s="7" t="s">
        <v>62</v>
      </c>
      <c r="K311" s="7" t="s">
        <v>1105</v>
      </c>
      <c r="L311" s="7" t="s">
        <v>1096</v>
      </c>
      <c r="M311" s="7"/>
      <c r="N311" s="7"/>
      <c r="O311" s="8"/>
      <c r="P311" s="8"/>
      <c r="Q311" s="8"/>
      <c r="R311" s="8"/>
      <c r="S311" s="8"/>
      <c r="T311" s="8"/>
    </row>
    <row r="312" customFormat="false" ht="57.45" hidden="false" customHeight="false" outlineLevel="0" collapsed="false">
      <c r="A312" s="11" t="s">
        <v>1106</v>
      </c>
      <c r="B312" s="11" t="s">
        <v>1107</v>
      </c>
      <c r="C312" s="11" t="s">
        <v>1049</v>
      </c>
      <c r="D312" s="11" t="s">
        <v>1050</v>
      </c>
      <c r="E312" s="11" t="s">
        <v>1051</v>
      </c>
      <c r="F312" s="11" t="n">
        <v>1</v>
      </c>
      <c r="G312" s="12" t="s">
        <v>59</v>
      </c>
      <c r="H312" s="11" t="s">
        <v>60</v>
      </c>
      <c r="I312" s="11" t="s">
        <v>61</v>
      </c>
      <c r="J312" s="11" t="s">
        <v>62</v>
      </c>
      <c r="K312" s="11" t="s">
        <v>1108</v>
      </c>
      <c r="L312" s="11"/>
      <c r="M312" s="11"/>
      <c r="N312" s="11"/>
      <c r="O312" s="8"/>
      <c r="P312" s="8"/>
      <c r="Q312" s="8"/>
      <c r="R312" s="8"/>
      <c r="S312" s="8"/>
      <c r="T312" s="8"/>
    </row>
    <row r="313" customFormat="false" ht="79.85" hidden="false" customHeight="false" outlineLevel="0" collapsed="false">
      <c r="A313" s="7" t="s">
        <v>1109</v>
      </c>
      <c r="B313" s="7" t="s">
        <v>1049</v>
      </c>
      <c r="C313" s="7" t="s">
        <v>1049</v>
      </c>
      <c r="D313" s="7" t="s">
        <v>1050</v>
      </c>
      <c r="E313" s="7" t="s">
        <v>1051</v>
      </c>
      <c r="F313" s="7"/>
      <c r="G313" s="7" t="s">
        <v>65</v>
      </c>
      <c r="H313" s="7" t="s">
        <v>118</v>
      </c>
      <c r="I313" s="7"/>
      <c r="J313" s="7" t="s">
        <v>67</v>
      </c>
      <c r="K313" s="7" t="s">
        <v>1110</v>
      </c>
      <c r="L313" s="7" t="s">
        <v>1108</v>
      </c>
      <c r="M313" s="7" t="s">
        <v>1111</v>
      </c>
      <c r="N313" s="7"/>
      <c r="O313" s="8"/>
      <c r="P313" s="8"/>
      <c r="Q313" s="8"/>
      <c r="R313" s="8"/>
      <c r="S313" s="8"/>
      <c r="T313" s="8"/>
    </row>
    <row r="314" customFormat="false" ht="23.85" hidden="false" customHeight="false" outlineLevel="0" collapsed="false">
      <c r="A314" s="11" t="s">
        <v>1112</v>
      </c>
      <c r="B314" s="11" t="s">
        <v>1113</v>
      </c>
      <c r="C314" s="11" t="s">
        <v>1049</v>
      </c>
      <c r="D314" s="11" t="s">
        <v>1050</v>
      </c>
      <c r="E314" s="11" t="s">
        <v>1051</v>
      </c>
      <c r="F314" s="11" t="n">
        <v>1</v>
      </c>
      <c r="G314" s="12" t="s">
        <v>59</v>
      </c>
      <c r="H314" s="11" t="s">
        <v>60</v>
      </c>
      <c r="I314" s="11" t="s">
        <v>61</v>
      </c>
      <c r="J314" s="11" t="s">
        <v>62</v>
      </c>
      <c r="K314" s="11" t="s">
        <v>1114</v>
      </c>
      <c r="L314" s="11"/>
      <c r="M314" s="11"/>
      <c r="N314" s="11"/>
      <c r="O314" s="8"/>
      <c r="P314" s="8"/>
      <c r="Q314" s="8"/>
      <c r="R314" s="8"/>
      <c r="S314" s="8"/>
      <c r="T314" s="8"/>
    </row>
    <row r="315" customFormat="false" ht="35.05" hidden="false" customHeight="false" outlineLevel="0" collapsed="false">
      <c r="A315" s="7" t="s">
        <v>1115</v>
      </c>
      <c r="B315" s="7" t="s">
        <v>1049</v>
      </c>
      <c r="C315" s="7" t="s">
        <v>1049</v>
      </c>
      <c r="D315" s="7" t="s">
        <v>1050</v>
      </c>
      <c r="E315" s="7" t="s">
        <v>1051</v>
      </c>
      <c r="F315" s="7"/>
      <c r="G315" s="7" t="s">
        <v>65</v>
      </c>
      <c r="H315" s="7" t="s">
        <v>118</v>
      </c>
      <c r="I315" s="7"/>
      <c r="J315" s="7" t="s">
        <v>67</v>
      </c>
      <c r="K315" s="7" t="s">
        <v>1116</v>
      </c>
      <c r="L315" s="7" t="s">
        <v>1114</v>
      </c>
      <c r="M315" s="7" t="s">
        <v>1117</v>
      </c>
      <c r="N315" s="7"/>
      <c r="O315" s="8"/>
      <c r="P315" s="8"/>
      <c r="Q315" s="8"/>
      <c r="R315" s="8"/>
      <c r="S315" s="8"/>
      <c r="T315" s="8"/>
    </row>
    <row r="316" customFormat="false" ht="46.25" hidden="false" customHeight="false" outlineLevel="0" collapsed="false">
      <c r="A316" s="11" t="s">
        <v>1118</v>
      </c>
      <c r="B316" s="11" t="s">
        <v>1119</v>
      </c>
      <c r="C316" s="11" t="s">
        <v>1120</v>
      </c>
      <c r="D316" s="11" t="s">
        <v>1121</v>
      </c>
      <c r="E316" s="11" t="s">
        <v>1122</v>
      </c>
      <c r="F316" s="11" t="n">
        <v>1</v>
      </c>
      <c r="G316" s="12" t="s">
        <v>59</v>
      </c>
      <c r="H316" s="11" t="s">
        <v>60</v>
      </c>
      <c r="I316" s="11" t="s">
        <v>61</v>
      </c>
      <c r="J316" s="11" t="s">
        <v>62</v>
      </c>
      <c r="K316" s="11" t="s">
        <v>1123</v>
      </c>
      <c r="L316" s="11"/>
      <c r="M316" s="11"/>
      <c r="N316" s="11"/>
      <c r="O316" s="8"/>
      <c r="P316" s="8"/>
      <c r="Q316" s="8"/>
      <c r="R316" s="8"/>
      <c r="S316" s="8"/>
      <c r="T316" s="8"/>
    </row>
    <row r="317" customFormat="false" ht="68.65" hidden="false" customHeight="false" outlineLevel="0" collapsed="false">
      <c r="A317" s="7" t="s">
        <v>1124</v>
      </c>
      <c r="B317" s="7" t="s">
        <v>1120</v>
      </c>
      <c r="C317" s="7" t="s">
        <v>1120</v>
      </c>
      <c r="D317" s="7" t="s">
        <v>1121</v>
      </c>
      <c r="E317" s="7" t="s">
        <v>1122</v>
      </c>
      <c r="F317" s="7"/>
      <c r="G317" s="7" t="s">
        <v>125</v>
      </c>
      <c r="H317" s="7" t="s">
        <v>118</v>
      </c>
      <c r="I317" s="7"/>
      <c r="J317" s="7" t="s">
        <v>67</v>
      </c>
      <c r="K317" s="7" t="s">
        <v>1125</v>
      </c>
      <c r="L317" s="7" t="s">
        <v>1123</v>
      </c>
      <c r="M317" s="7"/>
      <c r="N317" s="7"/>
      <c r="O317" s="8"/>
      <c r="P317" s="8"/>
      <c r="Q317" s="8"/>
      <c r="R317" s="8"/>
      <c r="S317" s="8"/>
      <c r="T317" s="8"/>
    </row>
    <row r="318" customFormat="false" ht="68.65" hidden="false" customHeight="false" outlineLevel="0" collapsed="false">
      <c r="A318" s="7" t="s">
        <v>1126</v>
      </c>
      <c r="B318" s="7" t="s">
        <v>1127</v>
      </c>
      <c r="C318" s="7" t="s">
        <v>1127</v>
      </c>
      <c r="D318" s="7" t="s">
        <v>1128</v>
      </c>
      <c r="E318" s="7" t="s">
        <v>1129</v>
      </c>
      <c r="F318" s="7"/>
      <c r="G318" s="7" t="s">
        <v>125</v>
      </c>
      <c r="H318" s="7"/>
      <c r="I318" s="7"/>
      <c r="J318" s="7" t="s">
        <v>67</v>
      </c>
      <c r="K318" s="7" t="s">
        <v>1130</v>
      </c>
      <c r="L318" s="7"/>
      <c r="M318" s="7"/>
      <c r="N318" s="7"/>
      <c r="O318" s="8"/>
      <c r="P318" s="8"/>
      <c r="Q318" s="8"/>
      <c r="R318" s="8"/>
      <c r="S318" s="8"/>
      <c r="T318" s="8"/>
    </row>
    <row r="319" customFormat="false" ht="23.85" hidden="false" customHeight="false" outlineLevel="0" collapsed="false">
      <c r="A319" s="11" t="s">
        <v>1131</v>
      </c>
      <c r="B319" s="11" t="s">
        <v>1132</v>
      </c>
      <c r="C319" s="11" t="s">
        <v>1133</v>
      </c>
      <c r="D319" s="11" t="s">
        <v>1134</v>
      </c>
      <c r="E319" s="11" t="s">
        <v>1135</v>
      </c>
      <c r="F319" s="11" t="n">
        <v>1</v>
      </c>
      <c r="G319" s="12" t="s">
        <v>59</v>
      </c>
      <c r="H319" s="11" t="s">
        <v>60</v>
      </c>
      <c r="I319" s="11" t="s">
        <v>61</v>
      </c>
      <c r="J319" s="11" t="s">
        <v>62</v>
      </c>
      <c r="K319" s="11" t="s">
        <v>1096</v>
      </c>
      <c r="L319" s="11"/>
      <c r="M319" s="11"/>
      <c r="N319" s="11"/>
      <c r="O319" s="8"/>
      <c r="P319" s="8"/>
      <c r="Q319" s="8"/>
      <c r="R319" s="8"/>
      <c r="S319" s="8"/>
      <c r="T319" s="8"/>
    </row>
    <row r="320" customFormat="false" ht="35.05" hidden="false" customHeight="false" outlineLevel="0" collapsed="false">
      <c r="A320" s="7" t="s">
        <v>1136</v>
      </c>
      <c r="B320" s="7" t="s">
        <v>1137</v>
      </c>
      <c r="C320" s="7" t="s">
        <v>1133</v>
      </c>
      <c r="D320" s="7" t="s">
        <v>1134</v>
      </c>
      <c r="E320" s="7" t="s">
        <v>1135</v>
      </c>
      <c r="F320" s="7" t="n">
        <v>2</v>
      </c>
      <c r="G320" s="7" t="s">
        <v>83</v>
      </c>
      <c r="H320" s="7" t="s">
        <v>84</v>
      </c>
      <c r="I320" s="7" t="s">
        <v>61</v>
      </c>
      <c r="J320" s="7" t="s">
        <v>62</v>
      </c>
      <c r="K320" s="7" t="s">
        <v>1138</v>
      </c>
      <c r="L320" s="7" t="s">
        <v>1096</v>
      </c>
      <c r="M320" s="7"/>
      <c r="N320" s="7"/>
      <c r="O320" s="8"/>
      <c r="P320" s="8"/>
      <c r="Q320" s="8"/>
      <c r="R320" s="8"/>
      <c r="S320" s="8"/>
      <c r="T320" s="8"/>
    </row>
    <row r="321" customFormat="false" ht="23.85" hidden="false" customHeight="false" outlineLevel="0" collapsed="false">
      <c r="A321" s="7" t="s">
        <v>1139</v>
      </c>
      <c r="B321" s="7" t="s">
        <v>1140</v>
      </c>
      <c r="C321" s="7" t="s">
        <v>1133</v>
      </c>
      <c r="D321" s="7" t="s">
        <v>1134</v>
      </c>
      <c r="E321" s="7" t="s">
        <v>1135</v>
      </c>
      <c r="F321" s="7" t="n">
        <v>2</v>
      </c>
      <c r="G321" s="7" t="s">
        <v>83</v>
      </c>
      <c r="H321" s="7" t="s">
        <v>84</v>
      </c>
      <c r="I321" s="7" t="s">
        <v>126</v>
      </c>
      <c r="J321" s="7" t="s">
        <v>62</v>
      </c>
      <c r="K321" s="7" t="s">
        <v>1141</v>
      </c>
      <c r="L321" s="7" t="s">
        <v>1096</v>
      </c>
      <c r="M321" s="7"/>
      <c r="N321" s="7"/>
      <c r="O321" s="8"/>
      <c r="P321" s="8"/>
      <c r="Q321" s="8"/>
      <c r="R321" s="8"/>
      <c r="S321" s="8"/>
      <c r="T321" s="8"/>
    </row>
    <row r="322" customFormat="false" ht="23.85" hidden="false" customHeight="false" outlineLevel="0" collapsed="false">
      <c r="A322" s="7" t="s">
        <v>1142</v>
      </c>
      <c r="B322" s="7" t="s">
        <v>1143</v>
      </c>
      <c r="C322" s="7" t="s">
        <v>1133</v>
      </c>
      <c r="D322" s="7" t="s">
        <v>1134</v>
      </c>
      <c r="E322" s="7" t="s">
        <v>1135</v>
      </c>
      <c r="F322" s="7" t="n">
        <v>2</v>
      </c>
      <c r="G322" s="7" t="s">
        <v>83</v>
      </c>
      <c r="H322" s="7" t="s">
        <v>84</v>
      </c>
      <c r="I322" s="7" t="s">
        <v>61</v>
      </c>
      <c r="J322" s="7" t="s">
        <v>62</v>
      </c>
      <c r="K322" s="7" t="s">
        <v>1144</v>
      </c>
      <c r="L322" s="7" t="s">
        <v>1096</v>
      </c>
      <c r="M322" s="7"/>
      <c r="N322" s="7"/>
      <c r="O322" s="8"/>
      <c r="P322" s="8"/>
      <c r="Q322" s="8"/>
      <c r="R322" s="8"/>
      <c r="S322" s="8"/>
      <c r="T322" s="8"/>
    </row>
    <row r="323" customFormat="false" ht="35.05" hidden="false" customHeight="false" outlineLevel="0" collapsed="false">
      <c r="A323" s="7" t="s">
        <v>1145</v>
      </c>
      <c r="B323" s="7" t="s">
        <v>1146</v>
      </c>
      <c r="C323" s="7" t="s">
        <v>1133</v>
      </c>
      <c r="D323" s="7" t="s">
        <v>1134</v>
      </c>
      <c r="E323" s="7" t="s">
        <v>1135</v>
      </c>
      <c r="F323" s="7" t="n">
        <v>2</v>
      </c>
      <c r="G323" s="7" t="s">
        <v>83</v>
      </c>
      <c r="H323" s="7" t="s">
        <v>84</v>
      </c>
      <c r="I323" s="7" t="s">
        <v>100</v>
      </c>
      <c r="J323" s="7" t="s">
        <v>62</v>
      </c>
      <c r="K323" s="7" t="s">
        <v>1147</v>
      </c>
      <c r="L323" s="7" t="s">
        <v>1096</v>
      </c>
      <c r="M323" s="7"/>
      <c r="N323" s="7"/>
      <c r="O323" s="8"/>
      <c r="P323" s="8"/>
      <c r="Q323" s="8"/>
      <c r="R323" s="8"/>
      <c r="S323" s="8"/>
      <c r="T323" s="8"/>
    </row>
    <row r="324" customFormat="false" ht="57.45" hidden="false" customHeight="false" outlineLevel="0" collapsed="false">
      <c r="A324" s="7" t="s">
        <v>1148</v>
      </c>
      <c r="B324" s="7" t="s">
        <v>1149</v>
      </c>
      <c r="C324" s="7" t="s">
        <v>1133</v>
      </c>
      <c r="D324" s="7" t="s">
        <v>1134</v>
      </c>
      <c r="E324" s="7" t="s">
        <v>1135</v>
      </c>
      <c r="F324" s="7" t="n">
        <v>2</v>
      </c>
      <c r="G324" s="7" t="s">
        <v>83</v>
      </c>
      <c r="H324" s="7" t="s">
        <v>84</v>
      </c>
      <c r="I324" s="7" t="s">
        <v>61</v>
      </c>
      <c r="J324" s="7" t="s">
        <v>62</v>
      </c>
      <c r="K324" s="7" t="s">
        <v>1150</v>
      </c>
      <c r="L324" s="7" t="s">
        <v>1096</v>
      </c>
      <c r="M324" s="7"/>
      <c r="N324" s="7"/>
      <c r="O324" s="8"/>
      <c r="P324" s="8"/>
      <c r="Q324" s="8"/>
      <c r="R324" s="8"/>
      <c r="S324" s="8"/>
      <c r="T324" s="8"/>
    </row>
    <row r="325" customFormat="false" ht="23.85" hidden="false" customHeight="false" outlineLevel="0" collapsed="false">
      <c r="A325" s="7" t="s">
        <v>1151</v>
      </c>
      <c r="B325" s="7" t="s">
        <v>1152</v>
      </c>
      <c r="C325" s="7" t="s">
        <v>1133</v>
      </c>
      <c r="D325" s="7" t="s">
        <v>1134</v>
      </c>
      <c r="E325" s="7" t="s">
        <v>1135</v>
      </c>
      <c r="F325" s="7" t="n">
        <v>2</v>
      </c>
      <c r="G325" s="7" t="s">
        <v>83</v>
      </c>
      <c r="H325" s="7" t="s">
        <v>84</v>
      </c>
      <c r="I325" s="7" t="s">
        <v>61</v>
      </c>
      <c r="J325" s="7" t="s">
        <v>62</v>
      </c>
      <c r="K325" s="7" t="s">
        <v>1153</v>
      </c>
      <c r="L325" s="7" t="s">
        <v>1096</v>
      </c>
      <c r="M325" s="7"/>
      <c r="N325" s="7"/>
      <c r="O325" s="8"/>
      <c r="P325" s="8"/>
      <c r="Q325" s="8"/>
      <c r="R325" s="8"/>
      <c r="S325" s="8"/>
      <c r="T325" s="8"/>
    </row>
    <row r="326" customFormat="false" ht="23.85" hidden="false" customHeight="false" outlineLevel="0" collapsed="false">
      <c r="A326" s="7" t="s">
        <v>1154</v>
      </c>
      <c r="B326" s="7" t="s">
        <v>1155</v>
      </c>
      <c r="C326" s="7" t="s">
        <v>1133</v>
      </c>
      <c r="D326" s="7" t="s">
        <v>1134</v>
      </c>
      <c r="E326" s="7" t="s">
        <v>1135</v>
      </c>
      <c r="F326" s="7" t="n">
        <v>2</v>
      </c>
      <c r="G326" s="7" t="s">
        <v>83</v>
      </c>
      <c r="H326" s="7" t="s">
        <v>84</v>
      </c>
      <c r="I326" s="7" t="s">
        <v>61</v>
      </c>
      <c r="J326" s="7" t="s">
        <v>62</v>
      </c>
      <c r="K326" s="7" t="s">
        <v>1156</v>
      </c>
      <c r="L326" s="7" t="s">
        <v>1096</v>
      </c>
      <c r="M326" s="7"/>
      <c r="N326" s="7"/>
      <c r="O326" s="8"/>
      <c r="P326" s="8"/>
      <c r="Q326" s="8"/>
      <c r="R326" s="8"/>
      <c r="S326" s="8"/>
      <c r="T326" s="8"/>
    </row>
    <row r="327" customFormat="false" ht="23.85" hidden="false" customHeight="false" outlineLevel="0" collapsed="false">
      <c r="A327" s="7" t="s">
        <v>1157</v>
      </c>
      <c r="B327" s="7" t="s">
        <v>1158</v>
      </c>
      <c r="C327" s="7" t="s">
        <v>1133</v>
      </c>
      <c r="D327" s="7" t="s">
        <v>1134</v>
      </c>
      <c r="E327" s="7" t="s">
        <v>1135</v>
      </c>
      <c r="F327" s="7" t="n">
        <v>2</v>
      </c>
      <c r="G327" s="7" t="s">
        <v>83</v>
      </c>
      <c r="H327" s="7" t="s">
        <v>84</v>
      </c>
      <c r="I327" s="7" t="s">
        <v>61</v>
      </c>
      <c r="J327" s="7" t="s">
        <v>62</v>
      </c>
      <c r="K327" s="7" t="s">
        <v>1159</v>
      </c>
      <c r="L327" s="7" t="s">
        <v>1096</v>
      </c>
      <c r="M327" s="7"/>
      <c r="N327" s="7"/>
      <c r="O327" s="8"/>
      <c r="P327" s="8"/>
      <c r="Q327" s="8"/>
      <c r="R327" s="8"/>
      <c r="S327" s="8"/>
      <c r="T327" s="8"/>
    </row>
    <row r="328" customFormat="false" ht="23.85" hidden="false" customHeight="false" outlineLevel="0" collapsed="false">
      <c r="A328" s="7" t="s">
        <v>1160</v>
      </c>
      <c r="B328" s="7" t="s">
        <v>1161</v>
      </c>
      <c r="C328" s="7" t="s">
        <v>1133</v>
      </c>
      <c r="D328" s="7" t="s">
        <v>1134</v>
      </c>
      <c r="E328" s="7" t="s">
        <v>1135</v>
      </c>
      <c r="F328" s="7" t="n">
        <v>2</v>
      </c>
      <c r="G328" s="7" t="s">
        <v>83</v>
      </c>
      <c r="H328" s="7" t="s">
        <v>84</v>
      </c>
      <c r="I328" s="7" t="s">
        <v>61</v>
      </c>
      <c r="J328" s="7" t="s">
        <v>62</v>
      </c>
      <c r="K328" s="7" t="s">
        <v>1162</v>
      </c>
      <c r="L328" s="7" t="s">
        <v>1096</v>
      </c>
      <c r="M328" s="7"/>
      <c r="N328" s="7"/>
      <c r="O328" s="8"/>
      <c r="P328" s="8"/>
      <c r="Q328" s="8"/>
      <c r="R328" s="8"/>
      <c r="S328" s="8"/>
      <c r="T328" s="8"/>
    </row>
    <row r="329" customFormat="false" ht="23.85" hidden="false" customHeight="false" outlineLevel="0" collapsed="false">
      <c r="A329" s="7" t="s">
        <v>1163</v>
      </c>
      <c r="B329" s="7" t="s">
        <v>1164</v>
      </c>
      <c r="C329" s="7" t="s">
        <v>1133</v>
      </c>
      <c r="D329" s="7" t="s">
        <v>1134</v>
      </c>
      <c r="E329" s="7" t="s">
        <v>1135</v>
      </c>
      <c r="F329" s="7" t="n">
        <v>2</v>
      </c>
      <c r="G329" s="7" t="s">
        <v>83</v>
      </c>
      <c r="H329" s="7" t="s">
        <v>84</v>
      </c>
      <c r="I329" s="7" t="s">
        <v>61</v>
      </c>
      <c r="J329" s="7" t="s">
        <v>62</v>
      </c>
      <c r="K329" s="7" t="s">
        <v>1165</v>
      </c>
      <c r="L329" s="7" t="s">
        <v>1096</v>
      </c>
      <c r="M329" s="7"/>
      <c r="N329" s="7"/>
      <c r="O329" s="8"/>
      <c r="P329" s="8"/>
      <c r="Q329" s="8"/>
      <c r="R329" s="8"/>
      <c r="S329" s="8"/>
      <c r="T329" s="8"/>
    </row>
    <row r="330" customFormat="false" ht="23.85" hidden="false" customHeight="false" outlineLevel="0" collapsed="false">
      <c r="A330" s="7" t="s">
        <v>1166</v>
      </c>
      <c r="B330" s="7" t="s">
        <v>1167</v>
      </c>
      <c r="C330" s="7" t="s">
        <v>1133</v>
      </c>
      <c r="D330" s="7" t="s">
        <v>1134</v>
      </c>
      <c r="E330" s="7" t="s">
        <v>1135</v>
      </c>
      <c r="F330" s="7" t="n">
        <v>2</v>
      </c>
      <c r="G330" s="7" t="s">
        <v>83</v>
      </c>
      <c r="H330" s="7" t="s">
        <v>84</v>
      </c>
      <c r="I330" s="7" t="s">
        <v>61</v>
      </c>
      <c r="J330" s="7" t="s">
        <v>62</v>
      </c>
      <c r="K330" s="7" t="s">
        <v>1168</v>
      </c>
      <c r="L330" s="7" t="s">
        <v>1096</v>
      </c>
      <c r="M330" s="7"/>
      <c r="N330" s="7"/>
      <c r="O330" s="8"/>
      <c r="P330" s="8"/>
      <c r="Q330" s="8"/>
      <c r="R330" s="8"/>
      <c r="S330" s="8"/>
      <c r="T330" s="8"/>
    </row>
    <row r="331" customFormat="false" ht="23.85" hidden="false" customHeight="false" outlineLevel="0" collapsed="false">
      <c r="A331" s="7" t="s">
        <v>1169</v>
      </c>
      <c r="B331" s="7" t="s">
        <v>1170</v>
      </c>
      <c r="C331" s="7" t="s">
        <v>1133</v>
      </c>
      <c r="D331" s="7" t="s">
        <v>1134</v>
      </c>
      <c r="E331" s="7" t="s">
        <v>1135</v>
      </c>
      <c r="F331" s="7" t="n">
        <v>2</v>
      </c>
      <c r="G331" s="7" t="s">
        <v>83</v>
      </c>
      <c r="H331" s="7" t="s">
        <v>84</v>
      </c>
      <c r="I331" s="7" t="s">
        <v>61</v>
      </c>
      <c r="J331" s="7" t="s">
        <v>62</v>
      </c>
      <c r="K331" s="7" t="s">
        <v>1171</v>
      </c>
      <c r="L331" s="7" t="s">
        <v>1096</v>
      </c>
      <c r="M331" s="7"/>
      <c r="N331" s="7"/>
      <c r="O331" s="8"/>
      <c r="P331" s="8"/>
      <c r="Q331" s="8"/>
      <c r="R331" s="8"/>
      <c r="S331" s="8"/>
      <c r="T331" s="8"/>
    </row>
    <row r="332" customFormat="false" ht="46.25" hidden="false" customHeight="false" outlineLevel="0" collapsed="false">
      <c r="A332" s="7" t="s">
        <v>1172</v>
      </c>
      <c r="B332" s="7" t="s">
        <v>1173</v>
      </c>
      <c r="C332" s="7" t="s">
        <v>1133</v>
      </c>
      <c r="D332" s="7" t="s">
        <v>1134</v>
      </c>
      <c r="E332" s="7" t="s">
        <v>1135</v>
      </c>
      <c r="F332" s="7" t="n">
        <v>2</v>
      </c>
      <c r="G332" s="7" t="s">
        <v>83</v>
      </c>
      <c r="H332" s="7" t="s">
        <v>241</v>
      </c>
      <c r="I332" s="7" t="s">
        <v>61</v>
      </c>
      <c r="J332" s="7" t="s">
        <v>62</v>
      </c>
      <c r="K332" s="7" t="s">
        <v>1174</v>
      </c>
      <c r="L332" s="7" t="s">
        <v>1096</v>
      </c>
      <c r="M332" s="7"/>
      <c r="N332" s="7"/>
      <c r="O332" s="8"/>
      <c r="P332" s="8"/>
      <c r="Q332" s="8"/>
      <c r="R332" s="8"/>
      <c r="S332" s="8"/>
      <c r="T332" s="8"/>
    </row>
    <row r="333" customFormat="false" ht="35.05" hidden="false" customHeight="false" outlineLevel="0" collapsed="false">
      <c r="A333" s="7" t="s">
        <v>1175</v>
      </c>
      <c r="B333" s="7" t="s">
        <v>1176</v>
      </c>
      <c r="C333" s="7" t="s">
        <v>1133</v>
      </c>
      <c r="D333" s="7" t="s">
        <v>1134</v>
      </c>
      <c r="E333" s="7" t="s">
        <v>1135</v>
      </c>
      <c r="F333" s="7" t="n">
        <v>2</v>
      </c>
      <c r="G333" s="7" t="s">
        <v>83</v>
      </c>
      <c r="H333" s="7" t="s">
        <v>84</v>
      </c>
      <c r="I333" s="7" t="s">
        <v>61</v>
      </c>
      <c r="J333" s="7" t="s">
        <v>62</v>
      </c>
      <c r="K333" s="7" t="s">
        <v>1177</v>
      </c>
      <c r="L333" s="7" t="s">
        <v>1096</v>
      </c>
      <c r="M333" s="7"/>
      <c r="N333" s="7"/>
      <c r="O333" s="8"/>
      <c r="P333" s="8"/>
      <c r="Q333" s="8"/>
      <c r="R333" s="8"/>
      <c r="S333" s="8"/>
      <c r="T333" s="8"/>
    </row>
    <row r="334" customFormat="false" ht="23.85" hidden="false" customHeight="false" outlineLevel="0" collapsed="false">
      <c r="A334" s="11" t="s">
        <v>1178</v>
      </c>
      <c r="B334" s="11" t="s">
        <v>1179</v>
      </c>
      <c r="C334" s="11" t="s">
        <v>1133</v>
      </c>
      <c r="D334" s="11" t="s">
        <v>1134</v>
      </c>
      <c r="E334" s="11" t="s">
        <v>1135</v>
      </c>
      <c r="F334" s="11" t="n">
        <v>1</v>
      </c>
      <c r="G334" s="12" t="s">
        <v>59</v>
      </c>
      <c r="H334" s="11" t="s">
        <v>60</v>
      </c>
      <c r="I334" s="11" t="s">
        <v>61</v>
      </c>
      <c r="J334" s="11" t="s">
        <v>62</v>
      </c>
      <c r="K334" s="11" t="s">
        <v>1180</v>
      </c>
      <c r="L334" s="11"/>
      <c r="M334" s="11"/>
      <c r="N334" s="11"/>
      <c r="O334" s="8"/>
      <c r="P334" s="8"/>
      <c r="Q334" s="8"/>
      <c r="R334" s="8"/>
      <c r="S334" s="8"/>
      <c r="T334" s="8"/>
    </row>
    <row r="335" customFormat="false" ht="23.85" hidden="false" customHeight="false" outlineLevel="0" collapsed="false">
      <c r="A335" s="11" t="s">
        <v>1181</v>
      </c>
      <c r="B335" s="11" t="s">
        <v>1182</v>
      </c>
      <c r="C335" s="11" t="s">
        <v>1133</v>
      </c>
      <c r="D335" s="11" t="s">
        <v>1134</v>
      </c>
      <c r="E335" s="11" t="s">
        <v>1135</v>
      </c>
      <c r="F335" s="11" t="n">
        <v>1</v>
      </c>
      <c r="G335" s="12" t="s">
        <v>59</v>
      </c>
      <c r="H335" s="11" t="s">
        <v>60</v>
      </c>
      <c r="I335" s="11" t="s">
        <v>61</v>
      </c>
      <c r="J335" s="11" t="s">
        <v>62</v>
      </c>
      <c r="K335" s="11" t="s">
        <v>1183</v>
      </c>
      <c r="L335" s="11"/>
      <c r="M335" s="11"/>
      <c r="N335" s="11"/>
      <c r="O335" s="8"/>
      <c r="P335" s="8"/>
      <c r="Q335" s="8"/>
      <c r="R335" s="8"/>
      <c r="S335" s="8"/>
      <c r="T335" s="8"/>
    </row>
    <row r="336" customFormat="false" ht="46.25" hidden="false" customHeight="false" outlineLevel="0" collapsed="false">
      <c r="A336" s="7" t="s">
        <v>1184</v>
      </c>
      <c r="B336" s="7" t="s">
        <v>1133</v>
      </c>
      <c r="C336" s="7" t="s">
        <v>1133</v>
      </c>
      <c r="D336" s="7" t="s">
        <v>1134</v>
      </c>
      <c r="E336" s="7" t="s">
        <v>1135</v>
      </c>
      <c r="F336" s="7"/>
      <c r="G336" s="7" t="s">
        <v>65</v>
      </c>
      <c r="H336" s="7" t="s">
        <v>660</v>
      </c>
      <c r="I336" s="7" t="s">
        <v>100</v>
      </c>
      <c r="J336" s="7" t="s">
        <v>67</v>
      </c>
      <c r="K336" s="7" t="s">
        <v>1185</v>
      </c>
      <c r="L336" s="7" t="s">
        <v>1183</v>
      </c>
      <c r="M336" s="7"/>
      <c r="N336" s="7" t="s">
        <v>206</v>
      </c>
      <c r="O336" s="8"/>
      <c r="P336" s="8"/>
      <c r="Q336" s="8"/>
      <c r="R336" s="8"/>
      <c r="S336" s="8"/>
      <c r="T336" s="8"/>
    </row>
    <row r="337" customFormat="false" ht="35.05" hidden="false" customHeight="false" outlineLevel="0" collapsed="false">
      <c r="A337" s="7" t="s">
        <v>1186</v>
      </c>
      <c r="B337" s="7" t="s">
        <v>1133</v>
      </c>
      <c r="C337" s="7" t="s">
        <v>1133</v>
      </c>
      <c r="D337" s="7" t="s">
        <v>1134</v>
      </c>
      <c r="E337" s="7" t="s">
        <v>1135</v>
      </c>
      <c r="F337" s="7"/>
      <c r="G337" s="7" t="s">
        <v>65</v>
      </c>
      <c r="H337" s="7" t="s">
        <v>118</v>
      </c>
      <c r="I337" s="7"/>
      <c r="J337" s="7" t="s">
        <v>67</v>
      </c>
      <c r="K337" s="7" t="s">
        <v>1187</v>
      </c>
      <c r="L337" s="7" t="s">
        <v>1183</v>
      </c>
      <c r="M337" s="7" t="s">
        <v>1188</v>
      </c>
      <c r="N337" s="7"/>
      <c r="O337" s="8"/>
      <c r="P337" s="8"/>
      <c r="Q337" s="8"/>
      <c r="R337" s="8"/>
      <c r="S337" s="8"/>
      <c r="T337" s="8"/>
    </row>
    <row r="338" customFormat="false" ht="79.85" hidden="false" customHeight="false" outlineLevel="0" collapsed="false">
      <c r="A338" s="7" t="s">
        <v>1189</v>
      </c>
      <c r="B338" s="7" t="s">
        <v>1190</v>
      </c>
      <c r="C338" s="7" t="s">
        <v>1190</v>
      </c>
      <c r="D338" s="7" t="s">
        <v>1191</v>
      </c>
      <c r="E338" s="7" t="s">
        <v>1192</v>
      </c>
      <c r="F338" s="7"/>
      <c r="G338" s="7" t="s">
        <v>125</v>
      </c>
      <c r="H338" s="7"/>
      <c r="I338" s="7" t="s">
        <v>61</v>
      </c>
      <c r="J338" s="7" t="s">
        <v>67</v>
      </c>
      <c r="K338" s="7" t="s">
        <v>1193</v>
      </c>
      <c r="L338" s="7"/>
      <c r="M338" s="7"/>
      <c r="N338" s="7"/>
      <c r="O338" s="8"/>
      <c r="P338" s="8"/>
      <c r="Q338" s="8"/>
      <c r="R338" s="8"/>
      <c r="S338" s="8"/>
      <c r="T338" s="8"/>
    </row>
    <row r="339" customFormat="false" ht="23.85" hidden="false" customHeight="false" outlineLevel="0" collapsed="false">
      <c r="A339" s="11" t="s">
        <v>1194</v>
      </c>
      <c r="B339" s="11" t="s">
        <v>1195</v>
      </c>
      <c r="C339" s="11" t="s">
        <v>1190</v>
      </c>
      <c r="D339" s="11" t="s">
        <v>1191</v>
      </c>
      <c r="E339" s="11" t="s">
        <v>1192</v>
      </c>
      <c r="F339" s="11" t="n">
        <v>1</v>
      </c>
      <c r="G339" s="12" t="s">
        <v>59</v>
      </c>
      <c r="H339" s="11" t="s">
        <v>60</v>
      </c>
      <c r="I339" s="11" t="s">
        <v>61</v>
      </c>
      <c r="J339" s="11" t="s">
        <v>62</v>
      </c>
      <c r="K339" s="11" t="s">
        <v>1196</v>
      </c>
      <c r="L339" s="11"/>
      <c r="M339" s="11"/>
      <c r="N339" s="11"/>
      <c r="O339" s="8"/>
      <c r="P339" s="8"/>
      <c r="Q339" s="8"/>
      <c r="R339" s="8"/>
      <c r="S339" s="8"/>
      <c r="T339" s="8"/>
    </row>
    <row r="340" customFormat="false" ht="35.05" hidden="false" customHeight="false" outlineLevel="0" collapsed="false">
      <c r="A340" s="11" t="s">
        <v>1197</v>
      </c>
      <c r="B340" s="11" t="s">
        <v>1198</v>
      </c>
      <c r="C340" s="11" t="s">
        <v>1190</v>
      </c>
      <c r="D340" s="11" t="s">
        <v>1191</v>
      </c>
      <c r="E340" s="11" t="s">
        <v>1192</v>
      </c>
      <c r="F340" s="11" t="n">
        <v>1</v>
      </c>
      <c r="G340" s="12" t="s">
        <v>59</v>
      </c>
      <c r="H340" s="11" t="s">
        <v>60</v>
      </c>
      <c r="I340" s="11" t="s">
        <v>61</v>
      </c>
      <c r="J340" s="11" t="s">
        <v>62</v>
      </c>
      <c r="K340" s="11" t="s">
        <v>1199</v>
      </c>
      <c r="L340" s="11"/>
      <c r="M340" s="11"/>
      <c r="N340" s="11"/>
      <c r="O340" s="8"/>
      <c r="P340" s="8"/>
      <c r="Q340" s="8"/>
      <c r="R340" s="8"/>
      <c r="S340" s="8"/>
      <c r="T340" s="8"/>
    </row>
    <row r="341" customFormat="false" ht="23.85" hidden="false" customHeight="false" outlineLevel="0" collapsed="false">
      <c r="A341" s="11" t="s">
        <v>1200</v>
      </c>
      <c r="B341" s="11" t="s">
        <v>1201</v>
      </c>
      <c r="C341" s="11" t="s">
        <v>1190</v>
      </c>
      <c r="D341" s="11" t="s">
        <v>1191</v>
      </c>
      <c r="E341" s="11" t="s">
        <v>1192</v>
      </c>
      <c r="F341" s="11" t="n">
        <v>1</v>
      </c>
      <c r="G341" s="12" t="s">
        <v>59</v>
      </c>
      <c r="H341" s="11" t="s">
        <v>60</v>
      </c>
      <c r="I341" s="11" t="s">
        <v>126</v>
      </c>
      <c r="J341" s="11" t="s">
        <v>62</v>
      </c>
      <c r="K341" s="11" t="s">
        <v>1202</v>
      </c>
      <c r="L341" s="11"/>
      <c r="M341" s="11"/>
      <c r="N341" s="11"/>
      <c r="O341" s="8"/>
      <c r="P341" s="8"/>
      <c r="Q341" s="8"/>
      <c r="R341" s="8"/>
      <c r="S341" s="8"/>
      <c r="T341" s="8"/>
    </row>
    <row r="342" customFormat="false" ht="23.85" hidden="false" customHeight="false" outlineLevel="0" collapsed="false">
      <c r="A342" s="11" t="s">
        <v>1203</v>
      </c>
      <c r="B342" s="11" t="s">
        <v>1204</v>
      </c>
      <c r="C342" s="11" t="s">
        <v>1190</v>
      </c>
      <c r="D342" s="11" t="s">
        <v>1191</v>
      </c>
      <c r="E342" s="11" t="s">
        <v>1192</v>
      </c>
      <c r="F342" s="11" t="n">
        <v>1</v>
      </c>
      <c r="G342" s="12" t="s">
        <v>59</v>
      </c>
      <c r="H342" s="11" t="s">
        <v>60</v>
      </c>
      <c r="I342" s="11" t="s">
        <v>61</v>
      </c>
      <c r="J342" s="11" t="s">
        <v>62</v>
      </c>
      <c r="K342" s="11" t="s">
        <v>1205</v>
      </c>
      <c r="L342" s="11"/>
      <c r="M342" s="11"/>
      <c r="N342" s="11"/>
      <c r="O342" s="8"/>
      <c r="P342" s="8"/>
      <c r="Q342" s="8"/>
      <c r="R342" s="8"/>
      <c r="S342" s="8"/>
      <c r="T342" s="8"/>
    </row>
    <row r="343" customFormat="false" ht="23.85" hidden="false" customHeight="false" outlineLevel="0" collapsed="false">
      <c r="A343" s="11" t="s">
        <v>1206</v>
      </c>
      <c r="B343" s="11" t="s">
        <v>1207</v>
      </c>
      <c r="C343" s="11" t="s">
        <v>1190</v>
      </c>
      <c r="D343" s="11" t="s">
        <v>1191</v>
      </c>
      <c r="E343" s="11" t="s">
        <v>1192</v>
      </c>
      <c r="F343" s="11" t="n">
        <v>1</v>
      </c>
      <c r="G343" s="12" t="s">
        <v>59</v>
      </c>
      <c r="H343" s="11" t="s">
        <v>60</v>
      </c>
      <c r="I343" s="11" t="s">
        <v>61</v>
      </c>
      <c r="J343" s="11" t="s">
        <v>62</v>
      </c>
      <c r="K343" s="11" t="s">
        <v>1208</v>
      </c>
      <c r="L343" s="11"/>
      <c r="M343" s="11"/>
      <c r="N343" s="11"/>
      <c r="O343" s="8"/>
      <c r="P343" s="8"/>
      <c r="Q343" s="8"/>
      <c r="R343" s="8"/>
      <c r="S343" s="8"/>
      <c r="T343" s="8"/>
    </row>
    <row r="344" customFormat="false" ht="15" hidden="false" customHeight="false" outlineLevel="0" collapsed="false">
      <c r="A344" s="11" t="s">
        <v>1209</v>
      </c>
      <c r="B344" s="11" t="s">
        <v>1210</v>
      </c>
      <c r="C344" s="11" t="s">
        <v>1211</v>
      </c>
      <c r="D344" s="11" t="s">
        <v>1212</v>
      </c>
      <c r="E344" s="11" t="s">
        <v>1213</v>
      </c>
      <c r="F344" s="11" t="n">
        <v>1</v>
      </c>
      <c r="G344" s="12" t="s">
        <v>59</v>
      </c>
      <c r="H344" s="11" t="s">
        <v>60</v>
      </c>
      <c r="I344" s="11" t="s">
        <v>61</v>
      </c>
      <c r="J344" s="11" t="s">
        <v>62</v>
      </c>
      <c r="K344" s="11" t="s">
        <v>1214</v>
      </c>
      <c r="L344" s="11"/>
      <c r="M344" s="11"/>
      <c r="N344" s="11"/>
      <c r="O344" s="8"/>
      <c r="P344" s="8"/>
      <c r="Q344" s="8"/>
      <c r="R344" s="8"/>
      <c r="S344" s="8"/>
      <c r="T344" s="8"/>
    </row>
    <row r="345" customFormat="false" ht="23.85" hidden="false" customHeight="false" outlineLevel="0" collapsed="false">
      <c r="A345" s="7" t="s">
        <v>1215</v>
      </c>
      <c r="B345" s="7" t="s">
        <v>1216</v>
      </c>
      <c r="C345" s="7" t="s">
        <v>1211</v>
      </c>
      <c r="D345" s="7" t="s">
        <v>1212</v>
      </c>
      <c r="E345" s="7" t="s">
        <v>1213</v>
      </c>
      <c r="F345" s="7" t="n">
        <v>2</v>
      </c>
      <c r="G345" s="7" t="s">
        <v>83</v>
      </c>
      <c r="H345" s="7" t="s">
        <v>84</v>
      </c>
      <c r="I345" s="7" t="s">
        <v>61</v>
      </c>
      <c r="J345" s="7" t="s">
        <v>62</v>
      </c>
      <c r="K345" s="7" t="s">
        <v>1217</v>
      </c>
      <c r="L345" s="7" t="s">
        <v>1214</v>
      </c>
      <c r="M345" s="7"/>
      <c r="N345" s="7"/>
      <c r="O345" s="8"/>
      <c r="P345" s="8"/>
      <c r="Q345" s="8"/>
      <c r="R345" s="8"/>
      <c r="S345" s="8"/>
      <c r="T345" s="8"/>
    </row>
    <row r="346" customFormat="false" ht="23.85" hidden="false" customHeight="false" outlineLevel="0" collapsed="false">
      <c r="A346" s="7" t="s">
        <v>1218</v>
      </c>
      <c r="B346" s="7" t="s">
        <v>1219</v>
      </c>
      <c r="C346" s="7" t="s">
        <v>1211</v>
      </c>
      <c r="D346" s="7" t="s">
        <v>1212</v>
      </c>
      <c r="E346" s="7" t="s">
        <v>1213</v>
      </c>
      <c r="F346" s="7" t="n">
        <v>2</v>
      </c>
      <c r="G346" s="7" t="s">
        <v>83</v>
      </c>
      <c r="H346" s="7" t="s">
        <v>84</v>
      </c>
      <c r="I346" s="7" t="s">
        <v>61</v>
      </c>
      <c r="J346" s="7" t="s">
        <v>62</v>
      </c>
      <c r="K346" s="7" t="s">
        <v>1220</v>
      </c>
      <c r="L346" s="7" t="s">
        <v>1214</v>
      </c>
      <c r="M346" s="7"/>
      <c r="N346" s="7"/>
      <c r="O346" s="8"/>
      <c r="P346" s="8"/>
      <c r="Q346" s="8"/>
      <c r="R346" s="8"/>
      <c r="S346" s="8"/>
      <c r="T346" s="8"/>
    </row>
    <row r="347" customFormat="false" ht="57.45" hidden="false" customHeight="false" outlineLevel="0" collapsed="false">
      <c r="A347" s="7" t="s">
        <v>1221</v>
      </c>
      <c r="B347" s="7" t="s">
        <v>1222</v>
      </c>
      <c r="C347" s="7" t="s">
        <v>1211</v>
      </c>
      <c r="D347" s="7" t="s">
        <v>1212</v>
      </c>
      <c r="E347" s="7" t="s">
        <v>1213</v>
      </c>
      <c r="F347" s="7" t="n">
        <v>2</v>
      </c>
      <c r="G347" s="7" t="s">
        <v>83</v>
      </c>
      <c r="H347" s="7" t="s">
        <v>84</v>
      </c>
      <c r="I347" s="7" t="s">
        <v>61</v>
      </c>
      <c r="J347" s="7" t="s">
        <v>62</v>
      </c>
      <c r="K347" s="7" t="s">
        <v>1223</v>
      </c>
      <c r="L347" s="7" t="s">
        <v>1214</v>
      </c>
      <c r="M347" s="7"/>
      <c r="N347" s="7"/>
      <c r="O347" s="8"/>
      <c r="P347" s="8"/>
      <c r="Q347" s="8"/>
      <c r="R347" s="8"/>
      <c r="S347" s="8"/>
      <c r="T347" s="8"/>
    </row>
    <row r="348" customFormat="false" ht="23.85" hidden="false" customHeight="false" outlineLevel="0" collapsed="false">
      <c r="A348" s="11" t="s">
        <v>1224</v>
      </c>
      <c r="B348" s="11" t="s">
        <v>1225</v>
      </c>
      <c r="C348" s="11" t="s">
        <v>1211</v>
      </c>
      <c r="D348" s="11" t="s">
        <v>1212</v>
      </c>
      <c r="E348" s="11" t="s">
        <v>1213</v>
      </c>
      <c r="F348" s="11" t="n">
        <v>1</v>
      </c>
      <c r="G348" s="12" t="s">
        <v>59</v>
      </c>
      <c r="H348" s="11" t="s">
        <v>60</v>
      </c>
      <c r="I348" s="11" t="s">
        <v>61</v>
      </c>
      <c r="J348" s="11" t="s">
        <v>62</v>
      </c>
      <c r="K348" s="11" t="s">
        <v>1226</v>
      </c>
      <c r="L348" s="11"/>
      <c r="M348" s="11"/>
      <c r="N348" s="11"/>
      <c r="O348" s="8"/>
      <c r="P348" s="8"/>
      <c r="Q348" s="8"/>
      <c r="R348" s="8"/>
      <c r="S348" s="8"/>
      <c r="T348" s="8"/>
    </row>
    <row r="349" customFormat="false" ht="23.85" hidden="false" customHeight="false" outlineLevel="0" collapsed="false">
      <c r="A349" s="7" t="s">
        <v>1227</v>
      </c>
      <c r="B349" s="7" t="s">
        <v>1228</v>
      </c>
      <c r="C349" s="7" t="s">
        <v>1211</v>
      </c>
      <c r="D349" s="7" t="s">
        <v>1212</v>
      </c>
      <c r="E349" s="7" t="s">
        <v>1213</v>
      </c>
      <c r="F349" s="7" t="n">
        <v>2</v>
      </c>
      <c r="G349" s="7" t="s">
        <v>83</v>
      </c>
      <c r="H349" s="7" t="s">
        <v>84</v>
      </c>
      <c r="I349" s="7" t="s">
        <v>61</v>
      </c>
      <c r="J349" s="7" t="s">
        <v>62</v>
      </c>
      <c r="K349" s="7" t="s">
        <v>1229</v>
      </c>
      <c r="L349" s="7" t="s">
        <v>1226</v>
      </c>
      <c r="M349" s="7"/>
      <c r="N349" s="7"/>
      <c r="O349" s="8"/>
      <c r="P349" s="8"/>
      <c r="Q349" s="8"/>
      <c r="R349" s="8"/>
      <c r="S349" s="8"/>
      <c r="T349" s="8"/>
    </row>
    <row r="350" customFormat="false" ht="23.85" hidden="false" customHeight="false" outlineLevel="0" collapsed="false">
      <c r="A350" s="7" t="s">
        <v>1230</v>
      </c>
      <c r="B350" s="7" t="s">
        <v>1231</v>
      </c>
      <c r="C350" s="7" t="s">
        <v>1211</v>
      </c>
      <c r="D350" s="7" t="s">
        <v>1212</v>
      </c>
      <c r="E350" s="7" t="s">
        <v>1213</v>
      </c>
      <c r="F350" s="7" t="n">
        <v>2</v>
      </c>
      <c r="G350" s="7" t="s">
        <v>83</v>
      </c>
      <c r="H350" s="7" t="s">
        <v>84</v>
      </c>
      <c r="I350" s="7" t="s">
        <v>61</v>
      </c>
      <c r="J350" s="7" t="s">
        <v>62</v>
      </c>
      <c r="K350" s="7" t="s">
        <v>1232</v>
      </c>
      <c r="L350" s="7" t="s">
        <v>1226</v>
      </c>
      <c r="M350" s="7"/>
      <c r="N350" s="7"/>
      <c r="O350" s="8"/>
      <c r="P350" s="8"/>
      <c r="Q350" s="8"/>
      <c r="R350" s="8"/>
      <c r="S350" s="8"/>
      <c r="T350" s="8"/>
    </row>
    <row r="351" customFormat="false" ht="23.85" hidden="false" customHeight="false" outlineLevel="0" collapsed="false">
      <c r="A351" s="7" t="s">
        <v>1233</v>
      </c>
      <c r="B351" s="7" t="s">
        <v>1234</v>
      </c>
      <c r="C351" s="7" t="s">
        <v>1211</v>
      </c>
      <c r="D351" s="7" t="s">
        <v>1212</v>
      </c>
      <c r="E351" s="7" t="s">
        <v>1213</v>
      </c>
      <c r="F351" s="7" t="n">
        <v>2</v>
      </c>
      <c r="G351" s="7" t="s">
        <v>83</v>
      </c>
      <c r="H351" s="7" t="s">
        <v>84</v>
      </c>
      <c r="I351" s="7" t="s">
        <v>61</v>
      </c>
      <c r="J351" s="7" t="s">
        <v>62</v>
      </c>
      <c r="K351" s="7" t="s">
        <v>1235</v>
      </c>
      <c r="L351" s="7" t="s">
        <v>1226</v>
      </c>
      <c r="M351" s="7"/>
      <c r="N351" s="7"/>
      <c r="O351" s="8"/>
      <c r="P351" s="8"/>
      <c r="Q351" s="8"/>
      <c r="R351" s="8"/>
      <c r="S351" s="8"/>
      <c r="T351" s="8"/>
    </row>
    <row r="352" customFormat="false" ht="23.85" hidden="false" customHeight="false" outlineLevel="0" collapsed="false">
      <c r="A352" s="7" t="s">
        <v>1236</v>
      </c>
      <c r="B352" s="7" t="s">
        <v>1237</v>
      </c>
      <c r="C352" s="7" t="s">
        <v>1211</v>
      </c>
      <c r="D352" s="7" t="s">
        <v>1212</v>
      </c>
      <c r="E352" s="7" t="s">
        <v>1213</v>
      </c>
      <c r="F352" s="7" t="n">
        <v>2</v>
      </c>
      <c r="G352" s="7" t="s">
        <v>83</v>
      </c>
      <c r="H352" s="7" t="s">
        <v>84</v>
      </c>
      <c r="I352" s="7" t="s">
        <v>61</v>
      </c>
      <c r="J352" s="7" t="s">
        <v>62</v>
      </c>
      <c r="K352" s="7" t="s">
        <v>1238</v>
      </c>
      <c r="L352" s="7" t="s">
        <v>1226</v>
      </c>
      <c r="M352" s="7"/>
      <c r="N352" s="7"/>
      <c r="O352" s="8"/>
      <c r="P352" s="8"/>
      <c r="Q352" s="8"/>
      <c r="R352" s="8"/>
      <c r="S352" s="8"/>
      <c r="T352" s="8"/>
    </row>
    <row r="353" customFormat="false" ht="23.85" hidden="false" customHeight="false" outlineLevel="0" collapsed="false">
      <c r="A353" s="7" t="s">
        <v>1239</v>
      </c>
      <c r="B353" s="7" t="s">
        <v>1240</v>
      </c>
      <c r="C353" s="7" t="s">
        <v>1211</v>
      </c>
      <c r="D353" s="7" t="s">
        <v>1212</v>
      </c>
      <c r="E353" s="7" t="s">
        <v>1213</v>
      </c>
      <c r="F353" s="7" t="n">
        <v>2</v>
      </c>
      <c r="G353" s="7" t="s">
        <v>83</v>
      </c>
      <c r="H353" s="7" t="s">
        <v>84</v>
      </c>
      <c r="I353" s="7" t="s">
        <v>61</v>
      </c>
      <c r="J353" s="7" t="s">
        <v>62</v>
      </c>
      <c r="K353" s="7" t="s">
        <v>1241</v>
      </c>
      <c r="L353" s="7" t="s">
        <v>1226</v>
      </c>
      <c r="M353" s="7"/>
      <c r="N353" s="7"/>
      <c r="O353" s="8"/>
      <c r="P353" s="8"/>
      <c r="Q353" s="8"/>
      <c r="R353" s="8"/>
      <c r="S353" s="8"/>
      <c r="T353" s="8"/>
    </row>
    <row r="354" customFormat="false" ht="23.85" hidden="false" customHeight="false" outlineLevel="0" collapsed="false">
      <c r="A354" s="7" t="s">
        <v>1242</v>
      </c>
      <c r="B354" s="7" t="s">
        <v>1243</v>
      </c>
      <c r="C354" s="7" t="s">
        <v>1211</v>
      </c>
      <c r="D354" s="7" t="s">
        <v>1212</v>
      </c>
      <c r="E354" s="7" t="s">
        <v>1213</v>
      </c>
      <c r="F354" s="7" t="n">
        <v>2</v>
      </c>
      <c r="G354" s="7" t="s">
        <v>83</v>
      </c>
      <c r="H354" s="7" t="s">
        <v>84</v>
      </c>
      <c r="I354" s="7" t="s">
        <v>61</v>
      </c>
      <c r="J354" s="7" t="s">
        <v>62</v>
      </c>
      <c r="K354" s="7" t="s">
        <v>1244</v>
      </c>
      <c r="L354" s="7" t="s">
        <v>1226</v>
      </c>
      <c r="M354" s="7"/>
      <c r="N354" s="7"/>
      <c r="O354" s="8"/>
      <c r="P354" s="8"/>
      <c r="Q354" s="8"/>
      <c r="R354" s="8"/>
      <c r="S354" s="8"/>
      <c r="T354" s="8"/>
    </row>
    <row r="355" customFormat="false" ht="23.85" hidden="false" customHeight="false" outlineLevel="0" collapsed="false">
      <c r="A355" s="7" t="s">
        <v>1245</v>
      </c>
      <c r="B355" s="7" t="s">
        <v>1246</v>
      </c>
      <c r="C355" s="7" t="s">
        <v>1211</v>
      </c>
      <c r="D355" s="7" t="s">
        <v>1212</v>
      </c>
      <c r="E355" s="7" t="s">
        <v>1213</v>
      </c>
      <c r="F355" s="7" t="n">
        <v>2</v>
      </c>
      <c r="G355" s="7" t="s">
        <v>83</v>
      </c>
      <c r="H355" s="7" t="s">
        <v>84</v>
      </c>
      <c r="I355" s="7" t="s">
        <v>61</v>
      </c>
      <c r="J355" s="7" t="s">
        <v>62</v>
      </c>
      <c r="K355" s="7" t="s">
        <v>1247</v>
      </c>
      <c r="L355" s="7" t="s">
        <v>1226</v>
      </c>
      <c r="M355" s="7"/>
      <c r="N355" s="7"/>
      <c r="O355" s="8"/>
      <c r="P355" s="8"/>
      <c r="Q355" s="8"/>
      <c r="R355" s="8"/>
      <c r="S355" s="8"/>
      <c r="T355" s="8"/>
    </row>
    <row r="356" customFormat="false" ht="23.85" hidden="false" customHeight="false" outlineLevel="0" collapsed="false">
      <c r="A356" s="7" t="s">
        <v>1248</v>
      </c>
      <c r="B356" s="7" t="s">
        <v>1249</v>
      </c>
      <c r="C356" s="7" t="s">
        <v>1211</v>
      </c>
      <c r="D356" s="7" t="s">
        <v>1212</v>
      </c>
      <c r="E356" s="7" t="s">
        <v>1213</v>
      </c>
      <c r="F356" s="7" t="n">
        <v>2</v>
      </c>
      <c r="G356" s="7" t="s">
        <v>83</v>
      </c>
      <c r="H356" s="7" t="s">
        <v>84</v>
      </c>
      <c r="I356" s="7" t="s">
        <v>61</v>
      </c>
      <c r="J356" s="7" t="s">
        <v>62</v>
      </c>
      <c r="K356" s="7" t="s">
        <v>1250</v>
      </c>
      <c r="L356" s="7" t="s">
        <v>1226</v>
      </c>
      <c r="M356" s="7"/>
      <c r="N356" s="7"/>
      <c r="O356" s="8"/>
      <c r="P356" s="8"/>
      <c r="Q356" s="8"/>
      <c r="R356" s="8"/>
      <c r="S356" s="8"/>
      <c r="T356" s="8"/>
    </row>
    <row r="357" customFormat="false" ht="23.85" hidden="false" customHeight="false" outlineLevel="0" collapsed="false">
      <c r="A357" s="7" t="s">
        <v>1251</v>
      </c>
      <c r="B357" s="7" t="s">
        <v>1252</v>
      </c>
      <c r="C357" s="7" t="s">
        <v>1211</v>
      </c>
      <c r="D357" s="7" t="s">
        <v>1212</v>
      </c>
      <c r="E357" s="7" t="s">
        <v>1213</v>
      </c>
      <c r="F357" s="7" t="n">
        <v>2</v>
      </c>
      <c r="G357" s="7" t="s">
        <v>83</v>
      </c>
      <c r="H357" s="7" t="s">
        <v>84</v>
      </c>
      <c r="I357" s="7" t="s">
        <v>61</v>
      </c>
      <c r="J357" s="7" t="s">
        <v>62</v>
      </c>
      <c r="K357" s="7" t="s">
        <v>1253</v>
      </c>
      <c r="L357" s="7" t="s">
        <v>1226</v>
      </c>
      <c r="M357" s="7"/>
      <c r="N357" s="7"/>
      <c r="O357" s="8"/>
      <c r="P357" s="8"/>
      <c r="Q357" s="8"/>
      <c r="R357" s="8"/>
      <c r="S357" s="8"/>
      <c r="T357" s="8"/>
    </row>
    <row r="358" customFormat="false" ht="23.85" hidden="false" customHeight="false" outlineLevel="0" collapsed="false">
      <c r="A358" s="7" t="s">
        <v>1254</v>
      </c>
      <c r="B358" s="7" t="s">
        <v>1255</v>
      </c>
      <c r="C358" s="7" t="s">
        <v>1211</v>
      </c>
      <c r="D358" s="7" t="s">
        <v>1212</v>
      </c>
      <c r="E358" s="7" t="s">
        <v>1213</v>
      </c>
      <c r="F358" s="7" t="n">
        <v>3</v>
      </c>
      <c r="G358" s="7" t="s">
        <v>83</v>
      </c>
      <c r="H358" s="7" t="s">
        <v>84</v>
      </c>
      <c r="I358" s="7" t="s">
        <v>61</v>
      </c>
      <c r="J358" s="7" t="s">
        <v>62</v>
      </c>
      <c r="K358" s="7" t="s">
        <v>1256</v>
      </c>
      <c r="L358" s="7" t="s">
        <v>1253</v>
      </c>
      <c r="M358" s="7"/>
      <c r="N358" s="7"/>
      <c r="O358" s="8"/>
      <c r="P358" s="8"/>
      <c r="Q358" s="8"/>
      <c r="R358" s="8"/>
      <c r="S358" s="8"/>
      <c r="T358" s="8"/>
    </row>
    <row r="359" customFormat="false" ht="35.05" hidden="false" customHeight="false" outlineLevel="0" collapsed="false">
      <c r="A359" s="7" t="s">
        <v>1257</v>
      </c>
      <c r="B359" s="7" t="s">
        <v>1258</v>
      </c>
      <c r="C359" s="7" t="s">
        <v>1211</v>
      </c>
      <c r="D359" s="7" t="s">
        <v>1212</v>
      </c>
      <c r="E359" s="7" t="s">
        <v>1213</v>
      </c>
      <c r="F359" s="7" t="n">
        <v>3</v>
      </c>
      <c r="G359" s="7" t="s">
        <v>83</v>
      </c>
      <c r="H359" s="7" t="s">
        <v>84</v>
      </c>
      <c r="I359" s="7" t="s">
        <v>61</v>
      </c>
      <c r="J359" s="7" t="s">
        <v>62</v>
      </c>
      <c r="K359" s="7" t="s">
        <v>1259</v>
      </c>
      <c r="L359" s="7" t="s">
        <v>1253</v>
      </c>
      <c r="M359" s="7"/>
      <c r="N359" s="7"/>
      <c r="O359" s="8"/>
      <c r="P359" s="8"/>
      <c r="Q359" s="8"/>
      <c r="R359" s="8"/>
      <c r="S359" s="8"/>
      <c r="T359" s="8"/>
    </row>
    <row r="360" customFormat="false" ht="23.85" hidden="false" customHeight="false" outlineLevel="0" collapsed="false">
      <c r="A360" s="7" t="s">
        <v>1260</v>
      </c>
      <c r="B360" s="7" t="s">
        <v>1261</v>
      </c>
      <c r="C360" s="7" t="s">
        <v>1211</v>
      </c>
      <c r="D360" s="7" t="s">
        <v>1212</v>
      </c>
      <c r="E360" s="7" t="s">
        <v>1213</v>
      </c>
      <c r="F360" s="7" t="n">
        <v>3</v>
      </c>
      <c r="G360" s="7" t="s">
        <v>83</v>
      </c>
      <c r="H360" s="7" t="s">
        <v>84</v>
      </c>
      <c r="I360" s="7" t="s">
        <v>61</v>
      </c>
      <c r="J360" s="7" t="s">
        <v>62</v>
      </c>
      <c r="K360" s="7" t="s">
        <v>1262</v>
      </c>
      <c r="L360" s="7" t="s">
        <v>1253</v>
      </c>
      <c r="M360" s="7"/>
      <c r="N360" s="7"/>
      <c r="O360" s="8"/>
      <c r="P360" s="8"/>
      <c r="Q360" s="8"/>
      <c r="R360" s="8"/>
      <c r="S360" s="8"/>
      <c r="T360" s="8"/>
    </row>
    <row r="361" customFormat="false" ht="23.85" hidden="false" customHeight="false" outlineLevel="0" collapsed="false">
      <c r="A361" s="7" t="s">
        <v>1263</v>
      </c>
      <c r="B361" s="7" t="s">
        <v>1264</v>
      </c>
      <c r="C361" s="7" t="s">
        <v>1211</v>
      </c>
      <c r="D361" s="7" t="s">
        <v>1212</v>
      </c>
      <c r="E361" s="7" t="s">
        <v>1213</v>
      </c>
      <c r="F361" s="7" t="n">
        <v>3</v>
      </c>
      <c r="G361" s="7" t="s">
        <v>83</v>
      </c>
      <c r="H361" s="7" t="s">
        <v>84</v>
      </c>
      <c r="I361" s="7" t="s">
        <v>61</v>
      </c>
      <c r="J361" s="7" t="s">
        <v>62</v>
      </c>
      <c r="K361" s="7" t="s">
        <v>1265</v>
      </c>
      <c r="L361" s="7" t="s">
        <v>1253</v>
      </c>
      <c r="M361" s="7"/>
      <c r="N361" s="7"/>
      <c r="O361" s="8"/>
      <c r="P361" s="8"/>
      <c r="Q361" s="8"/>
      <c r="R361" s="8"/>
      <c r="S361" s="8"/>
      <c r="T361" s="8"/>
    </row>
    <row r="362" customFormat="false" ht="23.85" hidden="false" customHeight="false" outlineLevel="0" collapsed="false">
      <c r="A362" s="7" t="s">
        <v>1266</v>
      </c>
      <c r="B362" s="7" t="s">
        <v>1267</v>
      </c>
      <c r="C362" s="7" t="s">
        <v>1211</v>
      </c>
      <c r="D362" s="7" t="s">
        <v>1212</v>
      </c>
      <c r="E362" s="7" t="s">
        <v>1213</v>
      </c>
      <c r="F362" s="7" t="n">
        <v>3</v>
      </c>
      <c r="G362" s="7" t="s">
        <v>83</v>
      </c>
      <c r="H362" s="7" t="s">
        <v>84</v>
      </c>
      <c r="I362" s="7" t="s">
        <v>61</v>
      </c>
      <c r="J362" s="7" t="s">
        <v>62</v>
      </c>
      <c r="K362" s="7" t="s">
        <v>1268</v>
      </c>
      <c r="L362" s="7" t="s">
        <v>1253</v>
      </c>
      <c r="M362" s="7"/>
      <c r="N362" s="7"/>
      <c r="O362" s="8"/>
      <c r="P362" s="8"/>
      <c r="Q362" s="8"/>
      <c r="R362" s="8"/>
      <c r="S362" s="8"/>
      <c r="T362" s="8"/>
    </row>
    <row r="363" customFormat="false" ht="35.05" hidden="false" customHeight="false" outlineLevel="0" collapsed="false">
      <c r="A363" s="7" t="s">
        <v>1269</v>
      </c>
      <c r="B363" s="7" t="s">
        <v>1270</v>
      </c>
      <c r="C363" s="7" t="s">
        <v>1211</v>
      </c>
      <c r="D363" s="7" t="s">
        <v>1212</v>
      </c>
      <c r="E363" s="7" t="s">
        <v>1213</v>
      </c>
      <c r="F363" s="7" t="n">
        <v>2</v>
      </c>
      <c r="G363" s="7" t="s">
        <v>83</v>
      </c>
      <c r="H363" s="7" t="s">
        <v>84</v>
      </c>
      <c r="I363" s="7" t="s">
        <v>126</v>
      </c>
      <c r="J363" s="7" t="s">
        <v>62</v>
      </c>
      <c r="K363" s="7" t="s">
        <v>1271</v>
      </c>
      <c r="L363" s="7" t="s">
        <v>1226</v>
      </c>
      <c r="M363" s="7"/>
      <c r="N363" s="7"/>
      <c r="O363" s="8"/>
      <c r="P363" s="8"/>
      <c r="Q363" s="8"/>
      <c r="R363" s="8"/>
      <c r="S363" s="8"/>
      <c r="T363" s="8"/>
    </row>
    <row r="364" customFormat="false" ht="23.85" hidden="false" customHeight="false" outlineLevel="0" collapsed="false">
      <c r="A364" s="11" t="s">
        <v>1272</v>
      </c>
      <c r="B364" s="11" t="s">
        <v>1273</v>
      </c>
      <c r="C364" s="11" t="s">
        <v>1211</v>
      </c>
      <c r="D364" s="11" t="s">
        <v>1212</v>
      </c>
      <c r="E364" s="11" t="s">
        <v>1213</v>
      </c>
      <c r="F364" s="11" t="n">
        <v>1</v>
      </c>
      <c r="G364" s="12" t="s">
        <v>59</v>
      </c>
      <c r="H364" s="11" t="s">
        <v>60</v>
      </c>
      <c r="I364" s="11" t="s">
        <v>61</v>
      </c>
      <c r="J364" s="11" t="s">
        <v>62</v>
      </c>
      <c r="K364" s="11" t="s">
        <v>1274</v>
      </c>
      <c r="L364" s="11"/>
      <c r="M364" s="11"/>
      <c r="N364" s="11"/>
      <c r="O364" s="8"/>
      <c r="P364" s="8"/>
      <c r="Q364" s="8"/>
      <c r="R364" s="8"/>
      <c r="S364" s="8"/>
      <c r="T364" s="8"/>
    </row>
    <row r="365" customFormat="false" ht="147" hidden="false" customHeight="false" outlineLevel="0" collapsed="false">
      <c r="A365" s="7" t="s">
        <v>1275</v>
      </c>
      <c r="B365" s="7" t="s">
        <v>1276</v>
      </c>
      <c r="C365" s="7" t="s">
        <v>1276</v>
      </c>
      <c r="D365" s="7" t="s">
        <v>1277</v>
      </c>
      <c r="E365" s="7" t="s">
        <v>1278</v>
      </c>
      <c r="F365" s="7"/>
      <c r="G365" s="7" t="s">
        <v>125</v>
      </c>
      <c r="H365" s="7"/>
      <c r="I365" s="7" t="s">
        <v>100</v>
      </c>
      <c r="J365" s="7" t="s">
        <v>67</v>
      </c>
      <c r="K365" s="7" t="s">
        <v>1279</v>
      </c>
      <c r="L365" s="7"/>
      <c r="M365" s="7"/>
      <c r="N365" s="7"/>
      <c r="O365" s="8"/>
      <c r="P365" s="8"/>
      <c r="Q365" s="8"/>
      <c r="R365" s="8"/>
      <c r="S365" s="8"/>
      <c r="T365" s="8"/>
    </row>
    <row r="366" customFormat="false" ht="23.85" hidden="false" customHeight="false" outlineLevel="0" collapsed="false">
      <c r="A366" s="11" t="s">
        <v>1280</v>
      </c>
      <c r="B366" s="11" t="s">
        <v>1281</v>
      </c>
      <c r="C366" s="11" t="s">
        <v>1276</v>
      </c>
      <c r="D366" s="11" t="s">
        <v>1277</v>
      </c>
      <c r="E366" s="11" t="s">
        <v>1278</v>
      </c>
      <c r="F366" s="11" t="n">
        <v>1</v>
      </c>
      <c r="G366" s="12" t="s">
        <v>59</v>
      </c>
      <c r="H366" s="11" t="s">
        <v>60</v>
      </c>
      <c r="I366" s="11" t="s">
        <v>61</v>
      </c>
      <c r="J366" s="11" t="s">
        <v>62</v>
      </c>
      <c r="K366" s="11" t="s">
        <v>1282</v>
      </c>
      <c r="L366" s="11"/>
      <c r="M366" s="11"/>
      <c r="N366" s="11"/>
      <c r="O366" s="8"/>
      <c r="P366" s="8"/>
      <c r="Q366" s="8"/>
      <c r="R366" s="8"/>
      <c r="S366" s="8"/>
      <c r="T366" s="8"/>
    </row>
    <row r="367" customFormat="false" ht="35.05" hidden="false" customHeight="false" outlineLevel="0" collapsed="false">
      <c r="A367" s="11" t="s">
        <v>1283</v>
      </c>
      <c r="B367" s="11" t="s">
        <v>1284</v>
      </c>
      <c r="C367" s="11" t="s">
        <v>1276</v>
      </c>
      <c r="D367" s="11" t="s">
        <v>1277</v>
      </c>
      <c r="E367" s="11" t="s">
        <v>1278</v>
      </c>
      <c r="F367" s="11" t="n">
        <v>1</v>
      </c>
      <c r="G367" s="12" t="s">
        <v>59</v>
      </c>
      <c r="H367" s="11" t="s">
        <v>60</v>
      </c>
      <c r="I367" s="11" t="s">
        <v>61</v>
      </c>
      <c r="J367" s="11" t="s">
        <v>62</v>
      </c>
      <c r="K367" s="11" t="s">
        <v>1285</v>
      </c>
      <c r="L367" s="11"/>
      <c r="M367" s="11"/>
      <c r="N367" s="11"/>
      <c r="O367" s="8"/>
      <c r="P367" s="8"/>
      <c r="Q367" s="8"/>
      <c r="R367" s="8"/>
      <c r="S367" s="8"/>
      <c r="T367" s="8"/>
    </row>
    <row r="368" customFormat="false" ht="23.85" hidden="false" customHeight="false" outlineLevel="0" collapsed="false">
      <c r="A368" s="11" t="s">
        <v>1286</v>
      </c>
      <c r="B368" s="11" t="s">
        <v>1287</v>
      </c>
      <c r="C368" s="11" t="s">
        <v>1276</v>
      </c>
      <c r="D368" s="11" t="s">
        <v>1277</v>
      </c>
      <c r="E368" s="11" t="s">
        <v>1278</v>
      </c>
      <c r="F368" s="11" t="n">
        <v>1</v>
      </c>
      <c r="G368" s="12" t="s">
        <v>59</v>
      </c>
      <c r="H368" s="11" t="s">
        <v>60</v>
      </c>
      <c r="I368" s="11" t="s">
        <v>61</v>
      </c>
      <c r="J368" s="11" t="s">
        <v>62</v>
      </c>
      <c r="K368" s="11" t="s">
        <v>1288</v>
      </c>
      <c r="L368" s="11"/>
      <c r="M368" s="11"/>
      <c r="N368" s="11"/>
      <c r="O368" s="8"/>
      <c r="P368" s="8"/>
      <c r="Q368" s="8"/>
      <c r="R368" s="8"/>
      <c r="S368" s="8"/>
      <c r="T368" s="8"/>
    </row>
    <row r="369" customFormat="false" ht="23.85" hidden="false" customHeight="false" outlineLevel="0" collapsed="false">
      <c r="A369" s="11" t="s">
        <v>1289</v>
      </c>
      <c r="B369" s="11" t="s">
        <v>1290</v>
      </c>
      <c r="C369" s="11" t="s">
        <v>1276</v>
      </c>
      <c r="D369" s="11" t="s">
        <v>1277</v>
      </c>
      <c r="E369" s="11" t="s">
        <v>1278</v>
      </c>
      <c r="F369" s="11" t="n">
        <v>1</v>
      </c>
      <c r="G369" s="12" t="s">
        <v>59</v>
      </c>
      <c r="H369" s="11" t="s">
        <v>60</v>
      </c>
      <c r="I369" s="11" t="s">
        <v>61</v>
      </c>
      <c r="J369" s="11" t="s">
        <v>62</v>
      </c>
      <c r="K369" s="11" t="s">
        <v>1291</v>
      </c>
      <c r="L369" s="11"/>
      <c r="M369" s="11"/>
      <c r="N369" s="11"/>
      <c r="O369" s="8"/>
      <c r="P369" s="8"/>
      <c r="Q369" s="8"/>
      <c r="R369" s="8"/>
      <c r="S369" s="8"/>
      <c r="T369" s="8"/>
    </row>
    <row r="370" customFormat="false" ht="35.05" hidden="false" customHeight="false" outlineLevel="0" collapsed="false">
      <c r="A370" s="11" t="s">
        <v>1292</v>
      </c>
      <c r="B370" s="11" t="s">
        <v>1293</v>
      </c>
      <c r="C370" s="11" t="s">
        <v>1276</v>
      </c>
      <c r="D370" s="11" t="s">
        <v>1277</v>
      </c>
      <c r="E370" s="11" t="s">
        <v>1278</v>
      </c>
      <c r="F370" s="11" t="n">
        <v>1</v>
      </c>
      <c r="G370" s="12" t="s">
        <v>59</v>
      </c>
      <c r="H370" s="11" t="s">
        <v>60</v>
      </c>
      <c r="I370" s="11" t="s">
        <v>61</v>
      </c>
      <c r="J370" s="11" t="s">
        <v>62</v>
      </c>
      <c r="K370" s="11" t="s">
        <v>1294</v>
      </c>
      <c r="L370" s="11"/>
      <c r="M370" s="11"/>
      <c r="N370" s="11"/>
      <c r="O370" s="8"/>
      <c r="P370" s="8"/>
      <c r="Q370" s="8"/>
      <c r="R370" s="8"/>
      <c r="S370" s="8"/>
      <c r="T370" s="8"/>
    </row>
    <row r="371" customFormat="false" ht="15" hidden="false" customHeight="false" outlineLevel="0" collapsed="false">
      <c r="A371" s="11" t="s">
        <v>1295</v>
      </c>
      <c r="B371" s="11" t="s">
        <v>1296</v>
      </c>
      <c r="C371" s="11" t="s">
        <v>1297</v>
      </c>
      <c r="D371" s="11" t="s">
        <v>1298</v>
      </c>
      <c r="E371" s="11" t="s">
        <v>1299</v>
      </c>
      <c r="F371" s="11" t="n">
        <v>1</v>
      </c>
      <c r="G371" s="12" t="s">
        <v>59</v>
      </c>
      <c r="H371" s="11" t="s">
        <v>60</v>
      </c>
      <c r="I371" s="11" t="s">
        <v>61</v>
      </c>
      <c r="J371" s="11" t="s">
        <v>62</v>
      </c>
      <c r="K371" s="11" t="s">
        <v>1214</v>
      </c>
      <c r="L371" s="11"/>
      <c r="M371" s="11"/>
      <c r="N371" s="11"/>
      <c r="O371" s="8"/>
      <c r="P371" s="8"/>
      <c r="Q371" s="8"/>
      <c r="R371" s="8"/>
      <c r="S371" s="8"/>
      <c r="T371" s="8"/>
    </row>
    <row r="372" customFormat="false" ht="23.85" hidden="false" customHeight="false" outlineLevel="0" collapsed="false">
      <c r="A372" s="7" t="s">
        <v>1300</v>
      </c>
      <c r="B372" s="7" t="s">
        <v>1301</v>
      </c>
      <c r="C372" s="7" t="s">
        <v>1297</v>
      </c>
      <c r="D372" s="7" t="s">
        <v>1298</v>
      </c>
      <c r="E372" s="7" t="s">
        <v>1299</v>
      </c>
      <c r="F372" s="7" t="n">
        <v>2</v>
      </c>
      <c r="G372" s="7" t="s">
        <v>83</v>
      </c>
      <c r="H372" s="7" t="s">
        <v>84</v>
      </c>
      <c r="I372" s="7" t="s">
        <v>61</v>
      </c>
      <c r="J372" s="7" t="s">
        <v>62</v>
      </c>
      <c r="K372" s="7" t="s">
        <v>1302</v>
      </c>
      <c r="L372" s="7" t="s">
        <v>1214</v>
      </c>
      <c r="M372" s="7"/>
      <c r="N372" s="7"/>
      <c r="O372" s="8"/>
      <c r="P372" s="8"/>
      <c r="Q372" s="8"/>
      <c r="R372" s="8"/>
      <c r="S372" s="8"/>
      <c r="T372" s="8"/>
    </row>
    <row r="373" customFormat="false" ht="23.85" hidden="false" customHeight="false" outlineLevel="0" collapsed="false">
      <c r="A373" s="7" t="s">
        <v>1303</v>
      </c>
      <c r="B373" s="7" t="s">
        <v>1304</v>
      </c>
      <c r="C373" s="7" t="s">
        <v>1297</v>
      </c>
      <c r="D373" s="7" t="s">
        <v>1298</v>
      </c>
      <c r="E373" s="7" t="s">
        <v>1299</v>
      </c>
      <c r="F373" s="7" t="n">
        <v>3</v>
      </c>
      <c r="G373" s="7" t="s">
        <v>83</v>
      </c>
      <c r="H373" s="7" t="s">
        <v>84</v>
      </c>
      <c r="I373" s="7" t="s">
        <v>61</v>
      </c>
      <c r="J373" s="7" t="s">
        <v>62</v>
      </c>
      <c r="K373" s="7" t="s">
        <v>1305</v>
      </c>
      <c r="L373" s="7" t="s">
        <v>1302</v>
      </c>
      <c r="M373" s="7"/>
      <c r="N373" s="7"/>
      <c r="O373" s="8"/>
      <c r="P373" s="8"/>
      <c r="Q373" s="8"/>
      <c r="R373" s="8"/>
      <c r="S373" s="8"/>
      <c r="T373" s="8"/>
    </row>
    <row r="374" customFormat="false" ht="23.85" hidden="false" customHeight="false" outlineLevel="0" collapsed="false">
      <c r="A374" s="7" t="s">
        <v>1306</v>
      </c>
      <c r="B374" s="7" t="s">
        <v>1307</v>
      </c>
      <c r="C374" s="7" t="s">
        <v>1297</v>
      </c>
      <c r="D374" s="7" t="s">
        <v>1298</v>
      </c>
      <c r="E374" s="7" t="s">
        <v>1299</v>
      </c>
      <c r="F374" s="7" t="n">
        <v>3</v>
      </c>
      <c r="G374" s="7" t="s">
        <v>83</v>
      </c>
      <c r="H374" s="7" t="s">
        <v>84</v>
      </c>
      <c r="I374" s="7" t="s">
        <v>61</v>
      </c>
      <c r="J374" s="7" t="s">
        <v>62</v>
      </c>
      <c r="K374" s="7" t="s">
        <v>1308</v>
      </c>
      <c r="L374" s="7" t="s">
        <v>1302</v>
      </c>
      <c r="M374" s="7"/>
      <c r="N374" s="7"/>
      <c r="O374" s="8"/>
      <c r="P374" s="8"/>
      <c r="Q374" s="8"/>
      <c r="R374" s="8"/>
      <c r="S374" s="8"/>
      <c r="T374" s="8"/>
    </row>
    <row r="375" customFormat="false" ht="23.85" hidden="false" customHeight="false" outlineLevel="0" collapsed="false">
      <c r="A375" s="7" t="s">
        <v>1309</v>
      </c>
      <c r="B375" s="7" t="s">
        <v>1310</v>
      </c>
      <c r="C375" s="7" t="s">
        <v>1297</v>
      </c>
      <c r="D375" s="7" t="s">
        <v>1298</v>
      </c>
      <c r="E375" s="7" t="s">
        <v>1299</v>
      </c>
      <c r="F375" s="7" t="n">
        <v>3</v>
      </c>
      <c r="G375" s="7" t="s">
        <v>83</v>
      </c>
      <c r="H375" s="7" t="s">
        <v>84</v>
      </c>
      <c r="I375" s="7" t="s">
        <v>61</v>
      </c>
      <c r="J375" s="7" t="s">
        <v>62</v>
      </c>
      <c r="K375" s="7" t="s">
        <v>1311</v>
      </c>
      <c r="L375" s="7" t="s">
        <v>1302</v>
      </c>
      <c r="M375" s="7"/>
      <c r="N375" s="7"/>
      <c r="O375" s="8"/>
      <c r="P375" s="8"/>
      <c r="Q375" s="8"/>
      <c r="R375" s="8"/>
      <c r="S375" s="8"/>
      <c r="T375" s="8"/>
    </row>
    <row r="376" customFormat="false" ht="23.85" hidden="false" customHeight="false" outlineLevel="0" collapsed="false">
      <c r="A376" s="7" t="s">
        <v>1312</v>
      </c>
      <c r="B376" s="7" t="s">
        <v>1313</v>
      </c>
      <c r="C376" s="7" t="s">
        <v>1297</v>
      </c>
      <c r="D376" s="7" t="s">
        <v>1298</v>
      </c>
      <c r="E376" s="7" t="s">
        <v>1299</v>
      </c>
      <c r="F376" s="7" t="n">
        <v>3</v>
      </c>
      <c r="G376" s="7" t="s">
        <v>83</v>
      </c>
      <c r="H376" s="7" t="s">
        <v>84</v>
      </c>
      <c r="I376" s="7" t="s">
        <v>61</v>
      </c>
      <c r="J376" s="7" t="s">
        <v>62</v>
      </c>
      <c r="K376" s="7" t="s">
        <v>1314</v>
      </c>
      <c r="L376" s="7" t="s">
        <v>1302</v>
      </c>
      <c r="M376" s="7"/>
      <c r="N376" s="7"/>
      <c r="O376" s="8"/>
      <c r="P376" s="8"/>
      <c r="Q376" s="8"/>
      <c r="R376" s="8"/>
      <c r="S376" s="8"/>
      <c r="T376" s="8"/>
    </row>
    <row r="377" customFormat="false" ht="23.85" hidden="false" customHeight="false" outlineLevel="0" collapsed="false">
      <c r="A377" s="7" t="s">
        <v>1315</v>
      </c>
      <c r="B377" s="7" t="s">
        <v>1316</v>
      </c>
      <c r="C377" s="7" t="s">
        <v>1297</v>
      </c>
      <c r="D377" s="7" t="s">
        <v>1298</v>
      </c>
      <c r="E377" s="7" t="s">
        <v>1299</v>
      </c>
      <c r="F377" s="7" t="n">
        <v>3</v>
      </c>
      <c r="G377" s="7" t="s">
        <v>83</v>
      </c>
      <c r="H377" s="7" t="s">
        <v>84</v>
      </c>
      <c r="I377" s="7" t="s">
        <v>61</v>
      </c>
      <c r="J377" s="7" t="s">
        <v>62</v>
      </c>
      <c r="K377" s="7" t="s">
        <v>1317</v>
      </c>
      <c r="L377" s="7" t="s">
        <v>1302</v>
      </c>
      <c r="M377" s="7"/>
      <c r="N377" s="7"/>
      <c r="O377" s="8"/>
      <c r="P377" s="8"/>
      <c r="Q377" s="8"/>
      <c r="R377" s="8"/>
      <c r="S377" s="8"/>
      <c r="T377" s="8"/>
    </row>
    <row r="378" customFormat="false" ht="23.85" hidden="false" customHeight="false" outlineLevel="0" collapsed="false">
      <c r="A378" s="7" t="s">
        <v>1318</v>
      </c>
      <c r="B378" s="7" t="s">
        <v>1319</v>
      </c>
      <c r="C378" s="7" t="s">
        <v>1297</v>
      </c>
      <c r="D378" s="7" t="s">
        <v>1298</v>
      </c>
      <c r="E378" s="7" t="s">
        <v>1299</v>
      </c>
      <c r="F378" s="7" t="n">
        <v>3</v>
      </c>
      <c r="G378" s="7" t="s">
        <v>83</v>
      </c>
      <c r="H378" s="7" t="s">
        <v>84</v>
      </c>
      <c r="I378" s="7" t="s">
        <v>61</v>
      </c>
      <c r="J378" s="7" t="s">
        <v>62</v>
      </c>
      <c r="K378" s="7" t="s">
        <v>1320</v>
      </c>
      <c r="L378" s="7" t="s">
        <v>1302</v>
      </c>
      <c r="M378" s="7"/>
      <c r="N378" s="7"/>
      <c r="O378" s="8"/>
      <c r="P378" s="8"/>
      <c r="Q378" s="8"/>
      <c r="R378" s="8"/>
      <c r="S378" s="8"/>
      <c r="T378" s="8"/>
    </row>
    <row r="379" customFormat="false" ht="23.85" hidden="false" customHeight="false" outlineLevel="0" collapsed="false">
      <c r="A379" s="7" t="s">
        <v>1321</v>
      </c>
      <c r="B379" s="7" t="s">
        <v>1322</v>
      </c>
      <c r="C379" s="7" t="s">
        <v>1297</v>
      </c>
      <c r="D379" s="7" t="s">
        <v>1298</v>
      </c>
      <c r="E379" s="7" t="s">
        <v>1299</v>
      </c>
      <c r="F379" s="7" t="n">
        <v>3</v>
      </c>
      <c r="G379" s="7" t="s">
        <v>83</v>
      </c>
      <c r="H379" s="7" t="s">
        <v>84</v>
      </c>
      <c r="I379" s="7" t="s">
        <v>61</v>
      </c>
      <c r="J379" s="7" t="s">
        <v>62</v>
      </c>
      <c r="K379" s="7" t="s">
        <v>1323</v>
      </c>
      <c r="L379" s="7" t="s">
        <v>1302</v>
      </c>
      <c r="M379" s="7"/>
      <c r="N379" s="7" t="s">
        <v>1324</v>
      </c>
      <c r="O379" s="8"/>
      <c r="P379" s="8"/>
      <c r="Q379" s="8"/>
      <c r="R379" s="8"/>
      <c r="S379" s="8"/>
      <c r="T379" s="8"/>
    </row>
    <row r="380" customFormat="false" ht="23.85" hidden="false" customHeight="false" outlineLevel="0" collapsed="false">
      <c r="A380" s="7" t="s">
        <v>1325</v>
      </c>
      <c r="B380" s="7" t="s">
        <v>1326</v>
      </c>
      <c r="C380" s="7" t="s">
        <v>1297</v>
      </c>
      <c r="D380" s="7" t="s">
        <v>1298</v>
      </c>
      <c r="E380" s="7" t="s">
        <v>1299</v>
      </c>
      <c r="F380" s="7" t="n">
        <v>3</v>
      </c>
      <c r="G380" s="7" t="s">
        <v>83</v>
      </c>
      <c r="H380" s="7" t="s">
        <v>84</v>
      </c>
      <c r="I380" s="7" t="s">
        <v>61</v>
      </c>
      <c r="J380" s="7" t="s">
        <v>62</v>
      </c>
      <c r="K380" s="7" t="s">
        <v>1327</v>
      </c>
      <c r="L380" s="7" t="s">
        <v>1302</v>
      </c>
      <c r="M380" s="7"/>
      <c r="N380" s="7"/>
      <c r="O380" s="8"/>
      <c r="P380" s="8"/>
      <c r="Q380" s="8"/>
      <c r="R380" s="8"/>
      <c r="S380" s="8"/>
      <c r="T380" s="8"/>
    </row>
    <row r="381" customFormat="false" ht="23.85" hidden="false" customHeight="false" outlineLevel="0" collapsed="false">
      <c r="A381" s="7" t="s">
        <v>1328</v>
      </c>
      <c r="B381" s="7" t="s">
        <v>1329</v>
      </c>
      <c r="C381" s="7" t="s">
        <v>1297</v>
      </c>
      <c r="D381" s="7" t="s">
        <v>1298</v>
      </c>
      <c r="E381" s="7" t="s">
        <v>1299</v>
      </c>
      <c r="F381" s="7" t="n">
        <v>3</v>
      </c>
      <c r="G381" s="7" t="s">
        <v>83</v>
      </c>
      <c r="H381" s="7" t="s">
        <v>84</v>
      </c>
      <c r="I381" s="7" t="s">
        <v>61</v>
      </c>
      <c r="J381" s="7" t="s">
        <v>62</v>
      </c>
      <c r="K381" s="7" t="s">
        <v>1330</v>
      </c>
      <c r="L381" s="7" t="s">
        <v>1302</v>
      </c>
      <c r="M381" s="7"/>
      <c r="N381" s="7"/>
      <c r="O381" s="8"/>
      <c r="P381" s="8"/>
      <c r="Q381" s="8"/>
      <c r="R381" s="8"/>
      <c r="S381" s="8"/>
      <c r="T381" s="8"/>
    </row>
    <row r="382" customFormat="false" ht="23.85" hidden="false" customHeight="false" outlineLevel="0" collapsed="false">
      <c r="A382" s="7" t="s">
        <v>1331</v>
      </c>
      <c r="B382" s="7" t="s">
        <v>1332</v>
      </c>
      <c r="C382" s="7" t="s">
        <v>1297</v>
      </c>
      <c r="D382" s="7" t="s">
        <v>1298</v>
      </c>
      <c r="E382" s="7" t="s">
        <v>1299</v>
      </c>
      <c r="F382" s="7" t="n">
        <v>3</v>
      </c>
      <c r="G382" s="7" t="s">
        <v>83</v>
      </c>
      <c r="H382" s="7" t="s">
        <v>84</v>
      </c>
      <c r="I382" s="7" t="s">
        <v>61</v>
      </c>
      <c r="J382" s="7" t="s">
        <v>62</v>
      </c>
      <c r="K382" s="7" t="s">
        <v>1333</v>
      </c>
      <c r="L382" s="7" t="s">
        <v>1302</v>
      </c>
      <c r="M382" s="7"/>
      <c r="N382" s="7"/>
      <c r="O382" s="8"/>
      <c r="P382" s="8"/>
      <c r="Q382" s="8"/>
      <c r="R382" s="8"/>
      <c r="S382" s="8"/>
      <c r="T382" s="8"/>
    </row>
    <row r="383" customFormat="false" ht="23.85" hidden="false" customHeight="false" outlineLevel="0" collapsed="false">
      <c r="A383" s="7" t="s">
        <v>1334</v>
      </c>
      <c r="B383" s="7" t="s">
        <v>1335</v>
      </c>
      <c r="C383" s="7" t="s">
        <v>1297</v>
      </c>
      <c r="D383" s="7" t="s">
        <v>1298</v>
      </c>
      <c r="E383" s="7" t="s">
        <v>1299</v>
      </c>
      <c r="F383" s="7" t="n">
        <v>3</v>
      </c>
      <c r="G383" s="7" t="s">
        <v>83</v>
      </c>
      <c r="H383" s="7" t="s">
        <v>84</v>
      </c>
      <c r="I383" s="7" t="s">
        <v>61</v>
      </c>
      <c r="J383" s="7" t="s">
        <v>62</v>
      </c>
      <c r="K383" s="7" t="s">
        <v>1336</v>
      </c>
      <c r="L383" s="7" t="s">
        <v>1302</v>
      </c>
      <c r="M383" s="7"/>
      <c r="N383" s="7"/>
      <c r="O383" s="8"/>
      <c r="P383" s="8"/>
      <c r="Q383" s="8"/>
      <c r="R383" s="8"/>
      <c r="S383" s="8"/>
      <c r="T383" s="8"/>
    </row>
    <row r="384" customFormat="false" ht="23.85" hidden="false" customHeight="false" outlineLevel="0" collapsed="false">
      <c r="A384" s="7" t="s">
        <v>1337</v>
      </c>
      <c r="B384" s="7" t="s">
        <v>1338</v>
      </c>
      <c r="C384" s="7" t="s">
        <v>1297</v>
      </c>
      <c r="D384" s="7" t="s">
        <v>1298</v>
      </c>
      <c r="E384" s="7" t="s">
        <v>1299</v>
      </c>
      <c r="F384" s="7" t="n">
        <v>3</v>
      </c>
      <c r="G384" s="7" t="s">
        <v>83</v>
      </c>
      <c r="H384" s="7" t="s">
        <v>84</v>
      </c>
      <c r="I384" s="7" t="s">
        <v>61</v>
      </c>
      <c r="J384" s="7" t="s">
        <v>62</v>
      </c>
      <c r="K384" s="7" t="s">
        <v>1339</v>
      </c>
      <c r="L384" s="7" t="s">
        <v>1302</v>
      </c>
      <c r="M384" s="7"/>
      <c r="N384" s="7"/>
      <c r="O384" s="8"/>
      <c r="P384" s="8"/>
      <c r="Q384" s="8"/>
      <c r="R384" s="8"/>
      <c r="S384" s="8"/>
      <c r="T384" s="8"/>
    </row>
    <row r="385" customFormat="false" ht="23.85" hidden="false" customHeight="false" outlineLevel="0" collapsed="false">
      <c r="A385" s="7" t="s">
        <v>1340</v>
      </c>
      <c r="B385" s="7" t="s">
        <v>1341</v>
      </c>
      <c r="C385" s="7" t="s">
        <v>1297</v>
      </c>
      <c r="D385" s="7" t="s">
        <v>1298</v>
      </c>
      <c r="E385" s="7" t="s">
        <v>1299</v>
      </c>
      <c r="F385" s="7" t="n">
        <v>3</v>
      </c>
      <c r="G385" s="7" t="s">
        <v>83</v>
      </c>
      <c r="H385" s="7" t="s">
        <v>84</v>
      </c>
      <c r="I385" s="7" t="s">
        <v>61</v>
      </c>
      <c r="J385" s="7" t="s">
        <v>62</v>
      </c>
      <c r="K385" s="7" t="s">
        <v>1342</v>
      </c>
      <c r="L385" s="7" t="s">
        <v>1302</v>
      </c>
      <c r="M385" s="7"/>
      <c r="N385" s="7"/>
      <c r="O385" s="8"/>
      <c r="P385" s="8"/>
      <c r="Q385" s="8"/>
      <c r="R385" s="8"/>
      <c r="S385" s="8"/>
      <c r="T385" s="8"/>
    </row>
    <row r="386" customFormat="false" ht="23.85" hidden="false" customHeight="false" outlineLevel="0" collapsed="false">
      <c r="A386" s="7" t="s">
        <v>1343</v>
      </c>
      <c r="B386" s="7" t="s">
        <v>1344</v>
      </c>
      <c r="C386" s="7" t="s">
        <v>1297</v>
      </c>
      <c r="D386" s="7" t="s">
        <v>1298</v>
      </c>
      <c r="E386" s="7" t="s">
        <v>1299</v>
      </c>
      <c r="F386" s="7" t="n">
        <v>3</v>
      </c>
      <c r="G386" s="7" t="s">
        <v>83</v>
      </c>
      <c r="H386" s="7" t="s">
        <v>84</v>
      </c>
      <c r="I386" s="7" t="s">
        <v>61</v>
      </c>
      <c r="J386" s="7" t="s">
        <v>62</v>
      </c>
      <c r="K386" s="7" t="s">
        <v>1345</v>
      </c>
      <c r="L386" s="7" t="s">
        <v>1302</v>
      </c>
      <c r="M386" s="7"/>
      <c r="N386" s="7"/>
      <c r="O386" s="8"/>
      <c r="P386" s="8"/>
      <c r="Q386" s="8"/>
      <c r="R386" s="8"/>
      <c r="S386" s="8"/>
      <c r="T386" s="8"/>
    </row>
    <row r="387" customFormat="false" ht="23.85" hidden="false" customHeight="false" outlineLevel="0" collapsed="false">
      <c r="A387" s="7" t="s">
        <v>1346</v>
      </c>
      <c r="B387" s="7" t="s">
        <v>1347</v>
      </c>
      <c r="C387" s="7" t="s">
        <v>1297</v>
      </c>
      <c r="D387" s="7" t="s">
        <v>1298</v>
      </c>
      <c r="E387" s="7" t="s">
        <v>1299</v>
      </c>
      <c r="F387" s="7" t="n">
        <v>3</v>
      </c>
      <c r="G387" s="7" t="s">
        <v>83</v>
      </c>
      <c r="H387" s="7" t="s">
        <v>84</v>
      </c>
      <c r="I387" s="7" t="s">
        <v>61</v>
      </c>
      <c r="J387" s="7" t="s">
        <v>62</v>
      </c>
      <c r="K387" s="7" t="s">
        <v>1348</v>
      </c>
      <c r="L387" s="7" t="s">
        <v>1302</v>
      </c>
      <c r="M387" s="7"/>
      <c r="N387" s="7"/>
      <c r="O387" s="8"/>
      <c r="P387" s="8"/>
      <c r="Q387" s="8"/>
      <c r="R387" s="8"/>
      <c r="S387" s="8"/>
      <c r="T387" s="8"/>
    </row>
    <row r="388" customFormat="false" ht="23.85" hidden="false" customHeight="false" outlineLevel="0" collapsed="false">
      <c r="A388" s="7" t="s">
        <v>1349</v>
      </c>
      <c r="B388" s="7" t="s">
        <v>1350</v>
      </c>
      <c r="C388" s="7" t="s">
        <v>1297</v>
      </c>
      <c r="D388" s="7" t="s">
        <v>1298</v>
      </c>
      <c r="E388" s="7" t="s">
        <v>1299</v>
      </c>
      <c r="F388" s="7" t="n">
        <v>3</v>
      </c>
      <c r="G388" s="7" t="s">
        <v>83</v>
      </c>
      <c r="H388" s="7" t="s">
        <v>84</v>
      </c>
      <c r="I388" s="7" t="s">
        <v>61</v>
      </c>
      <c r="J388" s="7" t="s">
        <v>62</v>
      </c>
      <c r="K388" s="7" t="s">
        <v>1351</v>
      </c>
      <c r="L388" s="7" t="s">
        <v>1302</v>
      </c>
      <c r="M388" s="7"/>
      <c r="N388" s="7"/>
      <c r="O388" s="8"/>
      <c r="P388" s="8"/>
      <c r="Q388" s="8"/>
      <c r="R388" s="8"/>
      <c r="S388" s="8"/>
      <c r="T388" s="8"/>
    </row>
    <row r="389" customFormat="false" ht="23.85" hidden="false" customHeight="false" outlineLevel="0" collapsed="false">
      <c r="A389" s="7" t="s">
        <v>1352</v>
      </c>
      <c r="B389" s="7" t="s">
        <v>1353</v>
      </c>
      <c r="C389" s="7" t="s">
        <v>1297</v>
      </c>
      <c r="D389" s="7" t="s">
        <v>1298</v>
      </c>
      <c r="E389" s="7" t="s">
        <v>1299</v>
      </c>
      <c r="F389" s="7" t="n">
        <v>3</v>
      </c>
      <c r="G389" s="7" t="s">
        <v>83</v>
      </c>
      <c r="H389" s="7" t="s">
        <v>84</v>
      </c>
      <c r="I389" s="7" t="s">
        <v>61</v>
      </c>
      <c r="J389" s="7" t="s">
        <v>62</v>
      </c>
      <c r="K389" s="7" t="s">
        <v>1354</v>
      </c>
      <c r="L389" s="7" t="s">
        <v>1302</v>
      </c>
      <c r="M389" s="7"/>
      <c r="N389" s="7"/>
      <c r="O389" s="8"/>
      <c r="P389" s="8"/>
      <c r="Q389" s="8"/>
      <c r="R389" s="8"/>
      <c r="S389" s="8"/>
      <c r="T389" s="8"/>
    </row>
    <row r="390" customFormat="false" ht="23.85" hidden="false" customHeight="false" outlineLevel="0" collapsed="false">
      <c r="A390" s="7" t="s">
        <v>1355</v>
      </c>
      <c r="B390" s="7" t="s">
        <v>1356</v>
      </c>
      <c r="C390" s="7" t="s">
        <v>1297</v>
      </c>
      <c r="D390" s="7" t="s">
        <v>1298</v>
      </c>
      <c r="E390" s="7" t="s">
        <v>1299</v>
      </c>
      <c r="F390" s="7" t="n">
        <v>3</v>
      </c>
      <c r="G390" s="7" t="s">
        <v>83</v>
      </c>
      <c r="H390" s="7" t="s">
        <v>84</v>
      </c>
      <c r="I390" s="7" t="s">
        <v>61</v>
      </c>
      <c r="J390" s="7" t="s">
        <v>62</v>
      </c>
      <c r="K390" s="7" t="s">
        <v>1357</v>
      </c>
      <c r="L390" s="7" t="s">
        <v>1302</v>
      </c>
      <c r="M390" s="7"/>
      <c r="N390" s="7"/>
      <c r="O390" s="8"/>
      <c r="P390" s="8"/>
      <c r="Q390" s="8"/>
      <c r="R390" s="8"/>
      <c r="S390" s="8"/>
      <c r="T390" s="8"/>
    </row>
    <row r="391" customFormat="false" ht="23.85" hidden="false" customHeight="false" outlineLevel="0" collapsed="false">
      <c r="A391" s="7" t="s">
        <v>1358</v>
      </c>
      <c r="B391" s="7" t="s">
        <v>1359</v>
      </c>
      <c r="C391" s="7" t="s">
        <v>1297</v>
      </c>
      <c r="D391" s="7" t="s">
        <v>1298</v>
      </c>
      <c r="E391" s="7" t="s">
        <v>1299</v>
      </c>
      <c r="F391" s="7" t="n">
        <v>3</v>
      </c>
      <c r="G391" s="7" t="s">
        <v>83</v>
      </c>
      <c r="H391" s="7" t="s">
        <v>84</v>
      </c>
      <c r="I391" s="7" t="s">
        <v>61</v>
      </c>
      <c r="J391" s="7" t="s">
        <v>62</v>
      </c>
      <c r="K391" s="7" t="s">
        <v>1360</v>
      </c>
      <c r="L391" s="7" t="s">
        <v>1302</v>
      </c>
      <c r="M391" s="7"/>
      <c r="N391" s="7"/>
      <c r="O391" s="8"/>
      <c r="P391" s="8"/>
      <c r="Q391" s="8"/>
      <c r="R391" s="8"/>
      <c r="S391" s="8"/>
      <c r="T391" s="8"/>
    </row>
    <row r="392" customFormat="false" ht="23.85" hidden="false" customHeight="false" outlineLevel="0" collapsed="false">
      <c r="A392" s="7" t="s">
        <v>1361</v>
      </c>
      <c r="B392" s="7" t="s">
        <v>1362</v>
      </c>
      <c r="C392" s="7" t="s">
        <v>1297</v>
      </c>
      <c r="D392" s="7" t="s">
        <v>1298</v>
      </c>
      <c r="E392" s="7" t="s">
        <v>1299</v>
      </c>
      <c r="F392" s="7" t="n">
        <v>3</v>
      </c>
      <c r="G392" s="7" t="s">
        <v>83</v>
      </c>
      <c r="H392" s="7" t="s">
        <v>84</v>
      </c>
      <c r="I392" s="7" t="s">
        <v>61</v>
      </c>
      <c r="J392" s="7" t="s">
        <v>62</v>
      </c>
      <c r="K392" s="7" t="s">
        <v>1363</v>
      </c>
      <c r="L392" s="7" t="s">
        <v>1302</v>
      </c>
      <c r="M392" s="7"/>
      <c r="N392" s="7"/>
      <c r="O392" s="8"/>
      <c r="P392" s="8"/>
      <c r="Q392" s="8"/>
      <c r="R392" s="8"/>
      <c r="S392" s="8"/>
      <c r="T392" s="8"/>
    </row>
    <row r="393" customFormat="false" ht="23.85" hidden="false" customHeight="false" outlineLevel="0" collapsed="false">
      <c r="A393" s="7" t="s">
        <v>1364</v>
      </c>
      <c r="B393" s="7" t="s">
        <v>1365</v>
      </c>
      <c r="C393" s="7" t="s">
        <v>1297</v>
      </c>
      <c r="D393" s="7" t="s">
        <v>1298</v>
      </c>
      <c r="E393" s="7" t="s">
        <v>1299</v>
      </c>
      <c r="F393" s="7" t="n">
        <v>3</v>
      </c>
      <c r="G393" s="7" t="s">
        <v>83</v>
      </c>
      <c r="H393" s="7" t="s">
        <v>84</v>
      </c>
      <c r="I393" s="7" t="s">
        <v>61</v>
      </c>
      <c r="J393" s="7" t="s">
        <v>62</v>
      </c>
      <c r="K393" s="7" t="s">
        <v>1366</v>
      </c>
      <c r="L393" s="7" t="s">
        <v>1302</v>
      </c>
      <c r="M393" s="7"/>
      <c r="N393" s="7"/>
      <c r="O393" s="8"/>
      <c r="P393" s="8"/>
      <c r="Q393" s="8"/>
      <c r="R393" s="8"/>
      <c r="S393" s="8"/>
      <c r="T393" s="8"/>
    </row>
    <row r="394" customFormat="false" ht="46.25" hidden="false" customHeight="false" outlineLevel="0" collapsed="false">
      <c r="A394" s="7" t="s">
        <v>1367</v>
      </c>
      <c r="B394" s="7" t="s">
        <v>1368</v>
      </c>
      <c r="C394" s="7" t="s">
        <v>1297</v>
      </c>
      <c r="D394" s="7" t="s">
        <v>1298</v>
      </c>
      <c r="E394" s="7" t="s">
        <v>1299</v>
      </c>
      <c r="F394" s="7" t="n">
        <v>2</v>
      </c>
      <c r="G394" s="7" t="s">
        <v>83</v>
      </c>
      <c r="H394" s="7" t="s">
        <v>84</v>
      </c>
      <c r="I394" s="7" t="s">
        <v>61</v>
      </c>
      <c r="J394" s="7" t="s">
        <v>62</v>
      </c>
      <c r="K394" s="7" t="s">
        <v>1369</v>
      </c>
      <c r="L394" s="7" t="s">
        <v>1214</v>
      </c>
      <c r="M394" s="7"/>
      <c r="N394" s="7"/>
      <c r="O394" s="8"/>
      <c r="P394" s="8"/>
      <c r="Q394" s="8"/>
      <c r="R394" s="8"/>
      <c r="S394" s="8"/>
      <c r="T394" s="8"/>
    </row>
    <row r="395" customFormat="false" ht="46.25" hidden="false" customHeight="false" outlineLevel="0" collapsed="false">
      <c r="A395" s="7" t="s">
        <v>1370</v>
      </c>
      <c r="B395" s="7" t="s">
        <v>1371</v>
      </c>
      <c r="C395" s="7" t="s">
        <v>1297</v>
      </c>
      <c r="D395" s="7" t="s">
        <v>1298</v>
      </c>
      <c r="E395" s="7" t="s">
        <v>1299</v>
      </c>
      <c r="F395" s="7" t="n">
        <v>2</v>
      </c>
      <c r="G395" s="7" t="s">
        <v>83</v>
      </c>
      <c r="H395" s="7" t="s">
        <v>84</v>
      </c>
      <c r="I395" s="7" t="s">
        <v>61</v>
      </c>
      <c r="J395" s="7" t="s">
        <v>62</v>
      </c>
      <c r="K395" s="7" t="s">
        <v>1372</v>
      </c>
      <c r="L395" s="7" t="s">
        <v>1214</v>
      </c>
      <c r="M395" s="7"/>
      <c r="N395" s="7"/>
      <c r="O395" s="8"/>
      <c r="P395" s="8"/>
      <c r="Q395" s="8"/>
      <c r="R395" s="8"/>
      <c r="S395" s="8"/>
      <c r="T395" s="8"/>
    </row>
    <row r="396" customFormat="false" ht="23.85" hidden="false" customHeight="false" outlineLevel="0" collapsed="false">
      <c r="A396" s="11" t="s">
        <v>1373</v>
      </c>
      <c r="B396" s="11" t="s">
        <v>1374</v>
      </c>
      <c r="C396" s="11" t="s">
        <v>1297</v>
      </c>
      <c r="D396" s="11" t="s">
        <v>1298</v>
      </c>
      <c r="E396" s="11" t="s">
        <v>1299</v>
      </c>
      <c r="F396" s="11" t="n">
        <v>1</v>
      </c>
      <c r="G396" s="12" t="s">
        <v>59</v>
      </c>
      <c r="H396" s="11" t="s">
        <v>60</v>
      </c>
      <c r="I396" s="11" t="s">
        <v>61</v>
      </c>
      <c r="J396" s="11" t="s">
        <v>62</v>
      </c>
      <c r="K396" s="11" t="s">
        <v>1375</v>
      </c>
      <c r="L396" s="11"/>
      <c r="M396" s="11"/>
      <c r="N396" s="11"/>
      <c r="O396" s="8"/>
      <c r="P396" s="8"/>
      <c r="Q396" s="8"/>
      <c r="R396" s="8"/>
      <c r="S396" s="8"/>
      <c r="T396" s="8"/>
    </row>
    <row r="397" customFormat="false" ht="46.25" hidden="false" customHeight="false" outlineLevel="0" collapsed="false">
      <c r="A397" s="7" t="s">
        <v>1376</v>
      </c>
      <c r="B397" s="7" t="s">
        <v>1377</v>
      </c>
      <c r="C397" s="7" t="s">
        <v>1297</v>
      </c>
      <c r="D397" s="7" t="s">
        <v>1298</v>
      </c>
      <c r="E397" s="7" t="s">
        <v>1299</v>
      </c>
      <c r="F397" s="7" t="n">
        <v>2</v>
      </c>
      <c r="G397" s="7" t="s">
        <v>83</v>
      </c>
      <c r="H397" s="7" t="s">
        <v>84</v>
      </c>
      <c r="I397" s="7" t="s">
        <v>61</v>
      </c>
      <c r="J397" s="7" t="s">
        <v>62</v>
      </c>
      <c r="K397" s="7" t="s">
        <v>1378</v>
      </c>
      <c r="L397" s="7" t="s">
        <v>1375</v>
      </c>
      <c r="M397" s="7"/>
      <c r="N397" s="7"/>
      <c r="O397" s="8"/>
      <c r="P397" s="8"/>
      <c r="Q397" s="8"/>
      <c r="R397" s="8"/>
      <c r="S397" s="8"/>
      <c r="T397" s="8"/>
    </row>
    <row r="398" customFormat="false" ht="35.05" hidden="false" customHeight="false" outlineLevel="0" collapsed="false">
      <c r="A398" s="7" t="s">
        <v>1379</v>
      </c>
      <c r="B398" s="7" t="s">
        <v>1380</v>
      </c>
      <c r="C398" s="7" t="s">
        <v>1297</v>
      </c>
      <c r="D398" s="7" t="s">
        <v>1298</v>
      </c>
      <c r="E398" s="7" t="s">
        <v>1299</v>
      </c>
      <c r="F398" s="7" t="n">
        <v>2</v>
      </c>
      <c r="G398" s="7" t="s">
        <v>83</v>
      </c>
      <c r="H398" s="7" t="s">
        <v>84</v>
      </c>
      <c r="I398" s="7" t="s">
        <v>61</v>
      </c>
      <c r="J398" s="7" t="s">
        <v>62</v>
      </c>
      <c r="K398" s="7" t="s">
        <v>1381</v>
      </c>
      <c r="L398" s="7" t="s">
        <v>1375</v>
      </c>
      <c r="M398" s="7"/>
      <c r="N398" s="7"/>
      <c r="O398" s="8"/>
      <c r="P398" s="8"/>
      <c r="Q398" s="8"/>
      <c r="R398" s="8"/>
      <c r="S398" s="8"/>
      <c r="T398" s="8"/>
    </row>
    <row r="399" customFormat="false" ht="46.25" hidden="false" customHeight="false" outlineLevel="0" collapsed="false">
      <c r="A399" s="7" t="s">
        <v>1382</v>
      </c>
      <c r="B399" s="7" t="s">
        <v>1383</v>
      </c>
      <c r="C399" s="7" t="s">
        <v>1297</v>
      </c>
      <c r="D399" s="7" t="s">
        <v>1298</v>
      </c>
      <c r="E399" s="7" t="s">
        <v>1299</v>
      </c>
      <c r="F399" s="7" t="n">
        <v>2</v>
      </c>
      <c r="G399" s="7" t="s">
        <v>83</v>
      </c>
      <c r="H399" s="7" t="s">
        <v>84</v>
      </c>
      <c r="I399" s="7" t="s">
        <v>61</v>
      </c>
      <c r="J399" s="7" t="s">
        <v>62</v>
      </c>
      <c r="K399" s="7" t="s">
        <v>1384</v>
      </c>
      <c r="L399" s="7" t="s">
        <v>1375</v>
      </c>
      <c r="M399" s="7"/>
      <c r="N399" s="7"/>
      <c r="O399" s="8"/>
      <c r="P399" s="8"/>
      <c r="Q399" s="8"/>
      <c r="R399" s="8"/>
      <c r="S399" s="8"/>
      <c r="T399" s="8"/>
    </row>
    <row r="400" customFormat="false" ht="35.05" hidden="false" customHeight="false" outlineLevel="0" collapsed="false">
      <c r="A400" s="7" t="s">
        <v>1385</v>
      </c>
      <c r="B400" s="7" t="s">
        <v>1386</v>
      </c>
      <c r="C400" s="7" t="s">
        <v>1297</v>
      </c>
      <c r="D400" s="7" t="s">
        <v>1298</v>
      </c>
      <c r="E400" s="7" t="s">
        <v>1299</v>
      </c>
      <c r="F400" s="7" t="n">
        <v>2</v>
      </c>
      <c r="G400" s="7" t="s">
        <v>83</v>
      </c>
      <c r="H400" s="7" t="s">
        <v>84</v>
      </c>
      <c r="I400" s="7" t="s">
        <v>61</v>
      </c>
      <c r="J400" s="7" t="s">
        <v>62</v>
      </c>
      <c r="K400" s="7" t="s">
        <v>1387</v>
      </c>
      <c r="L400" s="7" t="s">
        <v>1375</v>
      </c>
      <c r="M400" s="7"/>
      <c r="N400" s="7"/>
      <c r="O400" s="8"/>
      <c r="P400" s="8"/>
      <c r="Q400" s="8"/>
      <c r="R400" s="8"/>
      <c r="S400" s="8"/>
      <c r="T400" s="8"/>
    </row>
    <row r="401" customFormat="false" ht="35.05" hidden="false" customHeight="false" outlineLevel="0" collapsed="false">
      <c r="A401" s="7" t="s">
        <v>1388</v>
      </c>
      <c r="B401" s="7" t="s">
        <v>1389</v>
      </c>
      <c r="C401" s="7" t="s">
        <v>1297</v>
      </c>
      <c r="D401" s="7" t="s">
        <v>1298</v>
      </c>
      <c r="E401" s="7" t="s">
        <v>1299</v>
      </c>
      <c r="F401" s="7" t="n">
        <v>2</v>
      </c>
      <c r="G401" s="7" t="s">
        <v>83</v>
      </c>
      <c r="H401" s="7" t="s">
        <v>84</v>
      </c>
      <c r="I401" s="7" t="s">
        <v>61</v>
      </c>
      <c r="J401" s="7" t="s">
        <v>62</v>
      </c>
      <c r="K401" s="7" t="s">
        <v>1390</v>
      </c>
      <c r="L401" s="7" t="s">
        <v>1375</v>
      </c>
      <c r="M401" s="7"/>
      <c r="N401" s="7"/>
      <c r="O401" s="8"/>
      <c r="P401" s="8"/>
      <c r="Q401" s="8"/>
      <c r="R401" s="8"/>
      <c r="S401" s="8"/>
      <c r="T401" s="8"/>
    </row>
    <row r="402" customFormat="false" ht="15" hidden="false" customHeight="false" outlineLevel="0" collapsed="false">
      <c r="A402" s="11" t="s">
        <v>1391</v>
      </c>
      <c r="B402" s="11" t="s">
        <v>1392</v>
      </c>
      <c r="C402" s="11" t="s">
        <v>1393</v>
      </c>
      <c r="D402" s="11" t="s">
        <v>1394</v>
      </c>
      <c r="E402" s="11" t="s">
        <v>1395</v>
      </c>
      <c r="F402" s="11" t="n">
        <v>1</v>
      </c>
      <c r="G402" s="12" t="s">
        <v>59</v>
      </c>
      <c r="H402" s="11" t="s">
        <v>60</v>
      </c>
      <c r="I402" s="11" t="s">
        <v>61</v>
      </c>
      <c r="J402" s="11" t="s">
        <v>62</v>
      </c>
      <c r="K402" s="11" t="s">
        <v>1396</v>
      </c>
      <c r="L402" s="11"/>
      <c r="M402" s="11"/>
      <c r="N402" s="11"/>
      <c r="O402" s="8"/>
      <c r="P402" s="8"/>
      <c r="Q402" s="8"/>
      <c r="R402" s="8"/>
      <c r="S402" s="8"/>
      <c r="T402" s="8"/>
    </row>
    <row r="403" customFormat="false" ht="15" hidden="false" customHeight="false" outlineLevel="0" collapsed="false">
      <c r="A403" s="11" t="s">
        <v>1397</v>
      </c>
      <c r="B403" s="11" t="s">
        <v>1398</v>
      </c>
      <c r="C403" s="11" t="s">
        <v>1399</v>
      </c>
      <c r="D403" s="11" t="s">
        <v>1400</v>
      </c>
      <c r="E403" s="11" t="s">
        <v>1401</v>
      </c>
      <c r="F403" s="11" t="n">
        <v>1</v>
      </c>
      <c r="G403" s="12" t="s">
        <v>59</v>
      </c>
      <c r="H403" s="11" t="s">
        <v>60</v>
      </c>
      <c r="I403" s="11" t="s">
        <v>61</v>
      </c>
      <c r="J403" s="11" t="s">
        <v>62</v>
      </c>
      <c r="K403" s="11" t="s">
        <v>1096</v>
      </c>
      <c r="L403" s="11"/>
      <c r="M403" s="11"/>
      <c r="N403" s="11"/>
      <c r="O403" s="8"/>
      <c r="P403" s="8"/>
      <c r="Q403" s="8"/>
      <c r="R403" s="8"/>
      <c r="S403" s="8"/>
      <c r="T403" s="8"/>
    </row>
    <row r="404" customFormat="false" ht="35.05" hidden="false" customHeight="false" outlineLevel="0" collapsed="false">
      <c r="A404" s="7" t="s">
        <v>1402</v>
      </c>
      <c r="B404" s="7" t="s">
        <v>1403</v>
      </c>
      <c r="C404" s="7" t="s">
        <v>1399</v>
      </c>
      <c r="D404" s="7" t="s">
        <v>1400</v>
      </c>
      <c r="E404" s="7" t="s">
        <v>1401</v>
      </c>
      <c r="F404" s="7" t="n">
        <v>2</v>
      </c>
      <c r="G404" s="7" t="s">
        <v>83</v>
      </c>
      <c r="H404" s="7" t="s">
        <v>84</v>
      </c>
      <c r="I404" s="7" t="s">
        <v>61</v>
      </c>
      <c r="J404" s="7" t="s">
        <v>62</v>
      </c>
      <c r="K404" s="7" t="s">
        <v>1404</v>
      </c>
      <c r="L404" s="7" t="s">
        <v>1096</v>
      </c>
      <c r="M404" s="7"/>
      <c r="N404" s="7"/>
      <c r="O404" s="8"/>
      <c r="P404" s="8"/>
      <c r="Q404" s="8"/>
      <c r="R404" s="8"/>
      <c r="S404" s="8"/>
      <c r="T404" s="8"/>
    </row>
    <row r="405" customFormat="false" ht="23.85" hidden="false" customHeight="false" outlineLevel="0" collapsed="false">
      <c r="A405" s="7" t="s">
        <v>1405</v>
      </c>
      <c r="B405" s="7" t="s">
        <v>1406</v>
      </c>
      <c r="C405" s="7" t="s">
        <v>1399</v>
      </c>
      <c r="D405" s="7" t="s">
        <v>1400</v>
      </c>
      <c r="E405" s="7" t="s">
        <v>1401</v>
      </c>
      <c r="F405" s="7" t="n">
        <v>2</v>
      </c>
      <c r="G405" s="7" t="s">
        <v>83</v>
      </c>
      <c r="H405" s="7" t="s">
        <v>84</v>
      </c>
      <c r="I405" s="7" t="s">
        <v>61</v>
      </c>
      <c r="J405" s="7" t="s">
        <v>62</v>
      </c>
      <c r="K405" s="7" t="s">
        <v>1407</v>
      </c>
      <c r="L405" s="7" t="s">
        <v>1096</v>
      </c>
      <c r="M405" s="7"/>
      <c r="N405" s="7"/>
      <c r="O405" s="8"/>
      <c r="P405" s="8"/>
      <c r="Q405" s="8"/>
      <c r="R405" s="8"/>
      <c r="S405" s="8"/>
      <c r="T405" s="8"/>
    </row>
    <row r="406" customFormat="false" ht="23.85" hidden="false" customHeight="false" outlineLevel="0" collapsed="false">
      <c r="A406" s="7" t="s">
        <v>1408</v>
      </c>
      <c r="B406" s="7" t="s">
        <v>1409</v>
      </c>
      <c r="C406" s="7" t="s">
        <v>1399</v>
      </c>
      <c r="D406" s="7" t="s">
        <v>1400</v>
      </c>
      <c r="E406" s="7" t="s">
        <v>1401</v>
      </c>
      <c r="F406" s="7" t="n">
        <v>2</v>
      </c>
      <c r="G406" s="7" t="s">
        <v>83</v>
      </c>
      <c r="H406" s="7" t="s">
        <v>84</v>
      </c>
      <c r="I406" s="7" t="s">
        <v>61</v>
      </c>
      <c r="J406" s="7" t="s">
        <v>62</v>
      </c>
      <c r="K406" s="7" t="s">
        <v>1410</v>
      </c>
      <c r="L406" s="7" t="s">
        <v>1096</v>
      </c>
      <c r="M406" s="7"/>
      <c r="N406" s="7"/>
      <c r="O406" s="8"/>
      <c r="P406" s="8"/>
      <c r="Q406" s="8"/>
      <c r="R406" s="8"/>
      <c r="S406" s="8"/>
      <c r="T406" s="8"/>
    </row>
    <row r="407" customFormat="false" ht="35.05" hidden="false" customHeight="false" outlineLevel="0" collapsed="false">
      <c r="A407" s="7" t="s">
        <v>1411</v>
      </c>
      <c r="B407" s="7" t="s">
        <v>1399</v>
      </c>
      <c r="C407" s="7" t="s">
        <v>1399</v>
      </c>
      <c r="D407" s="7" t="s">
        <v>1400</v>
      </c>
      <c r="E407" s="7" t="s">
        <v>1401</v>
      </c>
      <c r="F407" s="7"/>
      <c r="G407" s="7" t="s">
        <v>65</v>
      </c>
      <c r="H407" s="7" t="s">
        <v>118</v>
      </c>
      <c r="I407" s="7"/>
      <c r="J407" s="7" t="s">
        <v>67</v>
      </c>
      <c r="K407" s="7" t="s">
        <v>1412</v>
      </c>
      <c r="L407" s="7" t="s">
        <v>1096</v>
      </c>
      <c r="M407" s="7" t="s">
        <v>1413</v>
      </c>
      <c r="N407" s="7"/>
      <c r="O407" s="8"/>
      <c r="P407" s="8"/>
      <c r="Q407" s="8"/>
      <c r="R407" s="8"/>
      <c r="S407" s="8"/>
      <c r="T407" s="8"/>
    </row>
  </sheetData>
  <autoFilter ref="A1:T407"/>
  <dataValidations count="3">
    <dataValidation allowBlank="true" errorStyle="stop" operator="between" showDropDown="false" showErrorMessage="false" showInputMessage="false" sqref="O2:O407" type="list">
      <formula1>"Comply,Comply with Exception,Not Comply,Not Applicable,Not Yet Assessed"</formula1>
      <formula2>0</formula2>
    </dataValidation>
    <dataValidation allowBlank="true" errorStyle="stop" operator="between" showDropDown="false" showErrorMessage="false" showInputMessage="false" sqref="P2:P407" type="list">
      <formula1>"Applicable,Tailored Out,Not Applicable"</formula1>
      <formula2>0</formula2>
    </dataValidation>
    <dataValidation allowBlank="true" errorStyle="stop" operator="between" showDropDown="false" showErrorMessage="false" showInputMessage="false" sqref="Q2:Q407" type="list">
      <formula1>"Inspection,Analysis,Demonstration,Test,Audit,Document Review"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16"/>
    <col collapsed="false" customWidth="true" hidden="false" outlineLevel="0" max="4" min="4" style="0" width="32"/>
    <col collapsed="false" customWidth="true" hidden="false" outlineLevel="0" max="5" min="5" style="0" width="110"/>
  </cols>
  <sheetData>
    <row r="1" customFormat="false" ht="23.85" hidden="false" customHeight="false" outlineLevel="0" collapsed="false">
      <c r="A1" s="10" t="s">
        <v>1414</v>
      </c>
      <c r="B1" s="10" t="s">
        <v>41</v>
      </c>
      <c r="C1" s="10" t="s">
        <v>1415</v>
      </c>
      <c r="D1" s="10" t="s">
        <v>43</v>
      </c>
      <c r="E1" s="10" t="s">
        <v>1416</v>
      </c>
    </row>
    <row r="2" customFormat="false" ht="23.85" hidden="false" customHeight="false" outlineLevel="0" collapsed="false">
      <c r="A2" s="7" t="s">
        <v>1417</v>
      </c>
      <c r="B2" s="7" t="s">
        <v>56</v>
      </c>
      <c r="C2" s="7" t="s">
        <v>57</v>
      </c>
      <c r="D2" s="7" t="s">
        <v>58</v>
      </c>
      <c r="E2" s="7" t="s">
        <v>1418</v>
      </c>
    </row>
    <row r="3" customFormat="false" ht="23.85" hidden="false" customHeight="false" outlineLevel="0" collapsed="false">
      <c r="A3" s="7" t="s">
        <v>1419</v>
      </c>
      <c r="B3" s="7" t="s">
        <v>77</v>
      </c>
      <c r="C3" s="7" t="s">
        <v>78</v>
      </c>
      <c r="D3" s="7" t="s">
        <v>79</v>
      </c>
      <c r="E3" s="7" t="s">
        <v>1420</v>
      </c>
    </row>
    <row r="4" customFormat="false" ht="23.85" hidden="false" customHeight="false" outlineLevel="0" collapsed="false">
      <c r="A4" s="7" t="s">
        <v>1421</v>
      </c>
      <c r="B4" s="7" t="s">
        <v>77</v>
      </c>
      <c r="C4" s="7" t="s">
        <v>78</v>
      </c>
      <c r="D4" s="7" t="s">
        <v>79</v>
      </c>
      <c r="E4" s="7" t="s">
        <v>1422</v>
      </c>
    </row>
    <row r="5" customFormat="false" ht="15" hidden="false" customHeight="false" outlineLevel="0" collapsed="false">
      <c r="A5" s="7" t="s">
        <v>1423</v>
      </c>
      <c r="B5" s="7" t="s">
        <v>77</v>
      </c>
      <c r="C5" s="7" t="s">
        <v>78</v>
      </c>
      <c r="D5" s="7" t="s">
        <v>79</v>
      </c>
      <c r="E5" s="7" t="s">
        <v>1424</v>
      </c>
    </row>
    <row r="6" customFormat="false" ht="15" hidden="false" customHeight="false" outlineLevel="0" collapsed="false">
      <c r="A6" s="7" t="s">
        <v>1425</v>
      </c>
      <c r="B6" s="7" t="s">
        <v>77</v>
      </c>
      <c r="C6" s="7" t="s">
        <v>78</v>
      </c>
      <c r="D6" s="7" t="s">
        <v>79</v>
      </c>
      <c r="E6" s="7" t="s">
        <v>1426</v>
      </c>
    </row>
    <row r="7" customFormat="false" ht="23.85" hidden="false" customHeight="false" outlineLevel="0" collapsed="false">
      <c r="A7" s="7" t="s">
        <v>1427</v>
      </c>
      <c r="B7" s="7" t="s">
        <v>77</v>
      </c>
      <c r="C7" s="7" t="s">
        <v>78</v>
      </c>
      <c r="D7" s="7" t="s">
        <v>79</v>
      </c>
      <c r="E7" s="7" t="s">
        <v>1428</v>
      </c>
    </row>
    <row r="8" customFormat="false" ht="23.85" hidden="false" customHeight="false" outlineLevel="0" collapsed="false">
      <c r="A8" s="7" t="s">
        <v>1429</v>
      </c>
      <c r="B8" s="7" t="s">
        <v>77</v>
      </c>
      <c r="C8" s="7" t="s">
        <v>78</v>
      </c>
      <c r="D8" s="7" t="s">
        <v>79</v>
      </c>
      <c r="E8" s="7" t="s">
        <v>1430</v>
      </c>
    </row>
    <row r="9" customFormat="false" ht="23.85" hidden="false" customHeight="false" outlineLevel="0" collapsed="false">
      <c r="A9" s="7" t="s">
        <v>1431</v>
      </c>
      <c r="B9" s="7" t="s">
        <v>122</v>
      </c>
      <c r="C9" s="7" t="s">
        <v>123</v>
      </c>
      <c r="D9" s="7" t="s">
        <v>124</v>
      </c>
      <c r="E9" s="7" t="s">
        <v>1432</v>
      </c>
    </row>
    <row r="10" customFormat="false" ht="23.85" hidden="false" customHeight="false" outlineLevel="0" collapsed="false">
      <c r="A10" s="7" t="s">
        <v>1433</v>
      </c>
      <c r="B10" s="7" t="s">
        <v>162</v>
      </c>
      <c r="C10" s="7" t="s">
        <v>163</v>
      </c>
      <c r="D10" s="7" t="s">
        <v>164</v>
      </c>
      <c r="E10" s="7" t="s">
        <v>1434</v>
      </c>
    </row>
    <row r="11" customFormat="false" ht="23.85" hidden="false" customHeight="false" outlineLevel="0" collapsed="false">
      <c r="A11" s="7" t="s">
        <v>1435</v>
      </c>
      <c r="B11" s="7" t="s">
        <v>209</v>
      </c>
      <c r="C11" s="7" t="s">
        <v>210</v>
      </c>
      <c r="D11" s="7" t="s">
        <v>211</v>
      </c>
      <c r="E11" s="7" t="s">
        <v>1436</v>
      </c>
    </row>
    <row r="12" customFormat="false" ht="23.85" hidden="false" customHeight="false" outlineLevel="0" collapsed="false">
      <c r="A12" s="7" t="s">
        <v>1437</v>
      </c>
      <c r="B12" s="7" t="s">
        <v>217</v>
      </c>
      <c r="C12" s="7" t="s">
        <v>218</v>
      </c>
      <c r="D12" s="7" t="s">
        <v>219</v>
      </c>
      <c r="E12" s="7" t="s">
        <v>1438</v>
      </c>
    </row>
    <row r="13" customFormat="false" ht="15" hidden="false" customHeight="false" outlineLevel="0" collapsed="false">
      <c r="A13" s="7" t="s">
        <v>1439</v>
      </c>
      <c r="B13" s="7" t="s">
        <v>217</v>
      </c>
      <c r="C13" s="7" t="s">
        <v>218</v>
      </c>
      <c r="D13" s="7" t="s">
        <v>219</v>
      </c>
      <c r="E13" s="7" t="s">
        <v>1440</v>
      </c>
    </row>
    <row r="14" customFormat="false" ht="23.85" hidden="false" customHeight="false" outlineLevel="0" collapsed="false">
      <c r="A14" s="7" t="s">
        <v>1441</v>
      </c>
      <c r="B14" s="7" t="s">
        <v>217</v>
      </c>
      <c r="C14" s="7" t="s">
        <v>218</v>
      </c>
      <c r="D14" s="7" t="s">
        <v>219</v>
      </c>
      <c r="E14" s="7" t="s">
        <v>1442</v>
      </c>
    </row>
    <row r="15" customFormat="false" ht="23.85" hidden="false" customHeight="false" outlineLevel="0" collapsed="false">
      <c r="A15" s="7" t="s">
        <v>1443</v>
      </c>
      <c r="B15" s="7" t="s">
        <v>217</v>
      </c>
      <c r="C15" s="7" t="s">
        <v>218</v>
      </c>
      <c r="D15" s="7" t="s">
        <v>219</v>
      </c>
      <c r="E15" s="7" t="s">
        <v>1444</v>
      </c>
    </row>
    <row r="16" customFormat="false" ht="23.85" hidden="false" customHeight="false" outlineLevel="0" collapsed="false">
      <c r="A16" s="7" t="s">
        <v>1445</v>
      </c>
      <c r="B16" s="7" t="s">
        <v>217</v>
      </c>
      <c r="C16" s="7" t="s">
        <v>218</v>
      </c>
      <c r="D16" s="7" t="s">
        <v>219</v>
      </c>
      <c r="E16" s="7" t="s">
        <v>1446</v>
      </c>
    </row>
    <row r="17" customFormat="false" ht="23.85" hidden="false" customHeight="false" outlineLevel="0" collapsed="false">
      <c r="A17" s="7" t="s">
        <v>1447</v>
      </c>
      <c r="B17" s="7" t="s">
        <v>217</v>
      </c>
      <c r="C17" s="7" t="s">
        <v>218</v>
      </c>
      <c r="D17" s="7" t="s">
        <v>219</v>
      </c>
      <c r="E17" s="7" t="s">
        <v>1448</v>
      </c>
    </row>
    <row r="18" customFormat="false" ht="23.85" hidden="false" customHeight="false" outlineLevel="0" collapsed="false">
      <c r="A18" s="7" t="s">
        <v>1449</v>
      </c>
      <c r="B18" s="7" t="s">
        <v>217</v>
      </c>
      <c r="C18" s="7" t="s">
        <v>218</v>
      </c>
      <c r="D18" s="7" t="s">
        <v>219</v>
      </c>
      <c r="E18" s="7" t="s">
        <v>1450</v>
      </c>
    </row>
    <row r="19" customFormat="false" ht="15" hidden="false" customHeight="false" outlineLevel="0" collapsed="false">
      <c r="A19" s="7" t="s">
        <v>1451</v>
      </c>
      <c r="B19" s="7" t="s">
        <v>217</v>
      </c>
      <c r="C19" s="7" t="s">
        <v>218</v>
      </c>
      <c r="D19" s="7" t="s">
        <v>219</v>
      </c>
      <c r="E19" s="7" t="s">
        <v>1452</v>
      </c>
    </row>
    <row r="20" customFormat="false" ht="23.85" hidden="false" customHeight="false" outlineLevel="0" collapsed="false">
      <c r="A20" s="7" t="s">
        <v>1453</v>
      </c>
      <c r="B20" s="7" t="s">
        <v>217</v>
      </c>
      <c r="C20" s="7" t="s">
        <v>218</v>
      </c>
      <c r="D20" s="7" t="s">
        <v>219</v>
      </c>
      <c r="E20" s="7" t="s">
        <v>1454</v>
      </c>
    </row>
    <row r="21" customFormat="false" ht="15" hidden="false" customHeight="false" outlineLevel="0" collapsed="false">
      <c r="A21" s="7" t="s">
        <v>1455</v>
      </c>
      <c r="B21" s="7" t="s">
        <v>344</v>
      </c>
      <c r="C21" s="7" t="s">
        <v>345</v>
      </c>
      <c r="D21" s="7" t="s">
        <v>346</v>
      </c>
      <c r="E21" s="7" t="s">
        <v>1456</v>
      </c>
    </row>
    <row r="22" customFormat="false" ht="23.85" hidden="false" customHeight="false" outlineLevel="0" collapsed="false">
      <c r="A22" s="7" t="s">
        <v>1457</v>
      </c>
      <c r="B22" s="7" t="s">
        <v>361</v>
      </c>
      <c r="C22" s="7" t="s">
        <v>362</v>
      </c>
      <c r="D22" s="7" t="s">
        <v>363</v>
      </c>
      <c r="E22" s="7" t="s">
        <v>1458</v>
      </c>
    </row>
    <row r="23" customFormat="false" ht="15" hidden="false" customHeight="false" outlineLevel="0" collapsed="false">
      <c r="A23" s="7" t="s">
        <v>1459</v>
      </c>
      <c r="B23" s="7" t="s">
        <v>361</v>
      </c>
      <c r="C23" s="7" t="s">
        <v>362</v>
      </c>
      <c r="D23" s="7" t="s">
        <v>363</v>
      </c>
      <c r="E23" s="7" t="s">
        <v>1460</v>
      </c>
    </row>
    <row r="24" customFormat="false" ht="23.85" hidden="false" customHeight="false" outlineLevel="0" collapsed="false">
      <c r="A24" s="7" t="s">
        <v>1461</v>
      </c>
      <c r="B24" s="7" t="s">
        <v>1462</v>
      </c>
      <c r="C24" s="7" t="s">
        <v>1463</v>
      </c>
      <c r="D24" s="7" t="s">
        <v>1464</v>
      </c>
      <c r="E24" s="7" t="s">
        <v>1465</v>
      </c>
    </row>
    <row r="25" customFormat="false" ht="15" hidden="false" customHeight="false" outlineLevel="0" collapsed="false">
      <c r="A25" s="7"/>
      <c r="B25" s="7" t="s">
        <v>1462</v>
      </c>
      <c r="C25" s="7" t="s">
        <v>1463</v>
      </c>
      <c r="D25" s="7" t="s">
        <v>1464</v>
      </c>
      <c r="E25" s="7" t="s">
        <v>1466</v>
      </c>
    </row>
    <row r="26" customFormat="false" ht="15" hidden="false" customHeight="false" outlineLevel="0" collapsed="false">
      <c r="A26" s="7" t="s">
        <v>1467</v>
      </c>
      <c r="B26" s="7" t="s">
        <v>554</v>
      </c>
      <c r="C26" s="7" t="s">
        <v>555</v>
      </c>
      <c r="D26" s="7" t="s">
        <v>556</v>
      </c>
      <c r="E26" s="7" t="s">
        <v>1468</v>
      </c>
    </row>
    <row r="27" customFormat="false" ht="23.85" hidden="false" customHeight="false" outlineLevel="0" collapsed="false">
      <c r="A27" s="7" t="s">
        <v>1469</v>
      </c>
      <c r="B27" s="7" t="s">
        <v>593</v>
      </c>
      <c r="C27" s="7" t="s">
        <v>594</v>
      </c>
      <c r="D27" s="7" t="s">
        <v>595</v>
      </c>
      <c r="E27" s="7" t="s">
        <v>1470</v>
      </c>
    </row>
    <row r="28" customFormat="false" ht="23.85" hidden="false" customHeight="false" outlineLevel="0" collapsed="false">
      <c r="A28" s="7" t="s">
        <v>1471</v>
      </c>
      <c r="B28" s="7" t="s">
        <v>593</v>
      </c>
      <c r="C28" s="7" t="s">
        <v>594</v>
      </c>
      <c r="D28" s="7" t="s">
        <v>595</v>
      </c>
      <c r="E28" s="7" t="s">
        <v>1472</v>
      </c>
    </row>
    <row r="29" customFormat="false" ht="15" hidden="false" customHeight="false" outlineLevel="0" collapsed="false">
      <c r="A29" s="7" t="s">
        <v>1473</v>
      </c>
      <c r="B29" s="7" t="s">
        <v>635</v>
      </c>
      <c r="C29" s="7" t="s">
        <v>636</v>
      </c>
      <c r="D29" s="7" t="s">
        <v>637</v>
      </c>
      <c r="E29" s="7" t="s">
        <v>1474</v>
      </c>
    </row>
    <row r="30" customFormat="false" ht="23.85" hidden="false" customHeight="false" outlineLevel="0" collapsed="false">
      <c r="A30" s="7" t="s">
        <v>1475</v>
      </c>
      <c r="B30" s="7" t="s">
        <v>786</v>
      </c>
      <c r="C30" s="7" t="s">
        <v>787</v>
      </c>
      <c r="D30" s="7" t="s">
        <v>788</v>
      </c>
      <c r="E30" s="7" t="s">
        <v>1476</v>
      </c>
    </row>
    <row r="31" customFormat="false" ht="23.85" hidden="false" customHeight="false" outlineLevel="0" collapsed="false">
      <c r="A31" s="7" t="s">
        <v>1477</v>
      </c>
      <c r="B31" s="7" t="s">
        <v>798</v>
      </c>
      <c r="C31" s="7" t="s">
        <v>799</v>
      </c>
      <c r="D31" s="7" t="s">
        <v>800</v>
      </c>
      <c r="E31" s="7" t="s">
        <v>1478</v>
      </c>
    </row>
    <row r="32" customFormat="false" ht="23.85" hidden="false" customHeight="false" outlineLevel="0" collapsed="false">
      <c r="A32" s="7" t="s">
        <v>1479</v>
      </c>
      <c r="B32" s="7" t="s">
        <v>815</v>
      </c>
      <c r="C32" s="7" t="s">
        <v>816</v>
      </c>
      <c r="D32" s="7" t="s">
        <v>817</v>
      </c>
      <c r="E32" s="7" t="s">
        <v>1480</v>
      </c>
    </row>
    <row r="33" customFormat="false" ht="15" hidden="false" customHeight="false" outlineLevel="0" collapsed="false">
      <c r="A33" s="7" t="s">
        <v>1481</v>
      </c>
      <c r="B33" s="7" t="s">
        <v>815</v>
      </c>
      <c r="C33" s="7" t="s">
        <v>816</v>
      </c>
      <c r="D33" s="7" t="s">
        <v>817</v>
      </c>
      <c r="E33" s="7" t="s">
        <v>1482</v>
      </c>
    </row>
    <row r="34" customFormat="false" ht="23.85" hidden="false" customHeight="false" outlineLevel="0" collapsed="false">
      <c r="A34" s="7" t="s">
        <v>1483</v>
      </c>
      <c r="B34" s="7" t="s">
        <v>890</v>
      </c>
      <c r="C34" s="7" t="s">
        <v>891</v>
      </c>
      <c r="D34" s="7" t="s">
        <v>892</v>
      </c>
      <c r="E34" s="7" t="s">
        <v>1484</v>
      </c>
    </row>
    <row r="35" customFormat="false" ht="23.85" hidden="false" customHeight="false" outlineLevel="0" collapsed="false">
      <c r="A35" s="7" t="s">
        <v>1485</v>
      </c>
      <c r="B35" s="7" t="s">
        <v>1038</v>
      </c>
      <c r="C35" s="7" t="s">
        <v>1039</v>
      </c>
      <c r="D35" s="7" t="s">
        <v>1040</v>
      </c>
      <c r="E35" s="7" t="s">
        <v>1486</v>
      </c>
    </row>
    <row r="36" customFormat="false" ht="23.85" hidden="false" customHeight="false" outlineLevel="0" collapsed="false">
      <c r="A36" s="7" t="s">
        <v>1487</v>
      </c>
      <c r="B36" s="7" t="s">
        <v>1038</v>
      </c>
      <c r="C36" s="7" t="s">
        <v>1039</v>
      </c>
      <c r="D36" s="7" t="s">
        <v>1040</v>
      </c>
      <c r="E36" s="7" t="s">
        <v>1488</v>
      </c>
    </row>
    <row r="37" customFormat="false" ht="15" hidden="false" customHeight="false" outlineLevel="0" collapsed="false">
      <c r="A37" s="7" t="s">
        <v>1489</v>
      </c>
      <c r="B37" s="7" t="s">
        <v>1120</v>
      </c>
      <c r="C37" s="7" t="s">
        <v>1121</v>
      </c>
      <c r="D37" s="7" t="s">
        <v>1122</v>
      </c>
      <c r="E37" s="7" t="s">
        <v>1490</v>
      </c>
    </row>
    <row r="38" customFormat="false" ht="15" hidden="false" customHeight="false" outlineLevel="0" collapsed="false">
      <c r="A38" s="7" t="s">
        <v>1491</v>
      </c>
      <c r="B38" s="7" t="s">
        <v>1127</v>
      </c>
      <c r="C38" s="7" t="s">
        <v>1128</v>
      </c>
      <c r="D38" s="7" t="s">
        <v>1129</v>
      </c>
      <c r="E38" s="7" t="s">
        <v>1492</v>
      </c>
    </row>
    <row r="39" customFormat="false" ht="23.85" hidden="false" customHeight="false" outlineLevel="0" collapsed="false">
      <c r="A39" s="7" t="s">
        <v>1493</v>
      </c>
      <c r="B39" s="7" t="s">
        <v>1127</v>
      </c>
      <c r="C39" s="7" t="s">
        <v>1128</v>
      </c>
      <c r="D39" s="7" t="s">
        <v>1129</v>
      </c>
      <c r="E39" s="7" t="s">
        <v>1494</v>
      </c>
    </row>
    <row r="40" customFormat="false" ht="23.85" hidden="false" customHeight="false" outlineLevel="0" collapsed="false">
      <c r="A40" s="7" t="s">
        <v>1495</v>
      </c>
      <c r="B40" s="7" t="s">
        <v>1127</v>
      </c>
      <c r="C40" s="7" t="s">
        <v>1128</v>
      </c>
      <c r="D40" s="7" t="s">
        <v>1129</v>
      </c>
      <c r="E40" s="7" t="s">
        <v>1496</v>
      </c>
    </row>
    <row r="41" customFormat="false" ht="23.85" hidden="false" customHeight="false" outlineLevel="0" collapsed="false">
      <c r="A41" s="7" t="s">
        <v>1497</v>
      </c>
      <c r="B41" s="7" t="s">
        <v>1127</v>
      </c>
      <c r="C41" s="7" t="s">
        <v>1128</v>
      </c>
      <c r="D41" s="7" t="s">
        <v>1129</v>
      </c>
      <c r="E41" s="7" t="s">
        <v>1498</v>
      </c>
    </row>
  </sheetData>
  <autoFilter ref="A1:E4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6"/>
    <col collapsed="false" customWidth="true" hidden="false" outlineLevel="0" max="3" min="3" style="0" width="12"/>
    <col collapsed="false" customWidth="true" hidden="false" outlineLevel="0" max="4" min="4" style="0" width="70"/>
  </cols>
  <sheetData>
    <row r="1" customFormat="false" ht="15" hidden="false" customHeight="false" outlineLevel="0" collapsed="false">
      <c r="A1" s="10" t="s">
        <v>1499</v>
      </c>
      <c r="B1" s="10" t="s">
        <v>1500</v>
      </c>
      <c r="C1" s="10" t="s">
        <v>1501</v>
      </c>
      <c r="D1" s="10" t="s">
        <v>1502</v>
      </c>
    </row>
    <row r="2" customFormat="false" ht="15" hidden="false" customHeight="false" outlineLevel="0" collapsed="false">
      <c r="A2" s="7" t="s">
        <v>1503</v>
      </c>
      <c r="B2" s="7" t="s">
        <v>1504</v>
      </c>
      <c r="C2" s="7" t="n">
        <f aca="false">SUMPRODUCT(--ISNUMBER(SEARCH($A2,Requirements!$M$2:$N$407)))</f>
        <v>1</v>
      </c>
      <c r="D2" s="7" t="s">
        <v>1133</v>
      </c>
    </row>
    <row r="3" customFormat="false" ht="15" hidden="false" customHeight="false" outlineLevel="0" collapsed="false">
      <c r="A3" s="7" t="s">
        <v>1505</v>
      </c>
      <c r="B3" s="7" t="s">
        <v>1504</v>
      </c>
      <c r="C3" s="7" t="n">
        <f aca="false">SUMPRODUCT(--ISNUMBER(SEARCH($A3,Requirements!$M$2:$N$407)))</f>
        <v>1</v>
      </c>
      <c r="D3" s="7" t="s">
        <v>1133</v>
      </c>
    </row>
    <row r="4" customFormat="false" ht="15" hidden="false" customHeight="false" outlineLevel="0" collapsed="false">
      <c r="A4" s="7" t="s">
        <v>1506</v>
      </c>
      <c r="B4" s="7" t="s">
        <v>1504</v>
      </c>
      <c r="C4" s="7" t="n">
        <f aca="false">SUMPRODUCT(--ISNUMBER(SEARCH($A4,Requirements!$M$2:$N$407)))</f>
        <v>1</v>
      </c>
      <c r="D4" s="7" t="s">
        <v>77</v>
      </c>
    </row>
    <row r="5" customFormat="false" ht="15" hidden="false" customHeight="false" outlineLevel="0" collapsed="false">
      <c r="A5" s="7" t="s">
        <v>359</v>
      </c>
      <c r="B5" s="7" t="s">
        <v>1504</v>
      </c>
      <c r="C5" s="7" t="n">
        <f aca="false">SUMPRODUCT(--ISNUMBER(SEARCH($A5,Requirements!$M$2:$N$407)))</f>
        <v>1</v>
      </c>
      <c r="D5" s="7" t="s">
        <v>344</v>
      </c>
    </row>
    <row r="6" customFormat="false" ht="15" hidden="false" customHeight="false" outlineLevel="0" collapsed="false">
      <c r="A6" s="7" t="s">
        <v>795</v>
      </c>
      <c r="B6" s="7" t="s">
        <v>1504</v>
      </c>
      <c r="C6" s="7" t="n">
        <f aca="false">SUMPRODUCT(--ISNUMBER(SEARCH($A6,Requirements!$M$2:$N$407)))</f>
        <v>1</v>
      </c>
      <c r="D6" s="7" t="s">
        <v>786</v>
      </c>
    </row>
    <row r="7" customFormat="false" ht="15" hidden="false" customHeight="false" outlineLevel="0" collapsed="false">
      <c r="A7" s="7" t="s">
        <v>923</v>
      </c>
      <c r="B7" s="7" t="s">
        <v>1504</v>
      </c>
      <c r="C7" s="7" t="n">
        <f aca="false">SUMPRODUCT(--ISNUMBER(SEARCH($A7,Requirements!$M$2:$N$407)))</f>
        <v>1</v>
      </c>
      <c r="D7" s="7" t="s">
        <v>890</v>
      </c>
    </row>
    <row r="8" customFormat="false" ht="15" hidden="false" customHeight="false" outlineLevel="0" collapsed="false">
      <c r="A8" s="7" t="s">
        <v>1036</v>
      </c>
      <c r="B8" s="7" t="s">
        <v>1504</v>
      </c>
      <c r="C8" s="7" t="n">
        <f aca="false">SUMPRODUCT(--ISNUMBER(SEARCH($A8,Requirements!$M$2:$N$407)))</f>
        <v>1</v>
      </c>
      <c r="D8" s="7" t="s">
        <v>1027</v>
      </c>
    </row>
    <row r="9" customFormat="false" ht="15" hidden="false" customHeight="false" outlineLevel="0" collapsed="false">
      <c r="A9" s="7" t="s">
        <v>1024</v>
      </c>
      <c r="B9" s="7" t="s">
        <v>1504</v>
      </c>
      <c r="C9" s="7" t="n">
        <f aca="false">SUMPRODUCT(--ISNUMBER(SEARCH($A9,Requirements!$M$2:$N$407)))</f>
        <v>1</v>
      </c>
      <c r="D9" s="7" t="s">
        <v>1015</v>
      </c>
    </row>
    <row r="10" customFormat="false" ht="15" hidden="false" customHeight="false" outlineLevel="0" collapsed="false">
      <c r="A10" s="7" t="s">
        <v>168</v>
      </c>
      <c r="B10" s="7" t="s">
        <v>1504</v>
      </c>
      <c r="C10" s="7" t="n">
        <f aca="false">SUMPRODUCT(--ISNUMBER(SEARCH($A10,Requirements!$M$2:$N$407)))</f>
        <v>2</v>
      </c>
      <c r="D10" s="7" t="s">
        <v>1507</v>
      </c>
    </row>
    <row r="11" customFormat="false" ht="15" hidden="false" customHeight="false" outlineLevel="0" collapsed="false">
      <c r="A11" s="7" t="s">
        <v>287</v>
      </c>
      <c r="B11" s="7" t="s">
        <v>1504</v>
      </c>
      <c r="C11" s="7" t="n">
        <f aca="false">SUMPRODUCT(--ISNUMBER(SEARCH($A11,Requirements!$M$2:$N$407)))</f>
        <v>1</v>
      </c>
      <c r="D11" s="7" t="s">
        <v>217</v>
      </c>
    </row>
    <row r="12" customFormat="false" ht="15" hidden="false" customHeight="false" outlineLevel="0" collapsed="false">
      <c r="A12" s="7" t="s">
        <v>1413</v>
      </c>
      <c r="B12" s="7" t="s">
        <v>1504</v>
      </c>
      <c r="C12" s="7" t="n">
        <f aca="false">SUMPRODUCT(--ISNUMBER(SEARCH($A12,Requirements!$M$2:$N$407)))</f>
        <v>1</v>
      </c>
      <c r="D12" s="7" t="s">
        <v>1399</v>
      </c>
    </row>
    <row r="13" customFormat="false" ht="15" hidden="false" customHeight="false" outlineLevel="0" collapsed="false">
      <c r="A13" s="7" t="s">
        <v>1508</v>
      </c>
      <c r="B13" s="7" t="s">
        <v>1504</v>
      </c>
      <c r="C13" s="7" t="n">
        <f aca="false">SUMPRODUCT(--ISNUMBER(SEARCH($A13,Requirements!$M$2:$N$407)))</f>
        <v>1</v>
      </c>
      <c r="D13" s="7" t="s">
        <v>217</v>
      </c>
    </row>
    <row r="14" customFormat="false" ht="15" hidden="false" customHeight="false" outlineLevel="0" collapsed="false">
      <c r="A14" s="7" t="s">
        <v>1117</v>
      </c>
      <c r="B14" s="7" t="s">
        <v>1504</v>
      </c>
      <c r="C14" s="7" t="n">
        <f aca="false">SUMPRODUCT(--ISNUMBER(SEARCH($A14,Requirements!$M$2:$N$407)))</f>
        <v>1</v>
      </c>
      <c r="D14" s="7" t="s">
        <v>1049</v>
      </c>
    </row>
    <row r="15" customFormat="false" ht="15" hidden="false" customHeight="false" outlineLevel="0" collapsed="false">
      <c r="A15" s="7" t="s">
        <v>530</v>
      </c>
      <c r="B15" s="7" t="s">
        <v>1504</v>
      </c>
      <c r="C15" s="7" t="n">
        <f aca="false">SUMPRODUCT(--ISNUMBER(SEARCH($A15,Requirements!$M$2:$N$407)))</f>
        <v>1</v>
      </c>
      <c r="D15" s="7" t="s">
        <v>518</v>
      </c>
    </row>
    <row r="16" customFormat="false" ht="15" hidden="false" customHeight="false" outlineLevel="0" collapsed="false">
      <c r="A16" s="7" t="s">
        <v>1111</v>
      </c>
      <c r="B16" s="7" t="s">
        <v>1504</v>
      </c>
      <c r="C16" s="7" t="n">
        <f aca="false">SUMPRODUCT(--ISNUMBER(SEARCH($A16,Requirements!$M$2:$N$407)))</f>
        <v>1</v>
      </c>
      <c r="D16" s="7" t="s">
        <v>1049</v>
      </c>
    </row>
    <row r="17" customFormat="false" ht="15" hidden="false" customHeight="false" outlineLevel="0" collapsed="false">
      <c r="A17" s="7" t="s">
        <v>1509</v>
      </c>
      <c r="B17" s="7" t="s">
        <v>1504</v>
      </c>
      <c r="C17" s="7" t="n">
        <f aca="false">SUMPRODUCT(--ISNUMBER(SEARCH($A17,Requirements!$M$2:$N$407)))</f>
        <v>2</v>
      </c>
      <c r="D17" s="7" t="s">
        <v>1510</v>
      </c>
    </row>
    <row r="18" customFormat="false" ht="15" hidden="false" customHeight="false" outlineLevel="0" collapsed="false">
      <c r="A18" s="7" t="s">
        <v>1511</v>
      </c>
      <c r="B18" s="7" t="s">
        <v>1504</v>
      </c>
      <c r="C18" s="7" t="n">
        <f aca="false">SUMPRODUCT(--ISNUMBER(SEARCH($A18,Requirements!$M$2:$N$407)))</f>
        <v>1</v>
      </c>
      <c r="D18" s="7" t="s">
        <v>1133</v>
      </c>
    </row>
    <row r="19" customFormat="false" ht="15" hidden="false" customHeight="false" outlineLevel="0" collapsed="false">
      <c r="A19" s="7" t="s">
        <v>1512</v>
      </c>
      <c r="B19" s="7" t="s">
        <v>1504</v>
      </c>
      <c r="C19" s="7" t="n">
        <f aca="false">SUMPRODUCT(--ISNUMBER(SEARCH($A19,Requirements!$M$2:$N$407)))</f>
        <v>1</v>
      </c>
      <c r="D19" s="7" t="s">
        <v>290</v>
      </c>
    </row>
    <row r="20" customFormat="false" ht="15" hidden="false" customHeight="false" outlineLevel="0" collapsed="false">
      <c r="A20" s="7" t="s">
        <v>1513</v>
      </c>
      <c r="B20" s="7" t="s">
        <v>1514</v>
      </c>
      <c r="C20" s="7" t="n">
        <f aca="false">SUMPRODUCT(--ISNUMBER(SEARCH($A20,Requirements!$M$2:$N$407)))</f>
        <v>1</v>
      </c>
      <c r="D20" s="7" t="s">
        <v>217</v>
      </c>
    </row>
    <row r="21" customFormat="false" ht="15" hidden="false" customHeight="false" outlineLevel="0" collapsed="false">
      <c r="A21" s="7" t="s">
        <v>639</v>
      </c>
      <c r="B21" s="7" t="s">
        <v>1514</v>
      </c>
      <c r="C21" s="7" t="n">
        <f aca="false">SUMPRODUCT(--ISNUMBER(SEARCH($A21,Requirements!$M$2:$N$407)))</f>
        <v>2</v>
      </c>
      <c r="D21" s="7" t="s">
        <v>1515</v>
      </c>
    </row>
    <row r="22" customFormat="false" ht="15" hidden="false" customHeight="false" outlineLevel="0" collapsed="false">
      <c r="A22" s="7" t="s">
        <v>939</v>
      </c>
      <c r="B22" s="7" t="s">
        <v>1514</v>
      </c>
      <c r="C22" s="7" t="n">
        <f aca="false">SUMPRODUCT(--ISNUMBER(SEARCH($A22,Requirements!$M$2:$N$407)))</f>
        <v>1</v>
      </c>
      <c r="D22" s="7" t="s">
        <v>934</v>
      </c>
    </row>
    <row r="23" customFormat="false" ht="15" hidden="false" customHeight="false" outlineLevel="0" collapsed="false">
      <c r="A23" s="7" t="s">
        <v>1324</v>
      </c>
      <c r="B23" s="7" t="s">
        <v>1514</v>
      </c>
      <c r="C23" s="7" t="n">
        <f aca="false">SUMPRODUCT(--ISNUMBER(SEARCH($A23,Requirements!$M$2:$N$407)))</f>
        <v>1</v>
      </c>
      <c r="D23" s="7" t="s">
        <v>1322</v>
      </c>
    </row>
    <row r="24" customFormat="false" ht="15" hidden="false" customHeight="false" outlineLevel="0" collapsed="false">
      <c r="A24" s="7" t="s">
        <v>266</v>
      </c>
      <c r="B24" s="7" t="s">
        <v>1514</v>
      </c>
      <c r="C24" s="7" t="n">
        <f aca="false">SUMPRODUCT(--ISNUMBER(SEARCH($A24,Requirements!$M$2:$N$407)))</f>
        <v>1</v>
      </c>
      <c r="D24" s="7" t="s">
        <v>217</v>
      </c>
    </row>
    <row r="25" customFormat="false" ht="15" hidden="false" customHeight="false" outlineLevel="0" collapsed="false">
      <c r="A25" s="7" t="s">
        <v>905</v>
      </c>
      <c r="B25" s="7" t="s">
        <v>1514</v>
      </c>
      <c r="C25" s="7" t="n">
        <f aca="false">SUMPRODUCT(--ISNUMBER(SEARCH($A25,Requirements!$M$2:$N$407)))</f>
        <v>2</v>
      </c>
      <c r="D25" s="7" t="s">
        <v>1516</v>
      </c>
    </row>
    <row r="26" customFormat="false" ht="15" hidden="false" customHeight="false" outlineLevel="0" collapsed="false">
      <c r="A26" s="7" t="s">
        <v>206</v>
      </c>
      <c r="B26" s="7" t="s">
        <v>1514</v>
      </c>
      <c r="C26" s="7" t="n">
        <f aca="false">SUMPRODUCT(--ISNUMBER(SEARCH($A26,Requirements!$M$2:$N$407)))</f>
        <v>2</v>
      </c>
      <c r="D26" s="7" t="s">
        <v>1517</v>
      </c>
    </row>
    <row r="27" customFormat="false" ht="15" hidden="false" customHeight="false" outlineLevel="0" collapsed="false">
      <c r="A27" s="7" t="s">
        <v>1518</v>
      </c>
      <c r="B27" s="7" t="s">
        <v>1514</v>
      </c>
      <c r="C27" s="7" t="n">
        <f aca="false">SUMPRODUCT(--ISNUMBER(SEARCH($A27,Requirements!$M$2:$N$407)))</f>
        <v>1</v>
      </c>
      <c r="D27" s="7" t="s">
        <v>465</v>
      </c>
    </row>
    <row r="28" customFormat="false" ht="15" hidden="false" customHeight="false" outlineLevel="0" collapsed="false">
      <c r="A28" s="7" t="s">
        <v>476</v>
      </c>
      <c r="B28" s="7" t="s">
        <v>1514</v>
      </c>
      <c r="C28" s="7" t="n">
        <f aca="false">SUMPRODUCT(--ISNUMBER(SEARCH($A28,Requirements!$M$2:$N$407)))</f>
        <v>3</v>
      </c>
      <c r="D28" s="7" t="s">
        <v>1519</v>
      </c>
    </row>
    <row r="29" customFormat="false" ht="15" hidden="false" customHeight="false" outlineLevel="0" collapsed="false">
      <c r="A29" s="7" t="s">
        <v>1520</v>
      </c>
      <c r="B29" s="7" t="s">
        <v>1514</v>
      </c>
      <c r="C29" s="7" t="n">
        <f aca="false">SUMPRODUCT(--ISNUMBER(SEARCH($A29,Requirements!$M$2:$N$407)))</f>
        <v>1</v>
      </c>
      <c r="D29" s="7" t="s">
        <v>465</v>
      </c>
    </row>
    <row r="30" customFormat="false" ht="15" hidden="false" customHeight="false" outlineLevel="0" collapsed="false">
      <c r="A30" s="7" t="s">
        <v>1521</v>
      </c>
      <c r="B30" s="7" t="s">
        <v>1514</v>
      </c>
      <c r="C30" s="7" t="n">
        <f aca="false">SUMPRODUCT(--ISNUMBER(SEARCH($A30,Requirements!$M$2:$N$407)))</f>
        <v>1</v>
      </c>
      <c r="D30" s="7" t="s">
        <v>217</v>
      </c>
    </row>
    <row r="31" customFormat="false" ht="15" hidden="false" customHeight="false" outlineLevel="0" collapsed="false">
      <c r="A31" s="7" t="s">
        <v>1522</v>
      </c>
      <c r="B31" s="7" t="s">
        <v>1514</v>
      </c>
      <c r="C31" s="7" t="n">
        <f aca="false">SUMPRODUCT(--ISNUMBER(SEARCH($A31,Requirements!$M$2:$N$407)))</f>
        <v>1</v>
      </c>
      <c r="D31" s="7" t="s">
        <v>217</v>
      </c>
    </row>
    <row r="32" customFormat="false" ht="15" hidden="false" customHeight="false" outlineLevel="0" collapsed="false">
      <c r="A32" s="7" t="s">
        <v>1523</v>
      </c>
      <c r="B32" s="7" t="s">
        <v>1514</v>
      </c>
      <c r="C32" s="7" t="n">
        <f aca="false">SUMPRODUCT(--ISNUMBER(SEARCH($A32,Requirements!$M$2:$N$407)))</f>
        <v>1</v>
      </c>
      <c r="D32" s="7" t="s">
        <v>217</v>
      </c>
    </row>
    <row r="33" customFormat="false" ht="15" hidden="false" customHeight="false" outlineLevel="0" collapsed="false">
      <c r="A33" s="7" t="s">
        <v>373</v>
      </c>
      <c r="B33" s="7" t="s">
        <v>1514</v>
      </c>
      <c r="C33" s="7" t="n">
        <f aca="false">SUMPRODUCT(--ISNUMBER(SEARCH($A33,Requirements!$M$2:$N$407)))</f>
        <v>1</v>
      </c>
      <c r="D33" s="7" t="s">
        <v>367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40"/>
    <col collapsed="false" customWidth="true" hidden="false" outlineLevel="0" max="3" min="3" style="0" width="12"/>
    <col collapsed="false" customWidth="true" hidden="false" outlineLevel="0" max="4" min="4" style="0" width="20"/>
    <col collapsed="false" customWidth="true" hidden="false" outlineLevel="0" max="6" min="5" style="0" width="12"/>
  </cols>
  <sheetData>
    <row r="1" customFormat="false" ht="17.35" hidden="false" customHeight="false" outlineLevel="0" collapsed="false">
      <c r="A1" s="1" t="s">
        <v>1524</v>
      </c>
    </row>
    <row r="2" customFormat="false" ht="15" hidden="false" customHeight="false" outlineLevel="0" collapsed="false">
      <c r="A2" s="2" t="s">
        <v>1525</v>
      </c>
    </row>
    <row r="4" customFormat="false" ht="15" hidden="false" customHeight="false" outlineLevel="0" collapsed="false">
      <c r="A4" s="5" t="s">
        <v>1526</v>
      </c>
    </row>
    <row r="5" customFormat="false" ht="15" hidden="false" customHeight="false" outlineLevel="0" collapsed="false">
      <c r="A5" s="13" t="s">
        <v>1527</v>
      </c>
      <c r="B5" s="14" t="n">
        <f aca="false">COUNTA(Requirements!$A$2:$A$407)</f>
        <v>406</v>
      </c>
    </row>
    <row r="6" customFormat="false" ht="15" hidden="false" customHeight="false" outlineLevel="0" collapsed="false">
      <c r="A6" s="13" t="s">
        <v>1528</v>
      </c>
      <c r="B6" s="14" t="n">
        <f aca="false">COUNTIF(Requirements!$J$2:$J$407,"Yes")</f>
        <v>359</v>
      </c>
    </row>
    <row r="7" customFormat="false" ht="15" hidden="false" customHeight="false" outlineLevel="0" collapsed="false">
      <c r="A7" s="13" t="s">
        <v>1529</v>
      </c>
      <c r="B7" s="14" t="n">
        <f aca="false">COUNTIF(Requirements!$G$2:$G$407,"Requirement")</f>
        <v>111</v>
      </c>
    </row>
    <row r="8" customFormat="false" ht="15" hidden="false" customHeight="false" outlineLevel="0" collapsed="false">
      <c r="A8" s="13" t="s">
        <v>1530</v>
      </c>
      <c r="B8" s="14" t="n">
        <f aca="false">COUNTIF(Requirements!$G$2:$G$407,"Sub-requirement")</f>
        <v>253</v>
      </c>
    </row>
    <row r="9" customFormat="false" ht="15" hidden="false" customHeight="false" outlineLevel="0" collapsed="false">
      <c r="A9" s="13" t="s">
        <v>1531</v>
      </c>
      <c r="B9" s="14" t="n">
        <f aca="false">COUNTIF(Requirements!$G$2:$G$407,"Note")</f>
        <v>26</v>
      </c>
    </row>
    <row r="10" customFormat="false" ht="15" hidden="false" customHeight="false" outlineLevel="0" collapsed="false">
      <c r="A10" s="13" t="s">
        <v>1532</v>
      </c>
      <c r="B10" s="14" t="n">
        <f aca="false">COUNTIF(Requirements!$G$2:$G$407,"Guidance")</f>
        <v>16</v>
      </c>
    </row>
    <row r="11" customFormat="false" ht="15" hidden="false" customHeight="false" outlineLevel="0" collapsed="false">
      <c r="A11" s="13" t="s">
        <v>1533</v>
      </c>
      <c r="B11" s="14" t="n">
        <f aca="false">COUNTA(Principles!$E$2:$E$41)</f>
        <v>40</v>
      </c>
    </row>
    <row r="12" customFormat="false" ht="15" hidden="false" customHeight="false" outlineLevel="0" collapsed="false">
      <c r="A12" s="13" t="s">
        <v>1534</v>
      </c>
      <c r="B12" s="14" t="n">
        <f aca="false">COUNTA(References!$A$2:$A$33)</f>
        <v>32</v>
      </c>
    </row>
    <row r="14" customFormat="false" ht="15" hidden="false" customHeight="false" outlineLevel="0" collapsed="false">
      <c r="A14" s="5" t="s">
        <v>1535</v>
      </c>
    </row>
    <row r="15" customFormat="false" ht="15" hidden="false" customHeight="false" outlineLevel="0" collapsed="false">
      <c r="A15" s="15" t="s">
        <v>1536</v>
      </c>
      <c r="B15" s="15" t="s">
        <v>1537</v>
      </c>
      <c r="C15" s="15" t="s">
        <v>1538</v>
      </c>
    </row>
    <row r="16" customFormat="false" ht="15" hidden="false" customHeight="false" outlineLevel="0" collapsed="false">
      <c r="A16" s="16" t="s">
        <v>35</v>
      </c>
      <c r="B16" s="16" t="n">
        <f aca="false">COUNTIFS(Requirements!$J$2:$J$407,"Yes",Requirements!$O$2:$O$407,$A16)</f>
        <v>0</v>
      </c>
      <c r="C16" s="17" t="n">
        <f aca="false">IF($B$6=0,0,B16/$B$6)</f>
        <v>0</v>
      </c>
    </row>
    <row r="17" customFormat="false" ht="15" hidden="false" customHeight="false" outlineLevel="0" collapsed="false">
      <c r="A17" s="16" t="s">
        <v>1539</v>
      </c>
      <c r="B17" s="16" t="n">
        <f aca="false">COUNTIFS(Requirements!$J$2:$J$407,"Yes",Requirements!$O$2:$O$407,$A17)</f>
        <v>0</v>
      </c>
      <c r="C17" s="17" t="n">
        <f aca="false">IF($B$6=0,0,B17/$B$6)</f>
        <v>0</v>
      </c>
    </row>
    <row r="18" customFormat="false" ht="15" hidden="false" customHeight="false" outlineLevel="0" collapsed="false">
      <c r="A18" s="16" t="s">
        <v>1540</v>
      </c>
      <c r="B18" s="16" t="n">
        <f aca="false">COUNTIFS(Requirements!$J$2:$J$407,"Yes",Requirements!$O$2:$O$407,$A18)</f>
        <v>0</v>
      </c>
      <c r="C18" s="17" t="n">
        <f aca="false">IF($B$6=0,0,B18/$B$6)</f>
        <v>0</v>
      </c>
    </row>
    <row r="19" customFormat="false" ht="15" hidden="false" customHeight="false" outlineLevel="0" collapsed="false">
      <c r="A19" s="16" t="s">
        <v>1541</v>
      </c>
      <c r="B19" s="16" t="n">
        <f aca="false">COUNTIFS(Requirements!$J$2:$J$407,"Yes",Requirements!$O$2:$O$407,$A19)</f>
        <v>0</v>
      </c>
      <c r="C19" s="17" t="n">
        <f aca="false">IF($B$6=0,0,B19/$B$6)</f>
        <v>0</v>
      </c>
    </row>
    <row r="20" customFormat="false" ht="15" hidden="false" customHeight="false" outlineLevel="0" collapsed="false">
      <c r="A20" s="16" t="s">
        <v>1542</v>
      </c>
      <c r="B20" s="16" t="n">
        <f aca="false">COUNTIFS(Requirements!$J$2:$J$407,"Yes",Requirements!$O$2:$O$407,$A20)</f>
        <v>0</v>
      </c>
      <c r="C20" s="17" t="n">
        <f aca="false">IF($B$6=0,0,B20/$B$6)</f>
        <v>0</v>
      </c>
    </row>
    <row r="21" customFormat="false" ht="15" hidden="false" customHeight="false" outlineLevel="0" collapsed="false">
      <c r="A21" s="18" t="s">
        <v>1543</v>
      </c>
      <c r="B21" s="18" t="n">
        <f aca="false">COUNTIFS(Requirements!$J$2:$J$407,"Yes",Requirements!$O$2:$O$407,"")</f>
        <v>359</v>
      </c>
      <c r="C21" s="19" t="n">
        <f aca="false">IF($B$6=0,0,B21/$B$6)</f>
        <v>1</v>
      </c>
    </row>
    <row r="23" customFormat="false" ht="15" hidden="false" customHeight="false" outlineLevel="0" collapsed="false">
      <c r="A23" s="5" t="s">
        <v>1544</v>
      </c>
    </row>
    <row r="24" customFormat="false" ht="15" hidden="false" customHeight="false" outlineLevel="0" collapsed="false">
      <c r="A24" s="20" t="s">
        <v>41</v>
      </c>
      <c r="B24" s="20" t="s">
        <v>1545</v>
      </c>
      <c r="C24" s="20" t="s">
        <v>1546</v>
      </c>
      <c r="D24" s="20" t="s">
        <v>1547</v>
      </c>
      <c r="E24" s="20" t="s">
        <v>1548</v>
      </c>
      <c r="F24" s="20" t="s">
        <v>1549</v>
      </c>
    </row>
    <row r="25" customFormat="false" ht="23.85" hidden="false" customHeight="false" outlineLevel="0" collapsed="false">
      <c r="A25" s="21" t="s">
        <v>56</v>
      </c>
      <c r="B25" s="7" t="s">
        <v>58</v>
      </c>
      <c r="C25" s="21" t="n">
        <f aca="false">COUNTIF(Requirements!$C$2:$C$407,$A25)</f>
        <v>5</v>
      </c>
      <c r="D25" s="21" t="n">
        <f aca="false">COUNTIFS(Requirements!$C$2:$C$407,$A25,Requirements!$J$2:$J$407,"Yes")</f>
        <v>4</v>
      </c>
      <c r="E25" s="21" t="n">
        <f aca="false">COUNTIFS(Requirements!$C$2:$C$407,$A25,Requirements!$J$2:$J$407,"Yes",Requirements!$O$2:$O$407,"&lt;&gt;")</f>
        <v>0</v>
      </c>
      <c r="F25" s="22" t="n">
        <f aca="false">IF($D25=0,"n/a",$E25/$D25)</f>
        <v>0</v>
      </c>
    </row>
    <row r="26" customFormat="false" ht="15" hidden="false" customHeight="false" outlineLevel="0" collapsed="false">
      <c r="A26" s="21" t="s">
        <v>77</v>
      </c>
      <c r="B26" s="7" t="s">
        <v>79</v>
      </c>
      <c r="C26" s="21" t="n">
        <f aca="false">COUNTIF(Requirements!$C$2:$C$407,$A26)</f>
        <v>13</v>
      </c>
      <c r="D26" s="21" t="n">
        <f aca="false">COUNTIFS(Requirements!$C$2:$C$407,$A26,Requirements!$J$2:$J$407,"Yes")</f>
        <v>12</v>
      </c>
      <c r="E26" s="21" t="n">
        <f aca="false">COUNTIFS(Requirements!$C$2:$C$407,$A26,Requirements!$J$2:$J$407,"Yes",Requirements!$O$2:$O$407,"&lt;&gt;")</f>
        <v>0</v>
      </c>
      <c r="F26" s="22" t="n">
        <f aca="false">IF($D26=0,"n/a",$E26/$D26)</f>
        <v>0</v>
      </c>
    </row>
    <row r="27" customFormat="false" ht="23.85" hidden="false" customHeight="false" outlineLevel="0" collapsed="false">
      <c r="A27" s="21" t="s">
        <v>122</v>
      </c>
      <c r="B27" s="7" t="s">
        <v>124</v>
      </c>
      <c r="C27" s="21" t="n">
        <f aca="false">COUNTIF(Requirements!$C$2:$C$407,$A27)</f>
        <v>12</v>
      </c>
      <c r="D27" s="21" t="n">
        <f aca="false">COUNTIFS(Requirements!$C$2:$C$407,$A27,Requirements!$J$2:$J$407,"Yes")</f>
        <v>10</v>
      </c>
      <c r="E27" s="21" t="n">
        <f aca="false">COUNTIFS(Requirements!$C$2:$C$407,$A27,Requirements!$J$2:$J$407,"Yes",Requirements!$O$2:$O$407,"&lt;&gt;")</f>
        <v>0</v>
      </c>
      <c r="F27" s="22" t="n">
        <f aca="false">IF($D27=0,"n/a",$E27/$D27)</f>
        <v>0</v>
      </c>
    </row>
    <row r="28" customFormat="false" ht="15" hidden="false" customHeight="false" outlineLevel="0" collapsed="false">
      <c r="A28" s="21" t="s">
        <v>162</v>
      </c>
      <c r="B28" s="7" t="s">
        <v>164</v>
      </c>
      <c r="C28" s="21" t="n">
        <f aca="false">COUNTIF(Requirements!$C$2:$C$407,$A28)</f>
        <v>2</v>
      </c>
      <c r="D28" s="21" t="n">
        <f aca="false">COUNTIFS(Requirements!$C$2:$C$407,$A28,Requirements!$J$2:$J$407,"Yes")</f>
        <v>1</v>
      </c>
      <c r="E28" s="21" t="n">
        <f aca="false">COUNTIFS(Requirements!$C$2:$C$407,$A28,Requirements!$J$2:$J$407,"Yes",Requirements!$O$2:$O$407,"&lt;&gt;")</f>
        <v>0</v>
      </c>
      <c r="F28" s="22" t="n">
        <f aca="false">IF($D28=0,"n/a",$E28/$D28)</f>
        <v>0</v>
      </c>
    </row>
    <row r="29" customFormat="false" ht="15" hidden="false" customHeight="false" outlineLevel="0" collapsed="false">
      <c r="A29" s="21" t="s">
        <v>171</v>
      </c>
      <c r="B29" s="7" t="s">
        <v>173</v>
      </c>
      <c r="C29" s="21" t="n">
        <f aca="false">COUNTIF(Requirements!$C$2:$C$407,$A29)</f>
        <v>12</v>
      </c>
      <c r="D29" s="21" t="n">
        <f aca="false">COUNTIFS(Requirements!$C$2:$C$407,$A29,Requirements!$J$2:$J$407,"Yes")</f>
        <v>10</v>
      </c>
      <c r="E29" s="21" t="n">
        <f aca="false">COUNTIFS(Requirements!$C$2:$C$407,$A29,Requirements!$J$2:$J$407,"Yes",Requirements!$O$2:$O$407,"&lt;&gt;")</f>
        <v>0</v>
      </c>
      <c r="F29" s="22" t="n">
        <f aca="false">IF($D29=0,"n/a",$E29/$D29)</f>
        <v>0</v>
      </c>
    </row>
    <row r="30" customFormat="false" ht="15" hidden="false" customHeight="false" outlineLevel="0" collapsed="false">
      <c r="A30" s="21" t="s">
        <v>209</v>
      </c>
      <c r="B30" s="7" t="s">
        <v>211</v>
      </c>
      <c r="C30" s="21" t="n">
        <f aca="false">COUNTIF(Requirements!$C$2:$C$407,$A30)</f>
        <v>2</v>
      </c>
      <c r="D30" s="21" t="n">
        <f aca="false">COUNTIFS(Requirements!$C$2:$C$407,$A30,Requirements!$J$2:$J$407,"Yes")</f>
        <v>2</v>
      </c>
      <c r="E30" s="21" t="n">
        <f aca="false">COUNTIFS(Requirements!$C$2:$C$407,$A30,Requirements!$J$2:$J$407,"Yes",Requirements!$O$2:$O$407,"&lt;&gt;")</f>
        <v>0</v>
      </c>
      <c r="F30" s="22" t="n">
        <f aca="false">IF($D30=0,"n/a",$E30/$D30)</f>
        <v>0</v>
      </c>
    </row>
    <row r="31" customFormat="false" ht="15" hidden="false" customHeight="false" outlineLevel="0" collapsed="false">
      <c r="A31" s="21" t="s">
        <v>217</v>
      </c>
      <c r="B31" s="7" t="s">
        <v>219</v>
      </c>
      <c r="C31" s="21" t="n">
        <f aca="false">COUNTIF(Requirements!$C$2:$C$407,$A31)</f>
        <v>23</v>
      </c>
      <c r="D31" s="21" t="n">
        <f aca="false">COUNTIFS(Requirements!$C$2:$C$407,$A31,Requirements!$J$2:$J$407,"Yes")</f>
        <v>18</v>
      </c>
      <c r="E31" s="21" t="n">
        <f aca="false">COUNTIFS(Requirements!$C$2:$C$407,$A31,Requirements!$J$2:$J$407,"Yes",Requirements!$O$2:$O$407,"&lt;&gt;")</f>
        <v>0</v>
      </c>
      <c r="F31" s="22" t="n">
        <f aca="false">IF($D31=0,"n/a",$E31/$D31)</f>
        <v>0</v>
      </c>
    </row>
    <row r="32" customFormat="false" ht="15" hidden="false" customHeight="false" outlineLevel="0" collapsed="false">
      <c r="A32" s="21" t="s">
        <v>290</v>
      </c>
      <c r="B32" s="7" t="s">
        <v>292</v>
      </c>
      <c r="C32" s="21" t="n">
        <f aca="false">COUNTIF(Requirements!$C$2:$C$407,$A32)</f>
        <v>17</v>
      </c>
      <c r="D32" s="21" t="n">
        <f aca="false">COUNTIFS(Requirements!$C$2:$C$407,$A32,Requirements!$J$2:$J$407,"Yes")</f>
        <v>16</v>
      </c>
      <c r="E32" s="21" t="n">
        <f aca="false">COUNTIFS(Requirements!$C$2:$C$407,$A32,Requirements!$J$2:$J$407,"Yes",Requirements!$O$2:$O$407,"&lt;&gt;")</f>
        <v>0</v>
      </c>
      <c r="F32" s="22" t="n">
        <f aca="false">IF($D32=0,"n/a",$E32/$D32)</f>
        <v>0</v>
      </c>
    </row>
    <row r="33" customFormat="false" ht="15" hidden="false" customHeight="false" outlineLevel="0" collapsed="false">
      <c r="A33" s="21" t="s">
        <v>344</v>
      </c>
      <c r="B33" s="7" t="s">
        <v>346</v>
      </c>
      <c r="C33" s="21" t="n">
        <f aca="false">COUNTIF(Requirements!$C$2:$C$407,$A33)</f>
        <v>5</v>
      </c>
      <c r="D33" s="21" t="n">
        <f aca="false">COUNTIFS(Requirements!$C$2:$C$407,$A33,Requirements!$J$2:$J$407,"Yes")</f>
        <v>4</v>
      </c>
      <c r="E33" s="21" t="n">
        <f aca="false">COUNTIFS(Requirements!$C$2:$C$407,$A33,Requirements!$J$2:$J$407,"Yes",Requirements!$O$2:$O$407,"&lt;&gt;")</f>
        <v>0</v>
      </c>
      <c r="F33" s="22" t="n">
        <f aca="false">IF($D33=0,"n/a",$E33/$D33)</f>
        <v>0</v>
      </c>
    </row>
    <row r="34" customFormat="false" ht="15" hidden="false" customHeight="false" outlineLevel="0" collapsed="false">
      <c r="A34" s="21" t="s">
        <v>361</v>
      </c>
      <c r="B34" s="7" t="s">
        <v>363</v>
      </c>
      <c r="C34" s="21" t="n">
        <f aca="false">COUNTIF(Requirements!$C$2:$C$407,$A34)</f>
        <v>1</v>
      </c>
      <c r="D34" s="21" t="n">
        <f aca="false">COUNTIFS(Requirements!$C$2:$C$407,$A34,Requirements!$J$2:$J$407,"Yes")</f>
        <v>0</v>
      </c>
      <c r="E34" s="21" t="n">
        <f aca="false">COUNTIFS(Requirements!$C$2:$C$407,$A34,Requirements!$J$2:$J$407,"Yes",Requirements!$O$2:$O$407,"&lt;&gt;")</f>
        <v>0</v>
      </c>
      <c r="F34" s="22" t="str">
        <f aca="false">IF($D34=0,"n/a",$E34/$D34)</f>
        <v>n/a</v>
      </c>
    </row>
    <row r="35" customFormat="false" ht="23.85" hidden="false" customHeight="false" outlineLevel="0" collapsed="false">
      <c r="A35" s="21" t="s">
        <v>367</v>
      </c>
      <c r="B35" s="7" t="s">
        <v>369</v>
      </c>
      <c r="C35" s="21" t="n">
        <f aca="false">COUNTIF(Requirements!$C$2:$C$407,$A35)</f>
        <v>3</v>
      </c>
      <c r="D35" s="21" t="n">
        <f aca="false">COUNTIFS(Requirements!$C$2:$C$407,$A35,Requirements!$J$2:$J$407,"Yes")</f>
        <v>2</v>
      </c>
      <c r="E35" s="21" t="n">
        <f aca="false">COUNTIFS(Requirements!$C$2:$C$407,$A35,Requirements!$J$2:$J$407,"Yes",Requirements!$O$2:$O$407,"&lt;&gt;")</f>
        <v>0</v>
      </c>
      <c r="F35" s="22" t="n">
        <f aca="false">IF($D35=0,"n/a",$E35/$D35)</f>
        <v>0</v>
      </c>
    </row>
    <row r="36" customFormat="false" ht="15" hidden="false" customHeight="false" outlineLevel="0" collapsed="false">
      <c r="A36" s="21" t="s">
        <v>379</v>
      </c>
      <c r="B36" s="7" t="s">
        <v>381</v>
      </c>
      <c r="C36" s="21" t="n">
        <f aca="false">COUNTIF(Requirements!$C$2:$C$407,$A36)</f>
        <v>5</v>
      </c>
      <c r="D36" s="21" t="n">
        <f aca="false">COUNTIFS(Requirements!$C$2:$C$407,$A36,Requirements!$J$2:$J$407,"Yes")</f>
        <v>4</v>
      </c>
      <c r="E36" s="21" t="n">
        <f aca="false">COUNTIFS(Requirements!$C$2:$C$407,$A36,Requirements!$J$2:$J$407,"Yes",Requirements!$O$2:$O$407,"&lt;&gt;")</f>
        <v>0</v>
      </c>
      <c r="F36" s="22" t="n">
        <f aca="false">IF($D36=0,"n/a",$E36/$D36)</f>
        <v>0</v>
      </c>
    </row>
    <row r="37" customFormat="false" ht="15" hidden="false" customHeight="false" outlineLevel="0" collapsed="false">
      <c r="A37" s="21" t="s">
        <v>396</v>
      </c>
      <c r="B37" s="7" t="s">
        <v>398</v>
      </c>
      <c r="C37" s="21" t="n">
        <f aca="false">COUNTIF(Requirements!$C$2:$C$407,$A37)</f>
        <v>4</v>
      </c>
      <c r="D37" s="21" t="n">
        <f aca="false">COUNTIFS(Requirements!$C$2:$C$407,$A37,Requirements!$J$2:$J$407,"Yes")</f>
        <v>4</v>
      </c>
      <c r="E37" s="21" t="n">
        <f aca="false">COUNTIFS(Requirements!$C$2:$C$407,$A37,Requirements!$J$2:$J$407,"Yes",Requirements!$O$2:$O$407,"&lt;&gt;")</f>
        <v>0</v>
      </c>
      <c r="F37" s="22" t="n">
        <f aca="false">IF($D37=0,"n/a",$E37/$D37)</f>
        <v>0</v>
      </c>
    </row>
    <row r="38" customFormat="false" ht="15" hidden="false" customHeight="false" outlineLevel="0" collapsed="false">
      <c r="A38" s="21" t="s">
        <v>409</v>
      </c>
      <c r="B38" s="7" t="s">
        <v>411</v>
      </c>
      <c r="C38" s="21" t="n">
        <f aca="false">COUNTIF(Requirements!$C$2:$C$407,$A38)</f>
        <v>11</v>
      </c>
      <c r="D38" s="21" t="n">
        <f aca="false">COUNTIFS(Requirements!$C$2:$C$407,$A38,Requirements!$J$2:$J$407,"Yes")</f>
        <v>10</v>
      </c>
      <c r="E38" s="21" t="n">
        <f aca="false">COUNTIFS(Requirements!$C$2:$C$407,$A38,Requirements!$J$2:$J$407,"Yes",Requirements!$O$2:$O$407,"&lt;&gt;")</f>
        <v>0</v>
      </c>
      <c r="F38" s="22" t="n">
        <f aca="false">IF($D38=0,"n/a",$E38/$D38)</f>
        <v>0</v>
      </c>
    </row>
    <row r="39" customFormat="false" ht="15" hidden="false" customHeight="false" outlineLevel="0" collapsed="false">
      <c r="A39" s="21" t="s">
        <v>445</v>
      </c>
      <c r="B39" s="7" t="s">
        <v>447</v>
      </c>
      <c r="C39" s="21" t="n">
        <f aca="false">COUNTIF(Requirements!$C$2:$C$407,$A39)</f>
        <v>1</v>
      </c>
      <c r="D39" s="21" t="n">
        <f aca="false">COUNTIFS(Requirements!$C$2:$C$407,$A39,Requirements!$J$2:$J$407,"Yes")</f>
        <v>1</v>
      </c>
      <c r="E39" s="21" t="n">
        <f aca="false">COUNTIFS(Requirements!$C$2:$C$407,$A39,Requirements!$J$2:$J$407,"Yes",Requirements!$O$2:$O$407,"&lt;&gt;")</f>
        <v>0</v>
      </c>
      <c r="F39" s="22" t="n">
        <f aca="false">IF($D39=0,"n/a",$E39/$D39)</f>
        <v>0</v>
      </c>
    </row>
    <row r="40" customFormat="false" ht="15" hidden="false" customHeight="false" outlineLevel="0" collapsed="false">
      <c r="A40" s="21" t="s">
        <v>451</v>
      </c>
      <c r="B40" s="7" t="s">
        <v>453</v>
      </c>
      <c r="C40" s="21" t="n">
        <f aca="false">COUNTIF(Requirements!$C$2:$C$407,$A40)</f>
        <v>4</v>
      </c>
      <c r="D40" s="21" t="n">
        <f aca="false">COUNTIFS(Requirements!$C$2:$C$407,$A40,Requirements!$J$2:$J$407,"Yes")</f>
        <v>4</v>
      </c>
      <c r="E40" s="21" t="n">
        <f aca="false">COUNTIFS(Requirements!$C$2:$C$407,$A40,Requirements!$J$2:$J$407,"Yes",Requirements!$O$2:$O$407,"&lt;&gt;")</f>
        <v>0</v>
      </c>
      <c r="F40" s="22" t="n">
        <f aca="false">IF($D40=0,"n/a",$E40/$D40)</f>
        <v>0</v>
      </c>
    </row>
    <row r="41" customFormat="false" ht="15" hidden="false" customHeight="false" outlineLevel="0" collapsed="false">
      <c r="A41" s="21" t="s">
        <v>466</v>
      </c>
      <c r="B41" s="7" t="s">
        <v>468</v>
      </c>
      <c r="C41" s="21" t="n">
        <f aca="false">COUNTIF(Requirements!$C$2:$C$407,$A41)</f>
        <v>5</v>
      </c>
      <c r="D41" s="21" t="n">
        <f aca="false">COUNTIFS(Requirements!$C$2:$C$407,$A41,Requirements!$J$2:$J$407,"Yes")</f>
        <v>4</v>
      </c>
      <c r="E41" s="21" t="n">
        <f aca="false">COUNTIFS(Requirements!$C$2:$C$407,$A41,Requirements!$J$2:$J$407,"Yes",Requirements!$O$2:$O$407,"&lt;&gt;")</f>
        <v>0</v>
      </c>
      <c r="F41" s="22" t="n">
        <f aca="false">IF($D41=0,"n/a",$E41/$D41)</f>
        <v>0</v>
      </c>
    </row>
    <row r="42" customFormat="false" ht="15" hidden="false" customHeight="false" outlineLevel="0" collapsed="false">
      <c r="A42" s="21" t="s">
        <v>485</v>
      </c>
      <c r="B42" s="7" t="s">
        <v>487</v>
      </c>
      <c r="C42" s="21" t="n">
        <f aca="false">COUNTIF(Requirements!$C$2:$C$407,$A42)</f>
        <v>10</v>
      </c>
      <c r="D42" s="21" t="n">
        <f aca="false">COUNTIFS(Requirements!$C$2:$C$407,$A42,Requirements!$J$2:$J$407,"Yes")</f>
        <v>10</v>
      </c>
      <c r="E42" s="21" t="n">
        <f aca="false">COUNTIFS(Requirements!$C$2:$C$407,$A42,Requirements!$J$2:$J$407,"Yes",Requirements!$O$2:$O$407,"&lt;&gt;")</f>
        <v>0</v>
      </c>
      <c r="F42" s="22" t="n">
        <f aca="false">IF($D42=0,"n/a",$E42/$D42)</f>
        <v>0</v>
      </c>
    </row>
    <row r="43" customFormat="false" ht="15" hidden="false" customHeight="false" outlineLevel="0" collapsed="false">
      <c r="A43" s="21" t="s">
        <v>518</v>
      </c>
      <c r="B43" s="7" t="s">
        <v>520</v>
      </c>
      <c r="C43" s="21" t="n">
        <f aca="false">COUNTIF(Requirements!$C$2:$C$407,$A43)</f>
        <v>4</v>
      </c>
      <c r="D43" s="21" t="n">
        <f aca="false">COUNTIFS(Requirements!$C$2:$C$407,$A43,Requirements!$J$2:$J$407,"Yes")</f>
        <v>3</v>
      </c>
      <c r="E43" s="21" t="n">
        <f aca="false">COUNTIFS(Requirements!$C$2:$C$407,$A43,Requirements!$J$2:$J$407,"Yes",Requirements!$O$2:$O$407,"&lt;&gt;")</f>
        <v>0</v>
      </c>
      <c r="F43" s="22" t="n">
        <f aca="false">IF($D43=0,"n/a",$E43/$D43)</f>
        <v>0</v>
      </c>
    </row>
    <row r="44" customFormat="false" ht="23.85" hidden="false" customHeight="false" outlineLevel="0" collapsed="false">
      <c r="A44" s="21" t="s">
        <v>533</v>
      </c>
      <c r="B44" s="7" t="s">
        <v>535</v>
      </c>
      <c r="C44" s="21" t="n">
        <f aca="false">COUNTIF(Requirements!$C$2:$C$407,$A44)</f>
        <v>6</v>
      </c>
      <c r="D44" s="21" t="n">
        <f aca="false">COUNTIFS(Requirements!$C$2:$C$407,$A44,Requirements!$J$2:$J$407,"Yes")</f>
        <v>6</v>
      </c>
      <c r="E44" s="21" t="n">
        <f aca="false">COUNTIFS(Requirements!$C$2:$C$407,$A44,Requirements!$J$2:$J$407,"Yes",Requirements!$O$2:$O$407,"&lt;&gt;")</f>
        <v>0</v>
      </c>
      <c r="F44" s="22" t="n">
        <f aca="false">IF($D44=0,"n/a",$E44/$D44)</f>
        <v>0</v>
      </c>
    </row>
    <row r="45" customFormat="false" ht="15" hidden="false" customHeight="false" outlineLevel="0" collapsed="false">
      <c r="A45" s="21" t="s">
        <v>554</v>
      </c>
      <c r="B45" s="7" t="s">
        <v>556</v>
      </c>
      <c r="C45" s="21" t="n">
        <f aca="false">COUNTIF(Requirements!$C$2:$C$407,$A45)</f>
        <v>10</v>
      </c>
      <c r="D45" s="21" t="n">
        <f aca="false">COUNTIFS(Requirements!$C$2:$C$407,$A45,Requirements!$J$2:$J$407,"Yes")</f>
        <v>10</v>
      </c>
      <c r="E45" s="21" t="n">
        <f aca="false">COUNTIFS(Requirements!$C$2:$C$407,$A45,Requirements!$J$2:$J$407,"Yes",Requirements!$O$2:$O$407,"&lt;&gt;")</f>
        <v>0</v>
      </c>
      <c r="F45" s="22" t="n">
        <f aca="false">IF($D45=0,"n/a",$E45/$D45)</f>
        <v>0</v>
      </c>
    </row>
    <row r="46" customFormat="false" ht="15" hidden="false" customHeight="false" outlineLevel="0" collapsed="false">
      <c r="A46" s="21" t="s">
        <v>587</v>
      </c>
      <c r="B46" s="7" t="s">
        <v>589</v>
      </c>
      <c r="C46" s="21" t="n">
        <f aca="false">COUNTIF(Requirements!$C$2:$C$407,$A46)</f>
        <v>1</v>
      </c>
      <c r="D46" s="21" t="n">
        <f aca="false">COUNTIFS(Requirements!$C$2:$C$407,$A46,Requirements!$J$2:$J$407,"Yes")</f>
        <v>1</v>
      </c>
      <c r="E46" s="21" t="n">
        <f aca="false">COUNTIFS(Requirements!$C$2:$C$407,$A46,Requirements!$J$2:$J$407,"Yes",Requirements!$O$2:$O$407,"&lt;&gt;")</f>
        <v>0</v>
      </c>
      <c r="F46" s="22" t="n">
        <f aca="false">IF($D46=0,"n/a",$E46/$D46)</f>
        <v>0</v>
      </c>
    </row>
    <row r="47" customFormat="false" ht="15" hidden="false" customHeight="false" outlineLevel="0" collapsed="false">
      <c r="A47" s="21" t="s">
        <v>593</v>
      </c>
      <c r="B47" s="7" t="s">
        <v>595</v>
      </c>
      <c r="C47" s="21" t="n">
        <f aca="false">COUNTIF(Requirements!$C$2:$C$407,$A47)</f>
        <v>13</v>
      </c>
      <c r="D47" s="21" t="n">
        <f aca="false">COUNTIFS(Requirements!$C$2:$C$407,$A47,Requirements!$J$2:$J$407,"Yes")</f>
        <v>12</v>
      </c>
      <c r="E47" s="21" t="n">
        <f aca="false">COUNTIFS(Requirements!$C$2:$C$407,$A47,Requirements!$J$2:$J$407,"Yes",Requirements!$O$2:$O$407,"&lt;&gt;")</f>
        <v>0</v>
      </c>
      <c r="F47" s="22" t="n">
        <f aca="false">IF($D47=0,"n/a",$E47/$D47)</f>
        <v>0</v>
      </c>
    </row>
    <row r="48" customFormat="false" ht="15" hidden="false" customHeight="false" outlineLevel="0" collapsed="false">
      <c r="A48" s="21" t="s">
        <v>635</v>
      </c>
      <c r="B48" s="7" t="s">
        <v>637</v>
      </c>
      <c r="C48" s="21" t="n">
        <f aca="false">COUNTIF(Requirements!$C$2:$C$407,$A48)</f>
        <v>51</v>
      </c>
      <c r="D48" s="21" t="n">
        <f aca="false">COUNTIFS(Requirements!$C$2:$C$407,$A48,Requirements!$J$2:$J$407,"Yes")</f>
        <v>48</v>
      </c>
      <c r="E48" s="21" t="n">
        <f aca="false">COUNTIFS(Requirements!$C$2:$C$407,$A48,Requirements!$J$2:$J$407,"Yes",Requirements!$O$2:$O$407,"&lt;&gt;")</f>
        <v>0</v>
      </c>
      <c r="F48" s="22" t="n">
        <f aca="false">IF($D48=0,"n/a",$E48/$D48)</f>
        <v>0</v>
      </c>
    </row>
    <row r="49" customFormat="false" ht="15" hidden="false" customHeight="false" outlineLevel="0" collapsed="false">
      <c r="A49" s="21" t="s">
        <v>786</v>
      </c>
      <c r="B49" s="7" t="s">
        <v>788</v>
      </c>
      <c r="C49" s="21" t="n">
        <f aca="false">COUNTIF(Requirements!$C$2:$C$407,$A49)</f>
        <v>3</v>
      </c>
      <c r="D49" s="21" t="n">
        <f aca="false">COUNTIFS(Requirements!$C$2:$C$407,$A49,Requirements!$J$2:$J$407,"Yes")</f>
        <v>2</v>
      </c>
      <c r="E49" s="21" t="n">
        <f aca="false">COUNTIFS(Requirements!$C$2:$C$407,$A49,Requirements!$J$2:$J$407,"Yes",Requirements!$O$2:$O$407,"&lt;&gt;")</f>
        <v>0</v>
      </c>
      <c r="F49" s="22" t="n">
        <f aca="false">IF($D49=0,"n/a",$E49/$D49)</f>
        <v>0</v>
      </c>
    </row>
    <row r="50" customFormat="false" ht="15" hidden="false" customHeight="false" outlineLevel="0" collapsed="false">
      <c r="A50" s="21" t="s">
        <v>798</v>
      </c>
      <c r="B50" s="7" t="s">
        <v>800</v>
      </c>
      <c r="C50" s="21" t="n">
        <f aca="false">COUNTIF(Requirements!$C$2:$C$407,$A50)</f>
        <v>5</v>
      </c>
      <c r="D50" s="21" t="n">
        <f aca="false">COUNTIFS(Requirements!$C$2:$C$407,$A50,Requirements!$J$2:$J$407,"Yes")</f>
        <v>5</v>
      </c>
      <c r="E50" s="21" t="n">
        <f aca="false">COUNTIFS(Requirements!$C$2:$C$407,$A50,Requirements!$J$2:$J$407,"Yes",Requirements!$O$2:$O$407,"&lt;&gt;")</f>
        <v>0</v>
      </c>
      <c r="F50" s="22" t="n">
        <f aca="false">IF($D50=0,"n/a",$E50/$D50)</f>
        <v>0</v>
      </c>
    </row>
    <row r="51" customFormat="false" ht="15" hidden="false" customHeight="false" outlineLevel="0" collapsed="false">
      <c r="A51" s="21" t="s">
        <v>815</v>
      </c>
      <c r="B51" s="7" t="s">
        <v>817</v>
      </c>
      <c r="C51" s="21" t="n">
        <f aca="false">COUNTIF(Requirements!$C$2:$C$407,$A51)</f>
        <v>2</v>
      </c>
      <c r="D51" s="21" t="n">
        <f aca="false">COUNTIFS(Requirements!$C$2:$C$407,$A51,Requirements!$J$2:$J$407,"Yes")</f>
        <v>0</v>
      </c>
      <c r="E51" s="21" t="n">
        <f aca="false">COUNTIFS(Requirements!$C$2:$C$407,$A51,Requirements!$J$2:$J$407,"Yes",Requirements!$O$2:$O$407,"&lt;&gt;")</f>
        <v>0</v>
      </c>
      <c r="F51" s="22" t="str">
        <f aca="false">IF($D51=0,"n/a",$E51/$D51)</f>
        <v>n/a</v>
      </c>
    </row>
    <row r="52" customFormat="false" ht="15" hidden="false" customHeight="false" outlineLevel="0" collapsed="false">
      <c r="A52" s="21" t="s">
        <v>822</v>
      </c>
      <c r="B52" s="7" t="s">
        <v>824</v>
      </c>
      <c r="C52" s="21" t="n">
        <f aca="false">COUNTIF(Requirements!$C$2:$C$407,$A52)</f>
        <v>2</v>
      </c>
      <c r="D52" s="21" t="n">
        <f aca="false">COUNTIFS(Requirements!$C$2:$C$407,$A52,Requirements!$J$2:$J$407,"Yes")</f>
        <v>1</v>
      </c>
      <c r="E52" s="21" t="n">
        <f aca="false">COUNTIFS(Requirements!$C$2:$C$407,$A52,Requirements!$J$2:$J$407,"Yes",Requirements!$O$2:$O$407,"&lt;&gt;")</f>
        <v>0</v>
      </c>
      <c r="F52" s="22" t="n">
        <f aca="false">IF($D52=0,"n/a",$E52/$D52)</f>
        <v>0</v>
      </c>
    </row>
    <row r="53" customFormat="false" ht="15" hidden="false" customHeight="false" outlineLevel="0" collapsed="false">
      <c r="A53" s="21" t="s">
        <v>830</v>
      </c>
      <c r="B53" s="7" t="s">
        <v>832</v>
      </c>
      <c r="C53" s="21" t="n">
        <f aca="false">COUNTIF(Requirements!$C$2:$C$407,$A53)</f>
        <v>1</v>
      </c>
      <c r="D53" s="21" t="n">
        <f aca="false">COUNTIFS(Requirements!$C$2:$C$407,$A53,Requirements!$J$2:$J$407,"Yes")</f>
        <v>0</v>
      </c>
      <c r="E53" s="21" t="n">
        <f aca="false">COUNTIFS(Requirements!$C$2:$C$407,$A53,Requirements!$J$2:$J$407,"Yes",Requirements!$O$2:$O$407,"&lt;&gt;")</f>
        <v>0</v>
      </c>
      <c r="F53" s="22" t="str">
        <f aca="false">IF($D53=0,"n/a",$E53/$D53)</f>
        <v>n/a</v>
      </c>
    </row>
    <row r="54" customFormat="false" ht="23.85" hidden="false" customHeight="false" outlineLevel="0" collapsed="false">
      <c r="A54" s="21" t="s">
        <v>836</v>
      </c>
      <c r="B54" s="7" t="s">
        <v>838</v>
      </c>
      <c r="C54" s="21" t="n">
        <f aca="false">COUNTIF(Requirements!$C$2:$C$407,$A54)</f>
        <v>1</v>
      </c>
      <c r="D54" s="21" t="n">
        <f aca="false">COUNTIFS(Requirements!$C$2:$C$407,$A54,Requirements!$J$2:$J$407,"Yes")</f>
        <v>1</v>
      </c>
      <c r="E54" s="21" t="n">
        <f aca="false">COUNTIFS(Requirements!$C$2:$C$407,$A54,Requirements!$J$2:$J$407,"Yes",Requirements!$O$2:$O$407,"&lt;&gt;")</f>
        <v>0</v>
      </c>
      <c r="F54" s="22" t="n">
        <f aca="false">IF($D54=0,"n/a",$E54/$D54)</f>
        <v>0</v>
      </c>
    </row>
    <row r="55" customFormat="false" ht="23.85" hidden="false" customHeight="false" outlineLevel="0" collapsed="false">
      <c r="A55" s="21" t="s">
        <v>842</v>
      </c>
      <c r="B55" s="7" t="s">
        <v>844</v>
      </c>
      <c r="C55" s="21" t="n">
        <f aca="false">COUNTIF(Requirements!$C$2:$C$407,$A55)</f>
        <v>2</v>
      </c>
      <c r="D55" s="21" t="n">
        <f aca="false">COUNTIFS(Requirements!$C$2:$C$407,$A55,Requirements!$J$2:$J$407,"Yes")</f>
        <v>2</v>
      </c>
      <c r="E55" s="21" t="n">
        <f aca="false">COUNTIFS(Requirements!$C$2:$C$407,$A55,Requirements!$J$2:$J$407,"Yes",Requirements!$O$2:$O$407,"&lt;&gt;")</f>
        <v>0</v>
      </c>
      <c r="F55" s="22" t="n">
        <f aca="false">IF($D55=0,"n/a",$E55/$D55)</f>
        <v>0</v>
      </c>
    </row>
    <row r="56" customFormat="false" ht="15" hidden="false" customHeight="false" outlineLevel="0" collapsed="false">
      <c r="A56" s="21" t="s">
        <v>851</v>
      </c>
      <c r="B56" s="7" t="s">
        <v>853</v>
      </c>
      <c r="C56" s="21" t="n">
        <f aca="false">COUNTIF(Requirements!$C$2:$C$407,$A56)</f>
        <v>4</v>
      </c>
      <c r="D56" s="21" t="n">
        <f aca="false">COUNTIFS(Requirements!$C$2:$C$407,$A56,Requirements!$J$2:$J$407,"Yes")</f>
        <v>4</v>
      </c>
      <c r="E56" s="21" t="n">
        <f aca="false">COUNTIFS(Requirements!$C$2:$C$407,$A56,Requirements!$J$2:$J$407,"Yes",Requirements!$O$2:$O$407,"&lt;&gt;")</f>
        <v>0</v>
      </c>
      <c r="F56" s="22" t="n">
        <f aca="false">IF($D56=0,"n/a",$E56/$D56)</f>
        <v>0</v>
      </c>
    </row>
    <row r="57" customFormat="false" ht="15" hidden="false" customHeight="false" outlineLevel="0" collapsed="false">
      <c r="A57" s="21" t="s">
        <v>866</v>
      </c>
      <c r="B57" s="7" t="s">
        <v>868</v>
      </c>
      <c r="C57" s="21" t="n">
        <f aca="false">COUNTIF(Requirements!$C$2:$C$407,$A57)</f>
        <v>1</v>
      </c>
      <c r="D57" s="21" t="n">
        <f aca="false">COUNTIFS(Requirements!$C$2:$C$407,$A57,Requirements!$J$2:$J$407,"Yes")</f>
        <v>1</v>
      </c>
      <c r="E57" s="21" t="n">
        <f aca="false">COUNTIFS(Requirements!$C$2:$C$407,$A57,Requirements!$J$2:$J$407,"Yes",Requirements!$O$2:$O$407,"&lt;&gt;")</f>
        <v>0</v>
      </c>
      <c r="F57" s="22" t="n">
        <f aca="false">IF($D57=0,"n/a",$E57/$D57)</f>
        <v>0</v>
      </c>
    </row>
    <row r="58" customFormat="false" ht="15" hidden="false" customHeight="false" outlineLevel="0" collapsed="false">
      <c r="A58" s="21" t="s">
        <v>872</v>
      </c>
      <c r="B58" s="7" t="s">
        <v>874</v>
      </c>
      <c r="C58" s="21" t="n">
        <f aca="false">COUNTIF(Requirements!$C$2:$C$407,$A58)</f>
        <v>3</v>
      </c>
      <c r="D58" s="21" t="n">
        <f aca="false">COUNTIFS(Requirements!$C$2:$C$407,$A58,Requirements!$J$2:$J$407,"Yes")</f>
        <v>3</v>
      </c>
      <c r="E58" s="21" t="n">
        <f aca="false">COUNTIFS(Requirements!$C$2:$C$407,$A58,Requirements!$J$2:$J$407,"Yes",Requirements!$O$2:$O$407,"&lt;&gt;")</f>
        <v>0</v>
      </c>
      <c r="F58" s="22" t="n">
        <f aca="false">IF($D58=0,"n/a",$E58/$D58)</f>
        <v>0</v>
      </c>
    </row>
    <row r="59" customFormat="false" ht="15" hidden="false" customHeight="false" outlineLevel="0" collapsed="false">
      <c r="A59" s="21" t="s">
        <v>884</v>
      </c>
      <c r="B59" s="7" t="s">
        <v>886</v>
      </c>
      <c r="C59" s="21" t="n">
        <f aca="false">COUNTIF(Requirements!$C$2:$C$407,$A59)</f>
        <v>1</v>
      </c>
      <c r="D59" s="21" t="n">
        <f aca="false">COUNTIFS(Requirements!$C$2:$C$407,$A59,Requirements!$J$2:$J$407,"Yes")</f>
        <v>1</v>
      </c>
      <c r="E59" s="21" t="n">
        <f aca="false">COUNTIFS(Requirements!$C$2:$C$407,$A59,Requirements!$J$2:$J$407,"Yes",Requirements!$O$2:$O$407,"&lt;&gt;")</f>
        <v>0</v>
      </c>
      <c r="F59" s="22" t="n">
        <f aca="false">IF($D59=0,"n/a",$E59/$D59)</f>
        <v>0</v>
      </c>
    </row>
    <row r="60" customFormat="false" ht="15" hidden="false" customHeight="false" outlineLevel="0" collapsed="false">
      <c r="A60" s="21" t="s">
        <v>890</v>
      </c>
      <c r="B60" s="7" t="s">
        <v>892</v>
      </c>
      <c r="C60" s="21" t="n">
        <f aca="false">COUNTIF(Requirements!$C$2:$C$407,$A60)</f>
        <v>11</v>
      </c>
      <c r="D60" s="21" t="n">
        <f aca="false">COUNTIFS(Requirements!$C$2:$C$407,$A60,Requirements!$J$2:$J$407,"Yes")</f>
        <v>9</v>
      </c>
      <c r="E60" s="21" t="n">
        <f aca="false">COUNTIFS(Requirements!$C$2:$C$407,$A60,Requirements!$J$2:$J$407,"Yes",Requirements!$O$2:$O$407,"&lt;&gt;")</f>
        <v>0</v>
      </c>
      <c r="F60" s="22" t="n">
        <f aca="false">IF($D60=0,"n/a",$E60/$D60)</f>
        <v>0</v>
      </c>
    </row>
    <row r="61" customFormat="false" ht="15" hidden="false" customHeight="false" outlineLevel="0" collapsed="false">
      <c r="A61" s="21" t="s">
        <v>926</v>
      </c>
      <c r="B61" s="7" t="s">
        <v>928</v>
      </c>
      <c r="C61" s="21" t="n">
        <f aca="false">COUNTIF(Requirements!$C$2:$C$407,$A61)</f>
        <v>2</v>
      </c>
      <c r="D61" s="21" t="n">
        <f aca="false">COUNTIFS(Requirements!$C$2:$C$407,$A61,Requirements!$J$2:$J$407,"Yes")</f>
        <v>2</v>
      </c>
      <c r="E61" s="21" t="n">
        <f aca="false">COUNTIFS(Requirements!$C$2:$C$407,$A61,Requirements!$J$2:$J$407,"Yes",Requirements!$O$2:$O$407,"&lt;&gt;")</f>
        <v>0</v>
      </c>
      <c r="F61" s="22" t="n">
        <f aca="false">IF($D61=0,"n/a",$E61/$D61)</f>
        <v>0</v>
      </c>
    </row>
    <row r="62" customFormat="false" ht="15" hidden="false" customHeight="false" outlineLevel="0" collapsed="false">
      <c r="A62" s="21" t="s">
        <v>935</v>
      </c>
      <c r="B62" s="7" t="s">
        <v>937</v>
      </c>
      <c r="C62" s="21" t="n">
        <f aca="false">COUNTIF(Requirements!$C$2:$C$407,$A62)</f>
        <v>20</v>
      </c>
      <c r="D62" s="21" t="n">
        <f aca="false">COUNTIFS(Requirements!$C$2:$C$407,$A62,Requirements!$J$2:$J$407,"Yes")</f>
        <v>19</v>
      </c>
      <c r="E62" s="21" t="n">
        <f aca="false">COUNTIFS(Requirements!$C$2:$C$407,$A62,Requirements!$J$2:$J$407,"Yes",Requirements!$O$2:$O$407,"&lt;&gt;")</f>
        <v>0</v>
      </c>
      <c r="F62" s="22" t="n">
        <f aca="false">IF($D62=0,"n/a",$E62/$D62)</f>
        <v>0</v>
      </c>
    </row>
    <row r="63" customFormat="false" ht="15" hidden="false" customHeight="false" outlineLevel="0" collapsed="false">
      <c r="A63" s="21" t="s">
        <v>997</v>
      </c>
      <c r="B63" s="7" t="s">
        <v>999</v>
      </c>
      <c r="C63" s="21" t="n">
        <f aca="false">COUNTIF(Requirements!$C$2:$C$407,$A63)</f>
        <v>3</v>
      </c>
      <c r="D63" s="21" t="n">
        <f aca="false">COUNTIFS(Requirements!$C$2:$C$407,$A63,Requirements!$J$2:$J$407,"Yes")</f>
        <v>2</v>
      </c>
      <c r="E63" s="21" t="n">
        <f aca="false">COUNTIFS(Requirements!$C$2:$C$407,$A63,Requirements!$J$2:$J$407,"Yes",Requirements!$O$2:$O$407,"&lt;&gt;")</f>
        <v>0</v>
      </c>
      <c r="F63" s="22" t="n">
        <f aca="false">IF($D63=0,"n/a",$E63/$D63)</f>
        <v>0</v>
      </c>
    </row>
    <row r="64" customFormat="false" ht="15" hidden="false" customHeight="false" outlineLevel="0" collapsed="false">
      <c r="A64" s="21" t="s">
        <v>1009</v>
      </c>
      <c r="B64" s="7" t="s">
        <v>1011</v>
      </c>
      <c r="C64" s="21" t="n">
        <f aca="false">COUNTIF(Requirements!$C$2:$C$407,$A64)</f>
        <v>1</v>
      </c>
      <c r="D64" s="21" t="n">
        <f aca="false">COUNTIFS(Requirements!$C$2:$C$407,$A64,Requirements!$J$2:$J$407,"Yes")</f>
        <v>1</v>
      </c>
      <c r="E64" s="21" t="n">
        <f aca="false">COUNTIFS(Requirements!$C$2:$C$407,$A64,Requirements!$J$2:$J$407,"Yes",Requirements!$O$2:$O$407,"&lt;&gt;")</f>
        <v>0</v>
      </c>
      <c r="F64" s="22" t="n">
        <f aca="false">IF($D64=0,"n/a",$E64/$D64)</f>
        <v>0</v>
      </c>
    </row>
    <row r="65" customFormat="false" ht="15" hidden="false" customHeight="false" outlineLevel="0" collapsed="false">
      <c r="A65" s="21" t="s">
        <v>1015</v>
      </c>
      <c r="B65" s="7" t="s">
        <v>1017</v>
      </c>
      <c r="C65" s="21" t="n">
        <f aca="false">COUNTIF(Requirements!$C$2:$C$407,$A65)</f>
        <v>3</v>
      </c>
      <c r="D65" s="21" t="n">
        <f aca="false">COUNTIFS(Requirements!$C$2:$C$407,$A65,Requirements!$J$2:$J$407,"Yes")</f>
        <v>2</v>
      </c>
      <c r="E65" s="21" t="n">
        <f aca="false">COUNTIFS(Requirements!$C$2:$C$407,$A65,Requirements!$J$2:$J$407,"Yes",Requirements!$O$2:$O$407,"&lt;&gt;")</f>
        <v>0</v>
      </c>
      <c r="F65" s="22" t="n">
        <f aca="false">IF($D65=0,"n/a",$E65/$D65)</f>
        <v>0</v>
      </c>
    </row>
    <row r="66" customFormat="false" ht="15" hidden="false" customHeight="false" outlineLevel="0" collapsed="false">
      <c r="A66" s="21" t="s">
        <v>1027</v>
      </c>
      <c r="B66" s="7" t="s">
        <v>1029</v>
      </c>
      <c r="C66" s="21" t="n">
        <f aca="false">COUNTIF(Requirements!$C$2:$C$407,$A66)</f>
        <v>3</v>
      </c>
      <c r="D66" s="21" t="n">
        <f aca="false">COUNTIFS(Requirements!$C$2:$C$407,$A66,Requirements!$J$2:$J$407,"Yes")</f>
        <v>2</v>
      </c>
      <c r="E66" s="21" t="n">
        <f aca="false">COUNTIFS(Requirements!$C$2:$C$407,$A66,Requirements!$J$2:$J$407,"Yes",Requirements!$O$2:$O$407,"&lt;&gt;")</f>
        <v>0</v>
      </c>
      <c r="F66" s="22" t="n">
        <f aca="false">IF($D66=0,"n/a",$E66/$D66)</f>
        <v>0</v>
      </c>
    </row>
    <row r="67" customFormat="false" ht="15" hidden="false" customHeight="false" outlineLevel="0" collapsed="false">
      <c r="A67" s="21" t="s">
        <v>1038</v>
      </c>
      <c r="B67" s="7" t="s">
        <v>1040</v>
      </c>
      <c r="C67" s="21" t="n">
        <f aca="false">COUNTIF(Requirements!$C$2:$C$407,$A67)</f>
        <v>3</v>
      </c>
      <c r="D67" s="21" t="n">
        <f aca="false">COUNTIFS(Requirements!$C$2:$C$407,$A67,Requirements!$J$2:$J$407,"Yes")</f>
        <v>2</v>
      </c>
      <c r="E67" s="21" t="n">
        <f aca="false">COUNTIFS(Requirements!$C$2:$C$407,$A67,Requirements!$J$2:$J$407,"Yes",Requirements!$O$2:$O$407,"&lt;&gt;")</f>
        <v>0</v>
      </c>
      <c r="F67" s="22" t="n">
        <f aca="false">IF($D67=0,"n/a",$E67/$D67)</f>
        <v>0</v>
      </c>
    </row>
    <row r="68" customFormat="false" ht="15" hidden="false" customHeight="false" outlineLevel="0" collapsed="false">
      <c r="A68" s="21" t="s">
        <v>1049</v>
      </c>
      <c r="B68" s="7" t="s">
        <v>1051</v>
      </c>
      <c r="C68" s="21" t="n">
        <f aca="false">COUNTIF(Requirements!$C$2:$C$407,$A68)</f>
        <v>23</v>
      </c>
      <c r="D68" s="21" t="n">
        <f aca="false">COUNTIFS(Requirements!$C$2:$C$407,$A68,Requirements!$J$2:$J$407,"Yes")</f>
        <v>19</v>
      </c>
      <c r="E68" s="21" t="n">
        <f aca="false">COUNTIFS(Requirements!$C$2:$C$407,$A68,Requirements!$J$2:$J$407,"Yes",Requirements!$O$2:$O$407,"&lt;&gt;")</f>
        <v>0</v>
      </c>
      <c r="F68" s="22" t="n">
        <f aca="false">IF($D68=0,"n/a",$E68/$D68)</f>
        <v>0</v>
      </c>
    </row>
    <row r="69" customFormat="false" ht="15" hidden="false" customHeight="false" outlineLevel="0" collapsed="false">
      <c r="A69" s="21" t="s">
        <v>1120</v>
      </c>
      <c r="B69" s="7" t="s">
        <v>1122</v>
      </c>
      <c r="C69" s="21" t="n">
        <f aca="false">COUNTIF(Requirements!$C$2:$C$407,$A69)</f>
        <v>2</v>
      </c>
      <c r="D69" s="21" t="n">
        <f aca="false">COUNTIFS(Requirements!$C$2:$C$407,$A69,Requirements!$J$2:$J$407,"Yes")</f>
        <v>1</v>
      </c>
      <c r="E69" s="21" t="n">
        <f aca="false">COUNTIFS(Requirements!$C$2:$C$407,$A69,Requirements!$J$2:$J$407,"Yes",Requirements!$O$2:$O$407,"&lt;&gt;")</f>
        <v>0</v>
      </c>
      <c r="F69" s="22" t="n">
        <f aca="false">IF($D69=0,"n/a",$E69/$D69)</f>
        <v>0</v>
      </c>
    </row>
    <row r="70" customFormat="false" ht="15" hidden="false" customHeight="false" outlineLevel="0" collapsed="false">
      <c r="A70" s="21" t="s">
        <v>1127</v>
      </c>
      <c r="B70" s="7" t="s">
        <v>1129</v>
      </c>
      <c r="C70" s="21" t="n">
        <f aca="false">COUNTIF(Requirements!$C$2:$C$407,$A70)</f>
        <v>1</v>
      </c>
      <c r="D70" s="21" t="n">
        <f aca="false">COUNTIFS(Requirements!$C$2:$C$407,$A70,Requirements!$J$2:$J$407,"Yes")</f>
        <v>0</v>
      </c>
      <c r="E70" s="21" t="n">
        <f aca="false">COUNTIFS(Requirements!$C$2:$C$407,$A70,Requirements!$J$2:$J$407,"Yes",Requirements!$O$2:$O$407,"&lt;&gt;")</f>
        <v>0</v>
      </c>
      <c r="F70" s="22" t="str">
        <f aca="false">IF($D70=0,"n/a",$E70/$D70)</f>
        <v>n/a</v>
      </c>
    </row>
    <row r="71" customFormat="false" ht="15" hidden="false" customHeight="false" outlineLevel="0" collapsed="false">
      <c r="A71" s="21" t="s">
        <v>1133</v>
      </c>
      <c r="B71" s="7" t="s">
        <v>1135</v>
      </c>
      <c r="C71" s="21" t="n">
        <f aca="false">COUNTIF(Requirements!$C$2:$C$407,$A71)</f>
        <v>19</v>
      </c>
      <c r="D71" s="21" t="n">
        <f aca="false">COUNTIFS(Requirements!$C$2:$C$407,$A71,Requirements!$J$2:$J$407,"Yes")</f>
        <v>17</v>
      </c>
      <c r="E71" s="21" t="n">
        <f aca="false">COUNTIFS(Requirements!$C$2:$C$407,$A71,Requirements!$J$2:$J$407,"Yes",Requirements!$O$2:$O$407,"&lt;&gt;")</f>
        <v>0</v>
      </c>
      <c r="F71" s="22" t="n">
        <f aca="false">IF($D71=0,"n/a",$E71/$D71)</f>
        <v>0</v>
      </c>
    </row>
    <row r="72" customFormat="false" ht="15" hidden="false" customHeight="false" outlineLevel="0" collapsed="false">
      <c r="A72" s="21" t="s">
        <v>1190</v>
      </c>
      <c r="B72" s="7" t="s">
        <v>1192</v>
      </c>
      <c r="C72" s="21" t="n">
        <f aca="false">COUNTIF(Requirements!$C$2:$C$407,$A72)</f>
        <v>6</v>
      </c>
      <c r="D72" s="21" t="n">
        <f aca="false">COUNTIFS(Requirements!$C$2:$C$407,$A72,Requirements!$J$2:$J$407,"Yes")</f>
        <v>5</v>
      </c>
      <c r="E72" s="21" t="n">
        <f aca="false">COUNTIFS(Requirements!$C$2:$C$407,$A72,Requirements!$J$2:$J$407,"Yes",Requirements!$O$2:$O$407,"&lt;&gt;")</f>
        <v>0</v>
      </c>
      <c r="F72" s="22" t="n">
        <f aca="false">IF($D72=0,"n/a",$E72/$D72)</f>
        <v>0</v>
      </c>
    </row>
    <row r="73" customFormat="false" ht="15" hidden="false" customHeight="false" outlineLevel="0" collapsed="false">
      <c r="A73" s="21" t="s">
        <v>1211</v>
      </c>
      <c r="B73" s="7" t="s">
        <v>1213</v>
      </c>
      <c r="C73" s="21" t="n">
        <f aca="false">COUNTIF(Requirements!$C$2:$C$407,$A73)</f>
        <v>21</v>
      </c>
      <c r="D73" s="21" t="n">
        <f aca="false">COUNTIFS(Requirements!$C$2:$C$407,$A73,Requirements!$J$2:$J$407,"Yes")</f>
        <v>21</v>
      </c>
      <c r="E73" s="21" t="n">
        <f aca="false">COUNTIFS(Requirements!$C$2:$C$407,$A73,Requirements!$J$2:$J$407,"Yes",Requirements!$O$2:$O$407,"&lt;&gt;")</f>
        <v>0</v>
      </c>
      <c r="F73" s="22" t="n">
        <f aca="false">IF($D73=0,"n/a",$E73/$D73)</f>
        <v>0</v>
      </c>
    </row>
    <row r="74" customFormat="false" ht="15" hidden="false" customHeight="false" outlineLevel="0" collapsed="false">
      <c r="A74" s="21" t="s">
        <v>1276</v>
      </c>
      <c r="B74" s="7" t="s">
        <v>1278</v>
      </c>
      <c r="C74" s="21" t="n">
        <f aca="false">COUNTIF(Requirements!$C$2:$C$407,$A74)</f>
        <v>6</v>
      </c>
      <c r="D74" s="21" t="n">
        <f aca="false">COUNTIFS(Requirements!$C$2:$C$407,$A74,Requirements!$J$2:$J$407,"Yes")</f>
        <v>5</v>
      </c>
      <c r="E74" s="21" t="n">
        <f aca="false">COUNTIFS(Requirements!$C$2:$C$407,$A74,Requirements!$J$2:$J$407,"Yes",Requirements!$O$2:$O$407,"&lt;&gt;")</f>
        <v>0</v>
      </c>
      <c r="F74" s="22" t="n">
        <f aca="false">IF($D74=0,"n/a",$E74/$D74)</f>
        <v>0</v>
      </c>
    </row>
    <row r="75" customFormat="false" ht="15" hidden="false" customHeight="false" outlineLevel="0" collapsed="false">
      <c r="A75" s="21" t="s">
        <v>1297</v>
      </c>
      <c r="B75" s="7" t="s">
        <v>1299</v>
      </c>
      <c r="C75" s="21" t="n">
        <f aca="false">COUNTIF(Requirements!$C$2:$C$407,$A75)</f>
        <v>31</v>
      </c>
      <c r="D75" s="21" t="n">
        <f aca="false">COUNTIFS(Requirements!$C$2:$C$407,$A75,Requirements!$J$2:$J$407,"Yes")</f>
        <v>31</v>
      </c>
      <c r="E75" s="21" t="n">
        <f aca="false">COUNTIFS(Requirements!$C$2:$C$407,$A75,Requirements!$J$2:$J$407,"Yes",Requirements!$O$2:$O$407,"&lt;&gt;")</f>
        <v>0</v>
      </c>
      <c r="F75" s="22" t="n">
        <f aca="false">IF($D75=0,"n/a",$E75/$D75)</f>
        <v>0</v>
      </c>
    </row>
    <row r="76" customFormat="false" ht="15" hidden="false" customHeight="false" outlineLevel="0" collapsed="false">
      <c r="A76" s="21" t="s">
        <v>1393</v>
      </c>
      <c r="B76" s="7" t="s">
        <v>1395</v>
      </c>
      <c r="C76" s="21" t="n">
        <f aca="false">COUNTIF(Requirements!$C$2:$C$407,$A76)</f>
        <v>1</v>
      </c>
      <c r="D76" s="21" t="n">
        <f aca="false">COUNTIFS(Requirements!$C$2:$C$407,$A76,Requirements!$J$2:$J$407,"Yes")</f>
        <v>1</v>
      </c>
      <c r="E76" s="21" t="n">
        <f aca="false">COUNTIFS(Requirements!$C$2:$C$407,$A76,Requirements!$J$2:$J$407,"Yes",Requirements!$O$2:$O$407,"&lt;&gt;")</f>
        <v>0</v>
      </c>
      <c r="F76" s="22" t="n">
        <f aca="false">IF($D76=0,"n/a",$E76/$D76)</f>
        <v>0</v>
      </c>
    </row>
    <row r="77" customFormat="false" ht="15" hidden="false" customHeight="false" outlineLevel="0" collapsed="false">
      <c r="A77" s="21" t="s">
        <v>1399</v>
      </c>
      <c r="B77" s="7" t="s">
        <v>1401</v>
      </c>
      <c r="C77" s="21" t="n">
        <f aca="false">COUNTIF(Requirements!$C$2:$C$407,$A77)</f>
        <v>5</v>
      </c>
      <c r="D77" s="21" t="n">
        <f aca="false">COUNTIFS(Requirements!$C$2:$C$407,$A77,Requirements!$J$2:$J$407,"Yes")</f>
        <v>4</v>
      </c>
      <c r="E77" s="21" t="n">
        <f aca="false">COUNTIFS(Requirements!$C$2:$C$407,$A77,Requirements!$J$2:$J$407,"Yes",Requirements!$O$2:$O$407,"&lt;&gt;")</f>
        <v>0</v>
      </c>
      <c r="F77" s="22" t="n">
        <f aca="false">IF($D77=0,"n/a",$E77/$D77)</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2026-08-18T20:33:28Z</dcterms:created>
  <dc:creator>openpyxl</dc:creator>
  <dc:description/>
  <dc:language>en-US</dc:language>
  <cp:lastModifiedBy/>
  <dcterms:modified xsi:type="dcterms:W3CDTF">2026-08-18T20:33:28Z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