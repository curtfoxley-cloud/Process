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arrier Register" sheetId="2" state="visible" r:id="rId4"/>
    <sheet name="Event Anchors" sheetId="3" state="visible" r:id="rId5"/>
    <sheet name="Standards Verdict" sheetId="4" state="visible" r:id="rId6"/>
    <sheet name="Tailoring Provisions" sheetId="5" state="visible" r:id="rId7"/>
    <sheet name="Failure Patterns" sheetId="6" state="visible" r:id="rId8"/>
    <sheet name="Coverage Summary" sheetId="7" state="visible" r:id="rId9"/>
    <sheet name="Assessment Template" sheetId="8" state="visible" r:id="rId10"/>
  </sheets>
  <definedNames>
    <definedName function="false" hidden="true" localSheetId="1" name="_xlnm._FilterDatabase" vbProcedure="false">'Barrier Register'!$A$1:$R$61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<sst xmlns="http://schemas.openxmlformats.org/spreadsheetml/2006/main" count="1033" uniqueCount="473">
  <si>
    <t xml:space="preserve">R&amp;M Barrier Register</t>
  </si>
  <si>
    <t xml:space="preserve">Reliability, maintainability, system health and human factors requirements obligated through the SMS pathway regardless of contract flow-down</t>
  </si>
  <si>
    <t xml:space="preserve">Purpose</t>
  </si>
  <si>
    <t xml:space="preserve">Companion to the Sixteen Barriers CM assessment, applying the same method to the R&amp;M discipline. Each row is a requirement that qualifies as an SMS barrier: it controls a hazard SM-0001 names, its failure directly enables that hazard, and documented events show the consequence at Severity 4 or 5.</t>
  </si>
  <si>
    <t xml:space="preserve">Sheets</t>
  </si>
  <si>
    <t xml:space="preserve">Barrier Register is the working sheet. Event Anchors holds the distinct accident list and the only valid fatality total. Standards Verdict records which standards can anchor a floor and why. Tailoring Provisions records what each standard says about its own tailoring. Failure Patterns groups the recurring modes. Coverage Summary computes every headline figure by formula. Assessment Template is the per-program fill-in sheet.</t>
  </si>
  <si>
    <t xml:space="preserve">Source standards</t>
  </si>
  <si>
    <t xml:space="preserve">MIL-STD-882E w/Change 1 (27 Sep 2023). MIL-STD-1530D w/Change 1 (13 Oct 2016). MIL-STD-1472H (15 Sep 2020). GEIA-STD-0009A (2008-08, revised 2020-05). SAE JA1011. SAE JA1010. SM-0001 Issue C (2025).</t>
  </si>
  <si>
    <t xml:space="preserve">Requirement text</t>
  </si>
  <si>
    <t xml:space="preserve">Paraphrased throughout. The governing text is the standard. Clause numbers are cited so a reviewer can go to the source.</t>
  </si>
  <si>
    <t xml:space="preserve">SEVERITY WARNING</t>
  </si>
  <si>
    <t xml:space="preserve">This register uses the CM deck convention: 5 = Catastrophic, 4 = Severe. MIL-STD-882E Table I runs the other way: 1 = Catastrophic, 2 = Critical. The org risk register also uses 1 = Catastrophic. Map deliberately when transferring; the two scales are inverted relative to each other.</t>
  </si>
  <si>
    <t xml:space="preserve">Fatality counting</t>
  </si>
  <si>
    <t xml:space="preserve">The Fatalities column on the Barrier Register repeats an event's toll on every barrier that event anchors. Do not sum it. The only valid distinct total is on the Event Anchors sheet.</t>
  </si>
  <si>
    <t xml:space="preserve">Risk acceptance authority</t>
  </si>
  <si>
    <t xml:space="preserve">Unchanged from the CM case. Severity 4 to 5 acceptance sits with the Accountable Executive or delegate. MIL-STD-882E 4.2.2.2 independently requires each engineering discipline to obtain its own risk acceptance from the authority appropriate to that discipline.</t>
  </si>
  <si>
    <t xml:space="preserve">Open items</t>
  </si>
  <si>
    <t xml:space="preserve">1. SM-0001 subclause mapping in column R is descriptive and needs verification against Issue C. 2. The internal R&amp;M tailoring process document has not been reviewed, so the tailoring mechanism is described generically rather than named. 3. Three barriers have no anchor in any supplied standard and are excluded: zonal and particular risk analysis as named activities, quantitative testability coverage metrics, and maintainer fatigue limits.</t>
  </si>
  <si>
    <t xml:space="preserve">Verification note</t>
  </si>
  <si>
    <t xml:space="preserve">Every count in Coverage Summary is a live formula. Independent verification of the fatality figures and the event attributions is recommended before external presentation; a single wrong figure discredits the rest.</t>
  </si>
  <si>
    <t xml:space="preserve">ID</t>
  </si>
  <si>
    <t xml:space="preserve">Cluster</t>
  </si>
  <si>
    <t xml:space="preserve">Barrier requirement</t>
  </si>
  <si>
    <t xml:space="preserve">Clause anchors</t>
  </si>
  <si>
    <t xml:space="preserve">882E</t>
  </si>
  <si>
    <t xml:space="preserve">1530D</t>
  </si>
  <si>
    <t xml:space="preserve">0009A</t>
  </si>
  <si>
    <t xml:space="preserve">1472H</t>
  </si>
  <si>
    <t xml:space="preserve">JA1011</t>
  </si>
  <si>
    <t xml:space="preserve">JA1010</t>
  </si>
  <si>
    <t xml:space="preserve">Std count</t>
  </si>
  <si>
    <t xml:space="preserve">Primary event anchor</t>
  </si>
  <si>
    <t xml:space="preserve">Outcome</t>
  </si>
  <si>
    <t xml:space="preserve">Fatalities</t>
  </si>
  <si>
    <t xml:space="preserve">Severity</t>
  </si>
  <si>
    <t xml:space="preserve">Anchor type</t>
  </si>
  <si>
    <t xml:space="preserve">Pattern</t>
  </si>
  <si>
    <t xml:space="preserve">SM-0001 hazard source</t>
  </si>
  <si>
    <t xml:space="preserve">1 Hazard and failure mode identification</t>
  </si>
  <si>
    <t xml:space="preserve">Characterise the user and environmental life-cycle loads the product will actually encounter, update them, and verify against measurement</t>
  </si>
  <si>
    <t xml:space="preserve">GEIA-STD-0009A 4.5.1.4, 5.5.1.4, 6.5.1.4, 7.5.1.4; MIL-STD-1530D 5.1.2, 5.2.3</t>
  </si>
  <si>
    <t xml:space="preserve">X</t>
  </si>
  <si>
    <t xml:space="preserve">Air France 447 (2009)</t>
  </si>
  <si>
    <t xml:space="preserve">228 fatalities</t>
  </si>
  <si>
    <t xml:space="preserve">Event</t>
  </si>
  <si>
    <t xml:space="preserve">A</t>
  </si>
  <si>
    <t xml:space="preserve">Issues identified by analysis; in-service failures and malfunctions</t>
  </si>
  <si>
    <t xml:space="preserve">Flow life-cycle load estimates to component teams and to teams selecting COTS, NDI and CFI, and reissue when updated</t>
  </si>
  <si>
    <t xml:space="preserve">GEIA-STD-0009A 4.5.1.5, 5.5.1.5, 6.5.1.5</t>
  </si>
  <si>
    <t xml:space="preserve">Boeing 787 battery (2013)</t>
  </si>
  <si>
    <t xml:space="preserve">Fleet grounding</t>
  </si>
  <si>
    <t xml:space="preserve">Component failure analysis; incomplete or unavailable equipment data</t>
  </si>
  <si>
    <t xml:space="preserve">Identify failure modes and mechanisms from development start, confirmed by analysis or test, continuing after fielding</t>
  </si>
  <si>
    <t xml:space="preserve">GEIA-STD-0009A 5.5.1.6, 6.5.1.6, 7.5.1.6; MIL-STD-882E 4.3.2; JA1011 5.3.1, 5.3.4</t>
  </si>
  <si>
    <t xml:space="preserve">Lion Air 610 / Ethiopian 302 (2018-19)</t>
  </si>
  <si>
    <t xml:space="preserve">346 fatalities</t>
  </si>
  <si>
    <t xml:space="preserve">FMECA and functional hazard analysis findings</t>
  </si>
  <si>
    <t xml:space="preserve">Use mishap data and lessons learned from legacy and similar systems in hazard identification</t>
  </si>
  <si>
    <t xml:space="preserve">MIL-STD-882E 4.3.2</t>
  </si>
  <si>
    <t xml:space="preserve">Cougar 91 precursor stud failure (2008)</t>
  </si>
  <si>
    <t xml:space="preserve">17 fatalities at the subsequent event</t>
  </si>
  <si>
    <t xml:space="preserve">C</t>
  </si>
  <si>
    <t xml:space="preserve">In-service failures, malfunctions and defects; deficiency reports</t>
  </si>
  <si>
    <t xml:space="preserve">Analyse interfaces and faults of subsystems acting independently or in combination</t>
  </si>
  <si>
    <t xml:space="preserve">MIL-STD-882E Task 205, Task 209</t>
  </si>
  <si>
    <t xml:space="preserve">United 232, Sioux City (1989)</t>
  </si>
  <si>
    <t xml:space="preserve">112 fatalities</t>
  </si>
  <si>
    <t xml:space="preserve">Issues identified by analysis; lack of interface management</t>
  </si>
  <si>
    <t xml:space="preserve">Perform operating and support hazard analysis covering maintenance, servicing and support tasks</t>
  </si>
  <si>
    <t xml:space="preserve">MIL-STD-882E Task 206</t>
  </si>
  <si>
    <t xml:space="preserve">Continental Express 2574 (1991)</t>
  </si>
  <si>
    <t xml:space="preserve">14 fatalities</t>
  </si>
  <si>
    <t xml:space="preserve">Work not performed in accordance with approved data</t>
  </si>
  <si>
    <t xml:space="preserve">Treat human error as a failure mode for operators and maintainers, identified and mitigated rather than assumed away</t>
  </si>
  <si>
    <t xml:space="preserve">GEIA-STD-0009A 4.5.1.8, 7.5.1.10; MIL-STD-882E 4.3.2, 4.3.8, Task 206</t>
  </si>
  <si>
    <t xml:space="preserve">Air Midwest 5481 (2003)</t>
  </si>
  <si>
    <t xml:space="preserve">21 fatalities</t>
  </si>
  <si>
    <t xml:space="preserve">Inadequate training, time, rest or experience</t>
  </si>
  <si>
    <t xml:space="preserve">Separate hidden from evident failure modes, assessing dormancy and multiple-failure exposure</t>
  </si>
  <si>
    <t xml:space="preserve">JA1011 5.5.1.1, 5.5.1.2</t>
  </si>
  <si>
    <t xml:space="preserve">737 rudder PCU: UA585 (1991) and US427 (1994)</t>
  </si>
  <si>
    <t xml:space="preserve">157 fatalities</t>
  </si>
  <si>
    <t xml:space="preserve">Component failure analysis; in-service malfunctions</t>
  </si>
  <si>
    <t xml:space="preserve">2 Risk assessment and classification</t>
  </si>
  <si>
    <t xml:space="preserve">Assess severity and probability against the defined criteria, with tailored alternatives only where formally approved</t>
  </si>
  <si>
    <t xml:space="preserve">MIL-STD-882E 4.3.3, Tables I to III</t>
  </si>
  <si>
    <t xml:space="preserve">Take no credit for doctrine, training, warning, caution or PPE in eliminating a hazard</t>
  </si>
  <si>
    <t xml:space="preserve">MIL-STD-882E 4.3.3.b</t>
  </si>
  <si>
    <t xml:space="preserve">Alaska 261 (2000)</t>
  </si>
  <si>
    <t xml:space="preserve">88 fatalities</t>
  </si>
  <si>
    <t xml:space="preserve">D</t>
  </si>
  <si>
    <t xml:space="preserve">Maintenance data; work not performed per approved data</t>
  </si>
  <si>
    <t xml:space="preserve">Substantiate quantitative targets and document every numerical probability definition used</t>
  </si>
  <si>
    <t xml:space="preserve">MIL-STD-882E 4.3.3.e; MIL-STD-1530D 5.1.3.1, 5.2.14, 5.5.6; GEIA-STD-0009A 5.5.1.8</t>
  </si>
  <si>
    <t xml:space="preserve">Issues identified by analysis</t>
  </si>
  <si>
    <t xml:space="preserve">Assess software contribution by control category and severity, assigning level-of-rigour tasks</t>
  </si>
  <si>
    <t xml:space="preserve">MIL-STD-882E 4.4, Tables IV to VI</t>
  </si>
  <si>
    <t xml:space="preserve">Software-caused mishap pattern</t>
  </si>
  <si>
    <t xml:space="preserve">Assess reliability feasibility in the user environment and communicate infeasibility to the customer</t>
  </si>
  <si>
    <t xml:space="preserve">GEIA-STD-0009A 4.5.1.6, 4.3</t>
  </si>
  <si>
    <t xml:space="preserve">KC-46 and F-35 sustainment shortfalls</t>
  </si>
  <si>
    <t xml:space="preserve">Program loss</t>
  </si>
  <si>
    <t xml:space="preserve">Incomplete or unavailable maintenance data</t>
  </si>
  <si>
    <t xml:space="preserve">3 Mitigation and design</t>
  </si>
  <si>
    <t xml:space="preserve">Select mitigation by the design order of precedence, with procedures, training and PPE never the sole mitigation for catastrophic or critical severity</t>
  </si>
  <si>
    <t xml:space="preserve">MIL-STD-882E 4.3.4; GEIA-STD-0009A 5.5.1.7, 7.5.1.7</t>
  </si>
  <si>
    <t xml:space="preserve">Maintenance data; in-service failures</t>
  </si>
  <si>
    <t xml:space="preserve">Assign slow damage growth to single-load-path and non-fail-safe designs; permit safe-life only by approval with damage tolerance evaluation</t>
  </si>
  <si>
    <t xml:space="preserve">MIL-STD-1530D 5.1.3.5.1, 5.1.3.5.2</t>
  </si>
  <si>
    <t xml:space="preserve">Component failure analysis</t>
  </si>
  <si>
    <t xml:space="preserve">Classify critical parts and processes, serialise and trace fracture-critical-traceable items, update the list as the design matures</t>
  </si>
  <si>
    <t xml:space="preserve">MIL-STD-1530D 5.1.4.2</t>
  </si>
  <si>
    <t xml:space="preserve">F-15C breakup (2007); United 232 (1989)</t>
  </si>
  <si>
    <t xml:space="preserve">Fleet grounded; 112 fatalities</t>
  </si>
  <si>
    <t xml:space="preserve">Component failure analysis; incomplete manufacturing data</t>
  </si>
  <si>
    <t xml:space="preserve">Design connectors and fasteners to preclude mismating: keying, distinguishable location, no identical fasteners where wrong removal causes damage</t>
  </si>
  <si>
    <t xml:space="preserve">MIL-STD-1472H 5.9.14.1, 5.9.14.3, 5.9.14.5, 5.9.11.1.1, 5.9.11.1.2</t>
  </si>
  <si>
    <t xml:space="preserve">BA 5390 (1990)</t>
  </si>
  <si>
    <t xml:space="preserve">Near hull loss</t>
  </si>
  <si>
    <t xml:space="preserve">Design in fault detection and isolation, with automatic detection where possible and identifiable status evidence at LRU level</t>
  </si>
  <si>
    <t xml:space="preserve">MIL-STD-1472H 5.9.15.3, 5.9.15.4, 5.9.15.5</t>
  </si>
  <si>
    <t xml:space="preserve">Latent-failure pattern</t>
  </si>
  <si>
    <t xml:space="preserve">Provide indication when an item is out of tolerance or has failed, with visual and auditory alarm for malfunctions that could cause injury or damage</t>
  </si>
  <si>
    <t xml:space="preserve">MIL-STD-1472H 5.9.16.1.2, 5.9.16.1.3, 5.9.16.1.5</t>
  </si>
  <si>
    <t xml:space="preserve">Component failure analysis; maintenance data</t>
  </si>
  <si>
    <t xml:space="preserve">Design warning, alerting and audio signals to support the operator response the safety assessment assumes</t>
  </si>
  <si>
    <t xml:space="preserve">MIL-STD-1472H 5.3.3, 5.7.2, 5.7.3</t>
  </si>
  <si>
    <t xml:space="preserve">British Midland 92, Kegworth (1989)</t>
  </si>
  <si>
    <t xml:space="preserve">47 fatalities</t>
  </si>
  <si>
    <t xml:space="preserve">Size and locate access, covers and openings for the required maintenance task; use standard parts and modular replacement</t>
  </si>
  <si>
    <t xml:space="preserve">MIL-STD-1472H 5.9.6, 5.9.7, 5.9.1.4, 5.9.1.5; JA1010 4.2</t>
  </si>
  <si>
    <t xml:space="preserve">B</t>
  </si>
  <si>
    <t xml:space="preserve">Make labelling and marking legible, correctly located, unambiguous and visible during maintenance</t>
  </si>
  <si>
    <t xml:space="preserve">MIL-STD-1472H 5.4, 5.9.14.4</t>
  </si>
  <si>
    <t xml:space="preserve">Ambiguous technical data pattern</t>
  </si>
  <si>
    <t xml:space="preserve">Inaccurate, incomplete or ambiguous manufacturing or maintenance information</t>
  </si>
  <si>
    <t xml:space="preserve">Establish corrosion prevention and control, with susceptibility evaluation and periodic reassessment</t>
  </si>
  <si>
    <t xml:space="preserve">MIL-STD-1530D 5.1.5, 5.1.5.2, 5.2.7, 5.5.7; MIL-STD-1472H 5.9.1.3</t>
  </si>
  <si>
    <t xml:space="preserve">KC-130T Yuma (2017)</t>
  </si>
  <si>
    <t xml:space="preserve">16 fatalities</t>
  </si>
  <si>
    <t xml:space="preserve">In-service failures, malfunctions and defects</t>
  </si>
  <si>
    <t xml:space="preserve">4 Verification and test</t>
  </si>
  <si>
    <t xml:space="preserve">Conduct reliability verification that is operationally realistic and based on the life-cycle loads</t>
  </si>
  <si>
    <t xml:space="preserve">GEIA-STD-0009A 4.5.1.7, 5.5.1.9, 6.5.1.9</t>
  </si>
  <si>
    <t xml:space="preserve">Verify implementation and validate effectiveness of every selected mitigation</t>
  </si>
  <si>
    <t xml:space="preserve">MIL-STD-882E 4.3.6</t>
  </si>
  <si>
    <t xml:space="preserve">Validate analysis methods, models and procedures, and verify software implementation, before reliance</t>
  </si>
  <si>
    <t xml:space="preserve">MIL-STD-1530D 5.2</t>
  </si>
  <si>
    <t xml:space="preserve">Unvalidated analysis pattern</t>
  </si>
  <si>
    <t xml:space="preserve">Test durability to two lifetimes with production gates, on an article representative of operational configuration and manufacturing processes</t>
  </si>
  <si>
    <t xml:space="preserve">MIL-STD-1530D 5.3.4, 5.3.4.1, 5.3.4.2</t>
  </si>
  <si>
    <t xml:space="preserve">Development to production reconciliation pattern</t>
  </si>
  <si>
    <t xml:space="preserve">Incomplete manufacturing data</t>
  </si>
  <si>
    <t xml:space="preserve">Conduct teardown with fractographic examination, deriving the initial-quality distribution from discovered damage</t>
  </si>
  <si>
    <t xml:space="preserve">MIL-STD-1530D 5.3.4.5</t>
  </si>
  <si>
    <t xml:space="preserve">Initial quality characterisation pattern</t>
  </si>
  <si>
    <t xml:space="preserve">Analyse every test finding to root cause, revise analyses until correlation is achieved, set operational limits before corrective action</t>
  </si>
  <si>
    <t xml:space="preserve">MIL-STD-1530D 5.3.7, 5.3.8; GEIA-STD-0009A 5.5.1.2</t>
  </si>
  <si>
    <t xml:space="preserve">Unresolved test finding pattern</t>
  </si>
  <si>
    <t xml:space="preserve">Identify manufacturing variation and workmanship failure modes; analyse production test and screening failures to root cause</t>
  </si>
  <si>
    <t xml:space="preserve">GEIA-STD-0009A 6.5.1.6, 6.5.1.7</t>
  </si>
  <si>
    <t xml:space="preserve">Qantas 32 (2010); F-15C (2007)</t>
  </si>
  <si>
    <t xml:space="preserve">Hull threatened; fleet grounded</t>
  </si>
  <si>
    <t xml:space="preserve">Inaccurate or incomplete manufacturing information</t>
  </si>
  <si>
    <t xml:space="preserve">Establish and demonstrate NDI capability, with special emphasis on fracture critical parts</t>
  </si>
  <si>
    <t xml:space="preserve">MIL-STD-1530D 5.1.6, 5.5.5</t>
  </si>
  <si>
    <t xml:space="preserve">United 232 (1989), missed indication at overhaul</t>
  </si>
  <si>
    <t xml:space="preserve">5 Maintenance program derivation</t>
  </si>
  <si>
    <t xml:space="preserve">Define and record operational context and performance standards for the derivation</t>
  </si>
  <si>
    <t xml:space="preserve">JA1011 5.1.1, 5.1.4</t>
  </si>
  <si>
    <t xml:space="preserve">Context-free derivation pattern</t>
  </si>
  <si>
    <t xml:space="preserve">Maintenance data</t>
  </si>
  <si>
    <t xml:space="preserve">Carry out consequence assessment and policy selection as if no task is currently being done</t>
  </si>
  <si>
    <t xml:space="preserve">JA1011 5.5.2, 5.6.4</t>
  </si>
  <si>
    <t xml:space="preserve">Ensure safety-consequence tasks reduce probability to an acceptable level</t>
  </si>
  <si>
    <t xml:space="preserve">JA1011 5.7.1.1, 5.7.1.2</t>
  </si>
  <si>
    <t xml:space="preserve">Task adequacy pattern</t>
  </si>
  <si>
    <t xml:space="preserve">Require on-condition tasks to have a defined potential failure condition, identifiable P-F interval, task interval shorter than the shortest likely P-F interval, physical feasibility and adequate warning time</t>
  </si>
  <si>
    <t xml:space="preserve">JA1011 5.7.2.1 to 5.7.2.5</t>
  </si>
  <si>
    <t xml:space="preserve">Southwest 1380 (2018); G-REDL (2009)</t>
  </si>
  <si>
    <t xml:space="preserve">1 and 16 fatalities</t>
  </si>
  <si>
    <t xml:space="preserve">Require discard and restoration tasks to have a demonstrable age of increasing conditional probability, with restoration returning resistance to an acceptable level</t>
  </si>
  <si>
    <t xml:space="preserve">JA1011 5.7.3.1, 5.7.4.1 to 5.7.4.3</t>
  </si>
  <si>
    <t xml:space="preserve">Chalk's Ocean Airways 101 (2005)</t>
  </si>
  <si>
    <t xml:space="preserve">20 fatalities</t>
  </si>
  <si>
    <t xml:space="preserve">Set failure-finding intervals against multiple-failure probability, confirming all covered components are functional</t>
  </si>
  <si>
    <t xml:space="preserve">JA1011 5.7.5.1, 5.7.5.2, 5.7.5.4</t>
  </si>
  <si>
    <t xml:space="preserve">LN-OJF, Turoy (2016)</t>
  </si>
  <si>
    <t xml:space="preserve">13 fatalities</t>
  </si>
  <si>
    <t xml:space="preserve">Permit run-to-failure only where there is no safety or environmental consequence, or the probability is acceptable without a task</t>
  </si>
  <si>
    <t xml:space="preserve">JA1011 5.8.2.1, 5.8.2.2</t>
  </si>
  <si>
    <t xml:space="preserve">Default-to-RTF pattern</t>
  </si>
  <si>
    <t xml:space="preserve">Derive structural inspection intervals from probability of detection and test data, against the defined fractional-life thresholds</t>
  </si>
  <si>
    <t xml:space="preserve">MIL-STD-1530D 5.2.6, 5.4.3.1.1</t>
  </si>
  <si>
    <t xml:space="preserve">Southwest 1380 (2018)</t>
  </si>
  <si>
    <t xml:space="preserve">1 fatality</t>
  </si>
  <si>
    <t xml:space="preserve">Maintain a force structural maintenance plan defining when, where and how, covering damage tolerance, durability and corrosion critical locations</t>
  </si>
  <si>
    <t xml:space="preserve">MIL-STD-1530D 5.4.3, 5.5.9</t>
  </si>
  <si>
    <t xml:space="preserve">Select inspection methods accounting for accessibility and human factors alongside detection capability</t>
  </si>
  <si>
    <t xml:space="preserve">MIL-STD-1530D 5.4.3.1.2; MIL-STD-1472H 5.9.6</t>
  </si>
  <si>
    <t xml:space="preserve">Review both the supporting information and the decisions periodically, with interval formulae logically supportable</t>
  </si>
  <si>
    <t xml:space="preserve">JA1011 5.10.2, 5.11.1</t>
  </si>
  <si>
    <t xml:space="preserve">Alaska 261 interval escalation (2000)</t>
  </si>
  <si>
    <t xml:space="preserve">6 In-service monitoring and closed-loop action</t>
  </si>
  <si>
    <t xml:space="preserve">Determine health-monitoring detection capability and intervals from sensor and system-level POD, with the POD methods approved before installation</t>
  </si>
  <si>
    <t xml:space="preserve">MIL-STD-1530D 5.4.3.2</t>
  </si>
  <si>
    <t xml:space="preserve">Track individual item usage to defined data capture rates, adjusting intervals by actual measured usage, with impending-failure warning for rotorcraft dynamic components</t>
  </si>
  <si>
    <t xml:space="preserve">MIL-STD-1530D 5.4.5, 5.5.2, 5.5.4</t>
  </si>
  <si>
    <t xml:space="preserve">CV-22 Yakushima (2023); G-REDL (2009)</t>
  </si>
  <si>
    <t xml:space="preserve">8 and 16 fatalities</t>
  </si>
  <si>
    <t xml:space="preserve">Execute a usage spectra survey to confirm or update the design spectrum, evaluating usage severity annually</t>
  </si>
  <si>
    <t xml:space="preserve">MIL-STD-1530D 5.4.4, 5.5.1</t>
  </si>
  <si>
    <t xml:space="preserve">Usage drift pattern</t>
  </si>
  <si>
    <t xml:space="preserve">Analyse field failures to root cause, mode and mechanism; compare predicted against actual and update the analyses</t>
  </si>
  <si>
    <t xml:space="preserve">GEIA-STD-0009A 7.5.1.6; MIL-STD-1530D 5.5.3</t>
  </si>
  <si>
    <t xml:space="preserve">Cougar 91, S-92 (2009)</t>
  </si>
  <si>
    <t xml:space="preserve">17 fatalities</t>
  </si>
  <si>
    <t xml:space="preserve">In-service failures; deficiency reports</t>
  </si>
  <si>
    <t xml:space="preserve">Resolve field failure modes in a timely manner through an integrated team, with methods accessible to the customer</t>
  </si>
  <si>
    <t xml:space="preserve">GEIA-STD-0009A 7.5.1.7</t>
  </si>
  <si>
    <t xml:space="preserve">UA585 into US427; CV-22 Yakushima (2023)</t>
  </si>
  <si>
    <t xml:space="preserve">157 and 8 fatalities</t>
  </si>
  <si>
    <t xml:space="preserve">Deficiency reports; in-service malfunctions</t>
  </si>
  <si>
    <t xml:space="preserve">Update reliability assessments from field experience, track corrective action effectiveness, apply growth methodology to new field failure modes</t>
  </si>
  <si>
    <t xml:space="preserve">GEIA-STD-0009A 7.5.1.8, 5.5.1.8</t>
  </si>
  <si>
    <t xml:space="preserve">Air France 447 (2009), pitot events preceding</t>
  </si>
  <si>
    <t xml:space="preserve">Maintain a closed-loop hazard tracking system with the defined minimum data elements, accessible to both parties</t>
  </si>
  <si>
    <t xml:space="preserve">MIL-STD-882E 4.3.1.d, Task 106</t>
  </si>
  <si>
    <t xml:space="preserve">Nimrod XV230 (2006)</t>
  </si>
  <si>
    <t xml:space="preserve">Deficiency reports; incomplete or unavailable data</t>
  </si>
  <si>
    <t xml:space="preserve">Apply field outputs so the inherent reliability of the fielded design is not degraded by maintenance action or process</t>
  </si>
  <si>
    <t xml:space="preserve">GEIA-STD-0009A 7.4.2</t>
  </si>
  <si>
    <t xml:space="preserve">Alaska 261 (2000); American 191 (1979)</t>
  </si>
  <si>
    <t xml:space="preserve">88 and 273 fatalities</t>
  </si>
  <si>
    <t xml:space="preserve">Record damage and maintenance findings in a force management database and use them to test the accuracy of the predictions</t>
  </si>
  <si>
    <t xml:space="preserve">MIL-STD-1530D 5.4.6, 5.5.12</t>
  </si>
  <si>
    <t xml:space="preserve">Maintenance data; incomplete or unavailable data</t>
  </si>
  <si>
    <t xml:space="preserve">Substantiate repairs, reworks and modifications by revised analysis, with static ultimate load test where load paths are altered</t>
  </si>
  <si>
    <t xml:space="preserve">MIL-STD-1530D 5.2.4, 5.3.1, 5.5.11</t>
  </si>
  <si>
    <t xml:space="preserve">Japan Airlines 123 (1985)</t>
  </si>
  <si>
    <t xml:space="preserve">520 fatalities</t>
  </si>
  <si>
    <t xml:space="preserve">Wire life-cycle risk management into the configuration control process, and support mishap investigation with recommendations that minimise human error</t>
  </si>
  <si>
    <t xml:space="preserve">MIL-STD-882E 4.3.8, Task 304</t>
  </si>
  <si>
    <t xml:space="preserve">Change-control blindspot pattern</t>
  </si>
  <si>
    <t xml:space="preserve">E</t>
  </si>
  <si>
    <t xml:space="preserve">Lack of interaction between organisations; interface management</t>
  </si>
  <si>
    <t xml:space="preserve">7 Governance, tailoring and risk acceptance</t>
  </si>
  <si>
    <t xml:space="preserve">Apply the minimum mandatory system safety requirements whenever the standard is invoked; tasks may be cited only to add</t>
  </si>
  <si>
    <t xml:space="preserve">MIL-STD-882E 4.1, 4.1.1, 4.1.2</t>
  </si>
  <si>
    <t xml:space="preserve">Framing clause</t>
  </si>
  <si>
    <t xml:space="preserve">Framing</t>
  </si>
  <si>
    <t xml:space="preserve">Risk acceptance and management responsibility</t>
  </si>
  <si>
    <t xml:space="preserve">Hold each engineering functional discipline responsible for its own hazard risk management and for obtaining its own risk acceptance from the appropriate authority</t>
  </si>
  <si>
    <t xml:space="preserve">MIL-STD-882E 4.2.2, 4.2.2.1, 4.2.2.2</t>
  </si>
  <si>
    <t xml:space="preserve">Coordinate across disciplines because a mitigation optimised for one may create hazards in another</t>
  </si>
  <si>
    <t xml:space="preserve">MIL-STD-882E 4.2.3</t>
  </si>
  <si>
    <t xml:space="preserve">Cross-discipline pattern</t>
  </si>
  <si>
    <t xml:space="preserve">Lack of interaction between organisations</t>
  </si>
  <si>
    <t xml:space="preserve">Accept risk at the appropriate authority before exposure, with user representative concurrence for the higher levels, and re-accept when field data raises the assessed risk</t>
  </si>
  <si>
    <t xml:space="preserve">MIL-STD-882E 4.3.7, 4.3.1.c; MIL-STD-1530D 5.5.6</t>
  </si>
  <si>
    <t xml:space="preserve">Air France 447 (2009); CV-22 (2023)</t>
  </si>
  <si>
    <t xml:space="preserve">228 and 8 fatalities</t>
  </si>
  <si>
    <t xml:space="preserve">Document exceptions to the standard with rationale and risk assessment in the program plan, approved at the defined authority before the design review gate</t>
  </si>
  <si>
    <t xml:space="preserve">MIL-STD-1530D 5.1.1, 4.1.a, 4.1.b, 4.1.e, 4.2; GEIA-STD-0009A 4.5.1.1; JA1010 1.3</t>
  </si>
  <si>
    <t xml:space="preserve">Aloha 243 (1988); Nimrod XV230 (2006)</t>
  </si>
  <si>
    <t xml:space="preserve">1 and 14 fatalities</t>
  </si>
  <si>
    <t xml:space="preserve">Escalate unresolved discipline issues to the named technical authority rather than absorbing them at team level</t>
  </si>
  <si>
    <t xml:space="preserve">MIL-STD-1530D 5.1.4, 5.1.5, 5.1.6, 5.1.7; GEIA-STD-0009A 5.5.1.7</t>
  </si>
  <si>
    <t xml:space="preserve">Nimrod XV230 (2006); Columbia (2003)</t>
  </si>
  <si>
    <t xml:space="preserve">14 and 7 fatalities</t>
  </si>
  <si>
    <t xml:space="preserve">Maintain continuity of resources, skills, documented roles and accountability across life-cycle phases</t>
  </si>
  <si>
    <t xml:space="preserve">GEIA-STD-0009A 4.3, 5.3, 6.3, 7.3; JA1010 4.1, 4.3</t>
  </si>
  <si>
    <t xml:space="preserve">Year</t>
  </si>
  <si>
    <t xml:space="preserve">Barrier failure in one line</t>
  </si>
  <si>
    <t xml:space="preserve">Barriers served</t>
  </si>
  <si>
    <t xml:space="preserve">Japan Airlines 123</t>
  </si>
  <si>
    <t xml:space="preserve">Aft pressure bulkhead repair incorrectly performed after tailstrike</t>
  </si>
  <si>
    <t xml:space="preserve">52</t>
  </si>
  <si>
    <t xml:space="preserve">Lion Air 610 / Ethiopian 302</t>
  </si>
  <si>
    <t xml:space="preserve">Single-input MCAS; failure effect classified below catastrophic</t>
  </si>
  <si>
    <t xml:space="preserve">03, 09</t>
  </si>
  <si>
    <t xml:space="preserve">American Airlines 191</t>
  </si>
  <si>
    <t xml:space="preserve">Maintenance-induced pylon damage from non-approved engine removal method</t>
  </si>
  <si>
    <t xml:space="preserve">50</t>
  </si>
  <si>
    <t xml:space="preserve">Air France 447</t>
  </si>
  <si>
    <t xml:space="preserve">Pitot probes qualified to a standard unrepresentative of the operating environment</t>
  </si>
  <si>
    <t xml:space="preserve">01, 48, 57</t>
  </si>
  <si>
    <t xml:space="preserve">United 585 (1991) and USAir 427 (1994)</t>
  </si>
  <si>
    <t xml:space="preserve">Latent rudder PCU jam-reversal failure mode; three-year gap between events</t>
  </si>
  <si>
    <t xml:space="preserve">08, 47</t>
  </si>
  <si>
    <t xml:space="preserve">United 232, Sioux City</t>
  </si>
  <si>
    <t xml:space="preserve">Fan disc hard-alpha inclusion missed at overhaul; loss of all hydraulic systems</t>
  </si>
  <si>
    <t xml:space="preserve">05, 16, 31</t>
  </si>
  <si>
    <t xml:space="preserve">Alaska 261</t>
  </si>
  <si>
    <t xml:space="preserve">Jackscrew acme nut thread wear; single control was a maintenance task on an escalated interval</t>
  </si>
  <si>
    <t xml:space="preserve">10, 14, 15, 19, 21, 33, 42, 50</t>
  </si>
  <si>
    <t xml:space="preserve">British Midland 92, Kegworth</t>
  </si>
  <si>
    <t xml:space="preserve">Fan blade fatigue on an untested engine variant; crew shut down the working engine</t>
  </si>
  <si>
    <t xml:space="preserve">20, 24</t>
  </si>
  <si>
    <t xml:space="preserve">Air Midwest 5481</t>
  </si>
  <si>
    <t xml:space="preserve">Elevator control cable misrigged during maintenance</t>
  </si>
  <si>
    <t xml:space="preserve">07</t>
  </si>
  <si>
    <t xml:space="preserve">Chalk's Ocean Airways 101</t>
  </si>
  <si>
    <t xml:space="preserve">Wing separation from fatigue cracking; inadequate inspection programme</t>
  </si>
  <si>
    <t xml:space="preserve">36, 40</t>
  </si>
  <si>
    <t xml:space="preserve">Cougar 91, Sikorsky S-92</t>
  </si>
  <si>
    <t xml:space="preserve">Main gearbox filter bowl stud fatigue; prior fleet event not acted upon</t>
  </si>
  <si>
    <t xml:space="preserve">04, 46</t>
  </si>
  <si>
    <t xml:space="preserve">KC-130T Yuma</t>
  </si>
  <si>
    <t xml:space="preserve">Corroded propeller blade separated; depot inspection deficiency</t>
  </si>
  <si>
    <t xml:space="preserve">23, 51</t>
  </si>
  <si>
    <t xml:space="preserve">G-REDL, AS332 L2</t>
  </si>
  <si>
    <t xml:space="preserve">Epicyclic planet gear fatigue; chip detector indication misdispositioned</t>
  </si>
  <si>
    <t xml:space="preserve">35, 44</t>
  </si>
  <si>
    <t xml:space="preserve">Continental Express 2574</t>
  </si>
  <si>
    <t xml:space="preserve">De-ice boot fasteners removed across a shift handover</t>
  </si>
  <si>
    <t xml:space="preserve">06, 41</t>
  </si>
  <si>
    <t xml:space="preserve">Nimrod XV230</t>
  </si>
  <si>
    <t xml:space="preserve">Ageing airframe fuel leak onto hot duct; flawed safety case and escalation</t>
  </si>
  <si>
    <t xml:space="preserve">49, 58, 59, 60</t>
  </si>
  <si>
    <t xml:space="preserve">LN-OJF, Turoy</t>
  </si>
  <si>
    <t xml:space="preserve">Planet gear crack undetectable by the installed monitoring credited for it</t>
  </si>
  <si>
    <t xml:space="preserve">37, 43</t>
  </si>
  <si>
    <t xml:space="preserve">CV-22 Yakushima</t>
  </si>
  <si>
    <t xml:space="preserve">Proprotor gearbox pinion gear failure with prior fleet indications</t>
  </si>
  <si>
    <t xml:space="preserve">44, 47, 57</t>
  </si>
  <si>
    <t xml:space="preserve">Columbia STS-107</t>
  </si>
  <si>
    <t xml:space="preserve">Recurring deviation accepted at mission-management altitude</t>
  </si>
  <si>
    <t xml:space="preserve">59</t>
  </si>
  <si>
    <t xml:space="preserve">Southwest 1380</t>
  </si>
  <si>
    <t xml:space="preserve">Fan blade dovetail low-cycle fatigue; inspection interval not evidence-based</t>
  </si>
  <si>
    <t xml:space="preserve">35, 39</t>
  </si>
  <si>
    <t xml:space="preserve">Aloha 243</t>
  </si>
  <si>
    <t xml:space="preserve">Multiple site fatigue damage; inspection programme inadequate for the ageing fleet</t>
  </si>
  <si>
    <t xml:space="preserve">58</t>
  </si>
  <si>
    <t xml:space="preserve">Boeing 787 battery</t>
  </si>
  <si>
    <t xml:space="preserve">Certification smoke-release rate unvalidated against field experience</t>
  </si>
  <si>
    <t xml:space="preserve">02, 11, 25</t>
  </si>
  <si>
    <t xml:space="preserve">Qantas 32</t>
  </si>
  <si>
    <t xml:space="preserve">Misaligned oil feed stub pipe counterboring; uncontained IP turbine failure</t>
  </si>
  <si>
    <t xml:space="preserve">30</t>
  </si>
  <si>
    <t xml:space="preserve">F-15C breakup</t>
  </si>
  <si>
    <t xml:space="preserve">Longeron manufactured out of specification; fleet grounded</t>
  </si>
  <si>
    <t xml:space="preserve">16, 30</t>
  </si>
  <si>
    <t xml:space="preserve">BA 5390</t>
  </si>
  <si>
    <t xml:space="preserve">Windscreen refitted with incorrect fasteners; captain partially ejected</t>
  </si>
  <si>
    <t xml:space="preserve">17</t>
  </si>
  <si>
    <t xml:space="preserve">Eastern 855</t>
  </si>
  <si>
    <t xml:space="preserve">Chip detector O-rings omitted on all three engines from a common local practice</t>
  </si>
  <si>
    <t xml:space="preserve">KC-46 / F-35 sustainment</t>
  </si>
  <si>
    <t xml:space="preserve">Reliability and availability shortfalls against derived requirements</t>
  </si>
  <si>
    <t xml:space="preserve">13</t>
  </si>
  <si>
    <t xml:space="preserve">TOTAL documented fatalities across distinct cited events</t>
  </si>
  <si>
    <t xml:space="preserve">Note: events are listed once each. Do not sum the Fatalities column on the Barrier Register sheet, which repeats an event's toll on every barrier it anchors.</t>
  </si>
  <si>
    <t xml:space="preserve">Standard</t>
  </si>
  <si>
    <t xml:space="preserve">Issue</t>
  </si>
  <si>
    <t xml:space="preserve">Usable as anchor</t>
  </si>
  <si>
    <t xml:space="preserve">Role in the register</t>
  </si>
  <si>
    <t xml:space="preserve">Basis for the verdict</t>
  </si>
  <si>
    <t xml:space="preserve">MIL-STD-882E w/Ch 1</t>
  </si>
  <si>
    <t xml:space="preserve">27 Sep 2023</t>
  </si>
  <si>
    <t xml:space="preserve">Yes</t>
  </si>
  <si>
    <t xml:space="preserve">Governance, risk classification, acceptance routing, hazard analysis tasks</t>
  </si>
  <si>
    <t xml:space="preserve">Normative throughout Sections 3 and 4; tasks add only</t>
  </si>
  <si>
    <t xml:space="preserve">MIL-STD-1530D w/Ch 1</t>
  </si>
  <si>
    <t xml:space="preserve">13 Oct 2016</t>
  </si>
  <si>
    <t xml:space="preserve">Structural integrity, life management, inspection derivation, SHM credit</t>
  </si>
  <si>
    <t xml:space="preserve">Dense obligations on the PM, DADTCT, CPCT and NDIT</t>
  </si>
  <si>
    <t xml:space="preserve">GEIA-STD-0009A</t>
  </si>
  <si>
    <t xml:space="preserve">2008-08, rev 2020-05</t>
  </si>
  <si>
    <t xml:space="preserve">Reliability program across four life-cycle objectives</t>
  </si>
  <si>
    <t xml:space="preserve">201 shall statements, all obligations on the developer</t>
  </si>
  <si>
    <t xml:space="preserve">MIL-STD-1472H</t>
  </si>
  <si>
    <t xml:space="preserve">15 Sep 2020</t>
  </si>
  <si>
    <t xml:space="preserve">Human engineering and design-for-maintainability criteria</t>
  </si>
  <si>
    <t xml:space="preserve">4,115 shall statements; design criteria form</t>
  </si>
  <si>
    <t xml:space="preserve">SAE JA1011</t>
  </si>
  <si>
    <t xml:space="preserve">current</t>
  </si>
  <si>
    <t xml:space="preserve">Maintenance task and interval derivation</t>
  </si>
  <si>
    <t xml:space="preserve">55 shall statements binding any RCM process</t>
  </si>
  <si>
    <t xml:space="preserve">SAE JA1010</t>
  </si>
  <si>
    <t xml:space="preserve">Marginal</t>
  </si>
  <si>
    <t xml:space="preserve">Maintainability program framing only</t>
  </si>
  <si>
    <t xml:space="preserve">30 shall statements, mostly obligating a customer agreement</t>
  </si>
  <si>
    <t xml:space="preserve">SAE ARP4761A</t>
  </si>
  <si>
    <t xml:space="preserve">No</t>
  </si>
  <si>
    <t xml:space="preserve">Not usable as a floor anchor</t>
  </si>
  <si>
    <t xml:space="preserve">257 shall statements, 2 outside Appendix Q worked example, one of those boilerplate</t>
  </si>
  <si>
    <t xml:space="preserve">SAE ARP6883</t>
  </si>
  <si>
    <t xml:space="preserve">Not usable</t>
  </si>
  <si>
    <t xml:space="preserve">104 shall statements, all landing gear case study requirement text</t>
  </si>
  <si>
    <t xml:space="preserve">SAE ARP6461A</t>
  </si>
  <si>
    <t xml:space="preserve">4 shall statements, boilerplate applicable-documents clause</t>
  </si>
  <si>
    <t xml:space="preserve">SAE ARP6407</t>
  </si>
  <si>
    <t xml:space="preserve">2 shall statements, boilerplate</t>
  </si>
  <si>
    <t xml:space="preserve">SAE JA6268</t>
  </si>
  <si>
    <t xml:space="preserve">1 shall statement, boilerplate</t>
  </si>
  <si>
    <t xml:space="preserve">SAE ARP5580</t>
  </si>
  <si>
    <t xml:space="preserve">0 shall statements; methods document</t>
  </si>
  <si>
    <t xml:space="preserve">TA-HB-0009A</t>
  </si>
  <si>
    <t xml:space="preserve">2 shall statements against 466 should; handbook</t>
  </si>
  <si>
    <t xml:space="preserve">SAE JA1012</t>
  </si>
  <si>
    <t xml:space="preserve">Interpretive</t>
  </si>
  <si>
    <t xml:space="preserve">Use to interpret JA1011, not to anchor</t>
  </si>
  <si>
    <t xml:space="preserve">Guide to the JA1011 criteria</t>
  </si>
  <si>
    <t xml:space="preserve">Clause</t>
  </si>
  <si>
    <t xml:space="preserve">What the standard says about its own tailoring</t>
  </si>
  <si>
    <t xml:space="preserve">MIL-STD-882E</t>
  </si>
  <si>
    <t xml:space="preserve">4.1, 4.1.1, 4.1.2</t>
  </si>
  <si>
    <t xml:space="preserve">Sections 3 and 4 are the minimum mandatory requirements for any DoD system. Tasks may be cited only to ADD requirements. Tailoring cannot subtract from the floor.</t>
  </si>
  <si>
    <t xml:space="preserve">MIL-STD-1530D</t>
  </si>
  <si>
    <t xml:space="preserve">6.1</t>
  </si>
  <si>
    <t xml:space="preserve">Contractual documents may contain tailored requirements based on the content of the standard.</t>
  </si>
  <si>
    <t xml:space="preserve">5.1.1, 4.1.b</t>
  </si>
  <si>
    <t xml:space="preserve">Exceptions to the standard and the associated rationale, including risk assessments, shall be documented in the ASIP Master Plan, which the PEO approves before SRR.</t>
  </si>
  <si>
    <t xml:space="preserve">4.1.e</t>
  </si>
  <si>
    <t xml:space="preserve">A revised plan and PEO approval are required before modifications are executed, before regular flights begin under a new mission, and before operating beyond the previously certified service life.</t>
  </si>
  <si>
    <t xml:space="preserve">4.2</t>
  </si>
  <si>
    <t xml:space="preserve">Where the product was not developed in-house, the tailored program shall be documented in a plan and approved before operation.</t>
  </si>
  <si>
    <t xml:space="preserve">1.3, 4.5.1.1</t>
  </si>
  <si>
    <t xml:space="preserve">Tailoring permitted. All normative activities across all four objectives shall be considered in preparing the Reliability Program Plan.</t>
  </si>
  <si>
    <t xml:space="preserve">1.3</t>
  </si>
  <si>
    <t xml:space="preserve">Tailoring permitted, against a documented customer agreement.</t>
  </si>
  <si>
    <t xml:space="preserve">Conclusion</t>
  </si>
  <si>
    <t xml:space="preserve">Every usable standard permits tailoring, and every one requires it to be a documented, risk-assessed, approved act. None permits silent omission. Contractual silence is not a tailoring decision; it is the absence of one.</t>
  </si>
  <si>
    <t xml:space="preserve">Name</t>
  </si>
  <si>
    <t xml:space="preserve">Definition</t>
  </si>
  <si>
    <t xml:space="preserve">Barriers</t>
  </si>
  <si>
    <t xml:space="preserve">Fatalities in anchored events</t>
  </si>
  <si>
    <t xml:space="preserve">Optimistic classification</t>
  </si>
  <si>
    <t xml:space="preserve">A severity, probability, load estimate, design concept or detection coverage is assigned more favourably than the evidence supports, and nothing downstream re-tests it.</t>
  </si>
  <si>
    <t xml:space="preserve">Evidence-free interval</t>
  </si>
  <si>
    <t xml:space="preserve">A task, inspection interval or life limit is set or changed without the substantiation the clause requires.</t>
  </si>
  <si>
    <t xml:space="preserve">Slow loop</t>
  </si>
  <si>
    <t xml:space="preserve">The fleet produces the signal and the organisation does not convert it into action before the second event.</t>
  </si>
  <si>
    <t xml:space="preserve">Bottom-tier mitigation</t>
  </si>
  <si>
    <t xml:space="preserve">A catastrophic hazard is controlled solely by a procedure, task, training or warning, when the order of precedence requires elimination or design change to be attempted first.</t>
  </si>
  <si>
    <t xml:space="preserve">Undocumented exception</t>
  </si>
  <si>
    <t xml:space="preserve">A required activity is omitted without the rationale, risk assessment and approval the standard itself demands, and the acceptance never reaches the authority that owns that severity.</t>
  </si>
  <si>
    <t xml:space="preserve">Note: the fatalities column repeats an event's toll wherever it anchors more than one barrier in a pattern. It ranks pattern weight; it is not a distinct total. Use the Event Anchors sheet for the distinct total.</t>
  </si>
  <si>
    <t xml:space="preserve">Coverage Summary</t>
  </si>
  <si>
    <t xml:space="preserve">All figures below are formulas over the Barrier Register sheet. Edit the register and these recalculate.</t>
  </si>
  <si>
    <t xml:space="preserve">Total barriers</t>
  </si>
  <si>
    <t xml:space="preserve">Each traced to a named SM-0001 hazard source and at least one clause anchor</t>
  </si>
  <si>
    <t xml:space="preserve">Rated Severity 5 (Catastrophic)</t>
  </si>
  <si>
    <t xml:space="preserve">Deck convention: 5 = Catastrophic. MIL-STD-882E Table I inverts this to 1 = Catastrophic</t>
  </si>
  <si>
    <t xml:space="preserve">Rated Severity 4 (Severe)</t>
  </si>
  <si>
    <t xml:space="preserve">Anchored in a specific investigated event</t>
  </si>
  <si>
    <t xml:space="preserve">An accident or incident with a published investigation report</t>
  </si>
  <si>
    <t xml:space="preserve">Anchored in an industry pattern</t>
  </si>
  <si>
    <t xml:space="preserve">Recurrent across operators and platforms, no single anchor event</t>
  </si>
  <si>
    <t xml:space="preserve">Framing clauses</t>
  </si>
  <si>
    <t xml:space="preserve">Govern how the other barriers are obligated rather than controlling a hazard directly</t>
  </si>
  <si>
    <t xml:space="preserve">Anchored in two or more standards</t>
  </si>
  <si>
    <t xml:space="preserve">Independently obligated; hardest to dismiss as one discipline's preference</t>
  </si>
  <si>
    <t xml:space="preserve">Anchored in three or more standards</t>
  </si>
  <si>
    <t xml:space="preserve">Distinct documented fatalities</t>
  </si>
  <si>
    <t xml:space="preserve">Sum of the Event Anchors sheet, each event counted once</t>
  </si>
  <si>
    <t xml:space="preserve">Barriers per standard</t>
  </si>
  <si>
    <t xml:space="preserve">Barriers per cluster</t>
  </si>
  <si>
    <t xml:space="preserve">Program Assessment Template</t>
  </si>
  <si>
    <t xml:space="preserve">Copy this sheet per program. Fill only the yellow columns E to I. Columns A to D are pulled from the register and should not be edited.</t>
  </si>
  <si>
    <t xml:space="preserve">Status</t>
  </si>
  <si>
    <t xml:space="preserve">Evidence reference</t>
  </si>
  <si>
    <t xml:space="preserve">Equivalent control (if any)</t>
  </si>
  <si>
    <t xml:space="preserve">Risk acceptance memo ref</t>
  </si>
  <si>
    <t xml:space="preserve">Accepting authority</t>
  </si>
  <si>
    <t xml:space="preserve">EXAMPLE ROW - delete before use</t>
  </si>
  <si>
    <t xml:space="preserve">Example: characterise life-cycle loads over the actual operating envelope</t>
  </si>
  <si>
    <t xml:space="preserve">GEIA-STD-0009A 4.5.1.4</t>
  </si>
  <si>
    <t xml:space="preserve">Performed</t>
  </si>
  <si>
    <t xml:space="preserve">DRD-4417 Load Spectrum Report Rev C, 2026-03-14</t>
  </si>
  <si>
    <t xml:space="preserve">n/a</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</si>
</sst>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20"/>
      <color rgb="FF0F1F2E"/>
      <name val="Arial"/>
      <family val="0"/>
      <charset val="1"/>
    </font>
    <font>
      <i val="true"/>
      <sz val="10"/>
      <color rgb="FF5C6E7D"/>
      <name val="Arial"/>
      <family val="0"/>
      <charset val="1"/>
    </font>
    <font>
      <b val="true"/>
      <sz val="10"/>
      <name val="Arial"/>
      <family val="0"/>
      <charset val="1"/>
    </font>
    <font>
      <sz val="10"/>
      <name val="Arial"/>
      <family val="0"/>
      <charset val="1"/>
    </font>
    <font>
      <b val="true"/>
      <sz val="10"/>
      <color rgb="FFB3282D"/>
      <name val="Arial"/>
      <family val="0"/>
      <charset val="1"/>
    </font>
    <font>
      <b val="true"/>
      <sz val="10"/>
      <color rgb="FFFFFFFF"/>
      <name val="Arial"/>
      <family val="0"/>
      <charset val="1"/>
    </font>
    <font>
      <b val="true"/>
      <sz val="16"/>
      <color rgb="FF0F1F2E"/>
      <name val="Arial"/>
      <family val="0"/>
      <charset val="1"/>
    </font>
  </fonts>
  <fills count="5">
    <fill>
      <patternFill patternType="none"/>
    </fill>
    <fill>
      <patternFill patternType="gray125"/>
    </fill>
    <fill>
      <patternFill patternType="solid">
        <fgColor rgb="FFFFF2CC"/>
        <bgColor rgb="FFF7F9FB"/>
      </patternFill>
    </fill>
    <fill>
      <patternFill patternType="solid">
        <fgColor rgb="FF1E3A54"/>
        <bgColor rgb="FF003366"/>
      </patternFill>
    </fill>
    <fill>
      <patternFill patternType="solid">
        <fgColor rgb="FFF7F9FB"/>
        <bgColor rgb="FFFFFFFF"/>
      </patternFill>
    </fill>
  </fills>
  <borders count="2">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E3A54"/>
          <bgColor rgb="FF000000"/>
        </patternFill>
      </fill>
    </dxf>
    <dxf>
      <fill>
        <patternFill patternType="solid">
          <fgColor rgb="FFF7F9FB"/>
          <bgColor rgb="FF000000"/>
        </patternFill>
      </fill>
    </dxf>
    <dxf>
      <fill>
        <patternFill patternType="solid">
          <bgColor rgb="FF000000"/>
        </patternFill>
      </fill>
    </dxf>
    <dxf>
      <fill>
        <patternFill patternType="solid">
          <fgColor rgb="FFFFFFFF"/>
          <bgColor rgb="FF000000"/>
        </patternFill>
      </fill>
    </dxf>
    <dxf>
      <fill>
        <patternFill patternType="solid">
          <fgColor rgb="FFB3282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7F9FB"/>
      <rgbColor rgb="FF660066"/>
      <rgbColor rgb="FFFF8080"/>
      <rgbColor rgb="FF0066CC"/>
      <rgbColor rgb="FFD6DE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E7D"/>
      <rgbColor rgb="FF969696"/>
      <rgbColor rgb="FF003366"/>
      <rgbColor rgb="FF339966"/>
      <rgbColor rgb="FF0F1F2E"/>
      <rgbColor rgb="FF333300"/>
      <rgbColor rgb="FFB3282D"/>
      <rgbColor rgb="FF993366"/>
      <rgbColor rgb="FF333399"/>
      <rgbColor rgb="FF1E3A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2"/>
  </cols>
  <sheetData>
    <row r="1" customFormat="false" ht="24.45" hidden="false" customHeight="false" outlineLevel="0" collapsed="false">
      <c r="A1" s="1" t="s">
        <v>0</v>
      </c>
    </row>
    <row r="2" customFormat="false" ht="15" hidden="false" customHeight="false" outlineLevel="0" collapsed="false">
      <c r="A2" s="2" t="s">
        <v>1</v>
      </c>
    </row>
    <row r="4" customFormat="false" ht="45.75" hidden="false" customHeight="true" outlineLevel="0" collapsed="false">
      <c r="A4" s="3" t="s">
        <v>2</v>
      </c>
      <c r="B4" s="4" t="s">
        <v>3</v>
      </c>
    </row>
    <row r="5" customFormat="false" ht="75" hidden="false" customHeight="true" outlineLevel="0" collapsed="false">
      <c r="A5" s="3" t="s">
        <v>4</v>
      </c>
      <c r="B5" s="4" t="s">
        <v>5</v>
      </c>
    </row>
    <row r="6" customFormat="false" ht="45.75" hidden="false" customHeight="true" outlineLevel="0" collapsed="false">
      <c r="A6" s="3" t="s">
        <v>6</v>
      </c>
      <c r="B6" s="4" t="s">
        <v>7</v>
      </c>
    </row>
    <row r="7" customFormat="false" ht="45.75" hidden="false" customHeight="true" outlineLevel="0" collapsed="false">
      <c r="A7" s="3" t="s">
        <v>8</v>
      </c>
      <c r="B7" s="4" t="s">
        <v>9</v>
      </c>
    </row>
    <row r="8" customFormat="false" ht="45.75" hidden="false" customHeight="true" outlineLevel="0" collapsed="false">
      <c r="A8" s="5" t="s">
        <v>10</v>
      </c>
      <c r="B8" s="6" t="s">
        <v>11</v>
      </c>
    </row>
    <row r="9" customFormat="false" ht="45.75" hidden="false" customHeight="true" outlineLevel="0" collapsed="false">
      <c r="A9" s="7" t="s">
        <v>12</v>
      </c>
      <c r="B9" s="6" t="s">
        <v>13</v>
      </c>
    </row>
    <row r="10" customFormat="false" ht="45.75" hidden="false" customHeight="true" outlineLevel="0" collapsed="false">
      <c r="A10" s="3" t="s">
        <v>14</v>
      </c>
      <c r="B10" s="4" t="s">
        <v>15</v>
      </c>
    </row>
    <row r="11" customFormat="false" ht="75" hidden="false" customHeight="true" outlineLevel="0" collapsed="false">
      <c r="A11" s="3" t="s">
        <v>16</v>
      </c>
      <c r="B11" s="4" t="s">
        <v>17</v>
      </c>
    </row>
    <row r="12" customFormat="false" ht="45.75" hidden="false" customHeight="tru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2"/>
    <col collapsed="false" customWidth="true" hidden="false" outlineLevel="0" max="4" min="4" style="0" width="56"/>
    <col collapsed="false" customWidth="true" hidden="false" outlineLevel="0" max="10" min="5" style="0" width="7"/>
    <col collapsed="false" customWidth="true" hidden="false" outlineLevel="0" max="11" min="11" style="0" width="9"/>
    <col collapsed="false" customWidth="true" hidden="false" outlineLevel="0" max="12" min="12" style="0" width="34"/>
    <col collapsed="false" customWidth="true" hidden="false" outlineLevel="0" max="13" min="13" style="0" width="26"/>
    <col collapsed="false" customWidth="true" hidden="false" outlineLevel="0" max="14" min="14" style="0" width="10"/>
    <col collapsed="false" customWidth="true" hidden="false" outlineLevel="0" max="15" min="15" style="0" width="9"/>
    <col collapsed="false" customWidth="true" hidden="false" outlineLevel="0" max="16" min="16" style="0" width="12"/>
    <col collapsed="false" customWidth="true" hidden="false" outlineLevel="0" max="17" min="17" style="0" width="9"/>
    <col collapsed="false" customWidth="true" hidden="false" outlineLevel="0" max="18" min="18" style="0" width="44"/>
  </cols>
  <sheetData>
    <row r="1" customFormat="false" ht="30" hidden="false" customHeight="true" outlineLevel="0" collapsed="false">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36</v>
      </c>
      <c r="R1" s="8" t="s">
        <v>37</v>
      </c>
    </row>
    <row r="2" customFormat="false" ht="42" hidden="false" customHeight="true" outlineLevel="0" collapsed="false">
      <c r="A2" s="9" t="n">
        <v>1</v>
      </c>
      <c r="B2" s="10" t="s">
        <v>38</v>
      </c>
      <c r="C2" s="10" t="s">
        <v>39</v>
      </c>
      <c r="D2" s="10" t="s">
        <v>40</v>
      </c>
      <c r="E2" s="11"/>
      <c r="F2" s="11" t="s">
        <v>41</v>
      </c>
      <c r="G2" s="11" t="s">
        <v>41</v>
      </c>
      <c r="H2" s="11"/>
      <c r="I2" s="11"/>
      <c r="J2" s="11"/>
      <c r="K2" s="11" t="n">
        <f aca="false">COUNTA(E2:J2)</f>
        <v>2</v>
      </c>
      <c r="L2" s="10" t="s">
        <v>42</v>
      </c>
      <c r="M2" s="10" t="s">
        <v>43</v>
      </c>
      <c r="N2" s="11" t="n">
        <v>228</v>
      </c>
      <c r="O2" s="12" t="n">
        <v>5</v>
      </c>
      <c r="P2" s="11" t="s">
        <v>44</v>
      </c>
      <c r="Q2" s="11" t="s">
        <v>45</v>
      </c>
      <c r="R2" s="10" t="s">
        <v>46</v>
      </c>
    </row>
    <row r="3" customFormat="false" ht="42" hidden="false" customHeight="true" outlineLevel="0" collapsed="false">
      <c r="A3" s="13" t="n">
        <v>2</v>
      </c>
      <c r="B3" s="4" t="s">
        <v>38</v>
      </c>
      <c r="C3" s="4" t="s">
        <v>47</v>
      </c>
      <c r="D3" s="4" t="s">
        <v>48</v>
      </c>
      <c r="E3" s="14"/>
      <c r="F3" s="14"/>
      <c r="G3" s="14" t="s">
        <v>41</v>
      </c>
      <c r="H3" s="14"/>
      <c r="I3" s="14"/>
      <c r="J3" s="14"/>
      <c r="K3" s="14" t="n">
        <f aca="false">COUNTA(E3:J3)</f>
        <v>1</v>
      </c>
      <c r="L3" s="4" t="s">
        <v>49</v>
      </c>
      <c r="M3" s="4" t="s">
        <v>50</v>
      </c>
      <c r="N3" s="14" t="n">
        <v>0</v>
      </c>
      <c r="O3" s="15" t="n">
        <v>5</v>
      </c>
      <c r="P3" s="14" t="s">
        <v>44</v>
      </c>
      <c r="Q3" s="14" t="s">
        <v>45</v>
      </c>
      <c r="R3" s="4" t="s">
        <v>51</v>
      </c>
    </row>
    <row r="4" customFormat="false" ht="42" hidden="false" customHeight="true" outlineLevel="0" collapsed="false">
      <c r="A4" s="9" t="n">
        <v>3</v>
      </c>
      <c r="B4" s="10" t="s">
        <v>38</v>
      </c>
      <c r="C4" s="10" t="s">
        <v>52</v>
      </c>
      <c r="D4" s="10" t="s">
        <v>53</v>
      </c>
      <c r="E4" s="11" t="s">
        <v>41</v>
      </c>
      <c r="F4" s="11"/>
      <c r="G4" s="11" t="s">
        <v>41</v>
      </c>
      <c r="H4" s="11"/>
      <c r="I4" s="11" t="s">
        <v>41</v>
      </c>
      <c r="J4" s="11"/>
      <c r="K4" s="11" t="n">
        <f aca="false">COUNTA(E4:J4)</f>
        <v>3</v>
      </c>
      <c r="L4" s="10" t="s">
        <v>54</v>
      </c>
      <c r="M4" s="10" t="s">
        <v>55</v>
      </c>
      <c r="N4" s="11" t="n">
        <v>346</v>
      </c>
      <c r="O4" s="12" t="n">
        <v>5</v>
      </c>
      <c r="P4" s="11" t="s">
        <v>44</v>
      </c>
      <c r="Q4" s="11" t="s">
        <v>45</v>
      </c>
      <c r="R4" s="10" t="s">
        <v>56</v>
      </c>
    </row>
    <row r="5" customFormat="false" ht="42" hidden="false" customHeight="true" outlineLevel="0" collapsed="false">
      <c r="A5" s="13" t="n">
        <v>4</v>
      </c>
      <c r="B5" s="4" t="s">
        <v>38</v>
      </c>
      <c r="C5" s="4" t="s">
        <v>57</v>
      </c>
      <c r="D5" s="4" t="s">
        <v>58</v>
      </c>
      <c r="E5" s="14" t="s">
        <v>41</v>
      </c>
      <c r="F5" s="14"/>
      <c r="G5" s="14"/>
      <c r="H5" s="14"/>
      <c r="I5" s="14"/>
      <c r="J5" s="14"/>
      <c r="K5" s="14" t="n">
        <f aca="false">COUNTA(E5:J5)</f>
        <v>1</v>
      </c>
      <c r="L5" s="4" t="s">
        <v>59</v>
      </c>
      <c r="M5" s="4" t="s">
        <v>60</v>
      </c>
      <c r="N5" s="14" t="n">
        <v>17</v>
      </c>
      <c r="O5" s="15" t="n">
        <v>5</v>
      </c>
      <c r="P5" s="14" t="s">
        <v>44</v>
      </c>
      <c r="Q5" s="14" t="s">
        <v>61</v>
      </c>
      <c r="R5" s="4" t="s">
        <v>62</v>
      </c>
    </row>
    <row r="6" customFormat="false" ht="42" hidden="false" customHeight="true" outlineLevel="0" collapsed="false">
      <c r="A6" s="9" t="n">
        <v>5</v>
      </c>
      <c r="B6" s="10" t="s">
        <v>38</v>
      </c>
      <c r="C6" s="10" t="s">
        <v>63</v>
      </c>
      <c r="D6" s="10" t="s">
        <v>64</v>
      </c>
      <c r="E6" s="11" t="s">
        <v>41</v>
      </c>
      <c r="F6" s="11"/>
      <c r="G6" s="11"/>
      <c r="H6" s="11"/>
      <c r="I6" s="11"/>
      <c r="J6" s="11"/>
      <c r="K6" s="11" t="n">
        <f aca="false">COUNTA(E6:J6)</f>
        <v>1</v>
      </c>
      <c r="L6" s="10" t="s">
        <v>65</v>
      </c>
      <c r="M6" s="10" t="s">
        <v>66</v>
      </c>
      <c r="N6" s="11" t="n">
        <v>112</v>
      </c>
      <c r="O6" s="12" t="n">
        <v>5</v>
      </c>
      <c r="P6" s="11" t="s">
        <v>44</v>
      </c>
      <c r="Q6" s="11" t="s">
        <v>45</v>
      </c>
      <c r="R6" s="10" t="s">
        <v>67</v>
      </c>
    </row>
    <row r="7" customFormat="false" ht="42" hidden="false" customHeight="true" outlineLevel="0" collapsed="false">
      <c r="A7" s="13" t="n">
        <v>6</v>
      </c>
      <c r="B7" s="4" t="s">
        <v>38</v>
      </c>
      <c r="C7" s="4" t="s">
        <v>68</v>
      </c>
      <c r="D7" s="4" t="s">
        <v>69</v>
      </c>
      <c r="E7" s="14" t="s">
        <v>41</v>
      </c>
      <c r="F7" s="14"/>
      <c r="G7" s="14"/>
      <c r="H7" s="14"/>
      <c r="I7" s="14"/>
      <c r="J7" s="14"/>
      <c r="K7" s="14" t="n">
        <f aca="false">COUNTA(E7:J7)</f>
        <v>1</v>
      </c>
      <c r="L7" s="4" t="s">
        <v>70</v>
      </c>
      <c r="M7" s="4" t="s">
        <v>71</v>
      </c>
      <c r="N7" s="14" t="n">
        <v>14</v>
      </c>
      <c r="O7" s="15" t="n">
        <v>5</v>
      </c>
      <c r="P7" s="14" t="s">
        <v>44</v>
      </c>
      <c r="Q7" s="14" t="s">
        <v>45</v>
      </c>
      <c r="R7" s="4" t="s">
        <v>72</v>
      </c>
    </row>
    <row r="8" customFormat="false" ht="42" hidden="false" customHeight="true" outlineLevel="0" collapsed="false">
      <c r="A8" s="9" t="n">
        <v>7</v>
      </c>
      <c r="B8" s="10" t="s">
        <v>38</v>
      </c>
      <c r="C8" s="10" t="s">
        <v>73</v>
      </c>
      <c r="D8" s="10" t="s">
        <v>74</v>
      </c>
      <c r="E8" s="11" t="s">
        <v>41</v>
      </c>
      <c r="F8" s="11"/>
      <c r="G8" s="11" t="s">
        <v>41</v>
      </c>
      <c r="H8" s="11"/>
      <c r="I8" s="11"/>
      <c r="J8" s="11"/>
      <c r="K8" s="11" t="n">
        <f aca="false">COUNTA(E8:J8)</f>
        <v>2</v>
      </c>
      <c r="L8" s="10" t="s">
        <v>75</v>
      </c>
      <c r="M8" s="10" t="s">
        <v>76</v>
      </c>
      <c r="N8" s="11" t="n">
        <v>21</v>
      </c>
      <c r="O8" s="12" t="n">
        <v>5</v>
      </c>
      <c r="P8" s="11" t="s">
        <v>44</v>
      </c>
      <c r="Q8" s="11" t="s">
        <v>45</v>
      </c>
      <c r="R8" s="10" t="s">
        <v>77</v>
      </c>
    </row>
    <row r="9" customFormat="false" ht="42" hidden="false" customHeight="true" outlineLevel="0" collapsed="false">
      <c r="A9" s="13" t="n">
        <v>8</v>
      </c>
      <c r="B9" s="4" t="s">
        <v>38</v>
      </c>
      <c r="C9" s="4" t="s">
        <v>78</v>
      </c>
      <c r="D9" s="4" t="s">
        <v>79</v>
      </c>
      <c r="E9" s="14"/>
      <c r="F9" s="14"/>
      <c r="G9" s="14"/>
      <c r="H9" s="14"/>
      <c r="I9" s="14" t="s">
        <v>41</v>
      </c>
      <c r="J9" s="14"/>
      <c r="K9" s="14" t="n">
        <f aca="false">COUNTA(E9:J9)</f>
        <v>1</v>
      </c>
      <c r="L9" s="4" t="s">
        <v>80</v>
      </c>
      <c r="M9" s="4" t="s">
        <v>81</v>
      </c>
      <c r="N9" s="14" t="n">
        <v>157</v>
      </c>
      <c r="O9" s="15" t="n">
        <v>5</v>
      </c>
      <c r="P9" s="14" t="s">
        <v>44</v>
      </c>
      <c r="Q9" s="14" t="s">
        <v>45</v>
      </c>
      <c r="R9" s="4" t="s">
        <v>82</v>
      </c>
    </row>
    <row r="10" customFormat="false" ht="42" hidden="false" customHeight="true" outlineLevel="0" collapsed="false">
      <c r="A10" s="9" t="n">
        <v>9</v>
      </c>
      <c r="B10" s="10" t="s">
        <v>83</v>
      </c>
      <c r="C10" s="10" t="s">
        <v>84</v>
      </c>
      <c r="D10" s="10" t="s">
        <v>85</v>
      </c>
      <c r="E10" s="11" t="s">
        <v>41</v>
      </c>
      <c r="F10" s="11"/>
      <c r="G10" s="11"/>
      <c r="H10" s="11"/>
      <c r="I10" s="11"/>
      <c r="J10" s="11"/>
      <c r="K10" s="11" t="n">
        <f aca="false">COUNTA(E10:J10)</f>
        <v>1</v>
      </c>
      <c r="L10" s="10" t="s">
        <v>54</v>
      </c>
      <c r="M10" s="10" t="s">
        <v>55</v>
      </c>
      <c r="N10" s="11" t="n">
        <v>346</v>
      </c>
      <c r="O10" s="12" t="n">
        <v>5</v>
      </c>
      <c r="P10" s="11" t="s">
        <v>44</v>
      </c>
      <c r="Q10" s="11" t="s">
        <v>45</v>
      </c>
      <c r="R10" s="10" t="s">
        <v>56</v>
      </c>
    </row>
    <row r="11" customFormat="false" ht="42" hidden="false" customHeight="true" outlineLevel="0" collapsed="false">
      <c r="A11" s="13" t="n">
        <v>10</v>
      </c>
      <c r="B11" s="4" t="s">
        <v>83</v>
      </c>
      <c r="C11" s="4" t="s">
        <v>86</v>
      </c>
      <c r="D11" s="4" t="s">
        <v>87</v>
      </c>
      <c r="E11" s="14" t="s">
        <v>41</v>
      </c>
      <c r="F11" s="14"/>
      <c r="G11" s="14"/>
      <c r="H11" s="14"/>
      <c r="I11" s="14"/>
      <c r="J11" s="14"/>
      <c r="K11" s="14" t="n">
        <f aca="false">COUNTA(E11:J11)</f>
        <v>1</v>
      </c>
      <c r="L11" s="4" t="s">
        <v>88</v>
      </c>
      <c r="M11" s="4" t="s">
        <v>89</v>
      </c>
      <c r="N11" s="14" t="n">
        <v>88</v>
      </c>
      <c r="O11" s="15" t="n">
        <v>5</v>
      </c>
      <c r="P11" s="14" t="s">
        <v>44</v>
      </c>
      <c r="Q11" s="14" t="s">
        <v>90</v>
      </c>
      <c r="R11" s="4" t="s">
        <v>91</v>
      </c>
    </row>
    <row r="12" customFormat="false" ht="42" hidden="false" customHeight="true" outlineLevel="0" collapsed="false">
      <c r="A12" s="9" t="n">
        <v>11</v>
      </c>
      <c r="B12" s="10" t="s">
        <v>83</v>
      </c>
      <c r="C12" s="10" t="s">
        <v>92</v>
      </c>
      <c r="D12" s="10" t="s">
        <v>93</v>
      </c>
      <c r="E12" s="11" t="s">
        <v>41</v>
      </c>
      <c r="F12" s="11" t="s">
        <v>41</v>
      </c>
      <c r="G12" s="11" t="s">
        <v>41</v>
      </c>
      <c r="H12" s="11"/>
      <c r="I12" s="11"/>
      <c r="J12" s="11"/>
      <c r="K12" s="11" t="n">
        <f aca="false">COUNTA(E12:J12)</f>
        <v>3</v>
      </c>
      <c r="L12" s="10" t="s">
        <v>49</v>
      </c>
      <c r="M12" s="10" t="s">
        <v>50</v>
      </c>
      <c r="N12" s="11" t="n">
        <v>0</v>
      </c>
      <c r="O12" s="12" t="n">
        <v>5</v>
      </c>
      <c r="P12" s="11" t="s">
        <v>44</v>
      </c>
      <c r="Q12" s="11" t="s">
        <v>45</v>
      </c>
      <c r="R12" s="10" t="s">
        <v>94</v>
      </c>
    </row>
    <row r="13" customFormat="false" ht="42" hidden="false" customHeight="true" outlineLevel="0" collapsed="false">
      <c r="A13" s="13" t="n">
        <v>12</v>
      </c>
      <c r="B13" s="4" t="s">
        <v>83</v>
      </c>
      <c r="C13" s="4" t="s">
        <v>95</v>
      </c>
      <c r="D13" s="4" t="s">
        <v>96</v>
      </c>
      <c r="E13" s="14" t="s">
        <v>41</v>
      </c>
      <c r="F13" s="14"/>
      <c r="G13" s="14"/>
      <c r="H13" s="14"/>
      <c r="I13" s="14"/>
      <c r="J13" s="14"/>
      <c r="K13" s="14" t="n">
        <f aca="false">COUNTA(E13:J13)</f>
        <v>1</v>
      </c>
      <c r="L13" s="4" t="s">
        <v>97</v>
      </c>
      <c r="M13" s="4" t="s">
        <v>36</v>
      </c>
      <c r="N13" s="14" t="n">
        <v>0</v>
      </c>
      <c r="O13" s="15" t="n">
        <v>5</v>
      </c>
      <c r="P13" s="14" t="s">
        <v>36</v>
      </c>
      <c r="Q13" s="14" t="s">
        <v>45</v>
      </c>
      <c r="R13" s="4" t="s">
        <v>94</v>
      </c>
    </row>
    <row r="14" customFormat="false" ht="42" hidden="false" customHeight="true" outlineLevel="0" collapsed="false">
      <c r="A14" s="9" t="n">
        <v>13</v>
      </c>
      <c r="B14" s="10" t="s">
        <v>83</v>
      </c>
      <c r="C14" s="10" t="s">
        <v>98</v>
      </c>
      <c r="D14" s="10" t="s">
        <v>99</v>
      </c>
      <c r="E14" s="11"/>
      <c r="F14" s="11"/>
      <c r="G14" s="11" t="s">
        <v>41</v>
      </c>
      <c r="H14" s="11"/>
      <c r="I14" s="11"/>
      <c r="J14" s="11"/>
      <c r="K14" s="11" t="n">
        <f aca="false">COUNTA(E14:J14)</f>
        <v>1</v>
      </c>
      <c r="L14" s="10" t="s">
        <v>100</v>
      </c>
      <c r="M14" s="10" t="s">
        <v>101</v>
      </c>
      <c r="N14" s="11" t="n">
        <v>0</v>
      </c>
      <c r="O14" s="9" t="n">
        <v>4</v>
      </c>
      <c r="P14" s="11" t="s">
        <v>36</v>
      </c>
      <c r="Q14" s="11" t="s">
        <v>45</v>
      </c>
      <c r="R14" s="10" t="s">
        <v>102</v>
      </c>
    </row>
    <row r="15" customFormat="false" ht="42" hidden="false" customHeight="true" outlineLevel="0" collapsed="false">
      <c r="A15" s="13" t="n">
        <v>14</v>
      </c>
      <c r="B15" s="4" t="s">
        <v>103</v>
      </c>
      <c r="C15" s="4" t="s">
        <v>104</v>
      </c>
      <c r="D15" s="4" t="s">
        <v>105</v>
      </c>
      <c r="E15" s="14" t="s">
        <v>41</v>
      </c>
      <c r="F15" s="14"/>
      <c r="G15" s="14" t="s">
        <v>41</v>
      </c>
      <c r="H15" s="14"/>
      <c r="I15" s="14"/>
      <c r="J15" s="14"/>
      <c r="K15" s="14" t="n">
        <f aca="false">COUNTA(E15:J15)</f>
        <v>2</v>
      </c>
      <c r="L15" s="4" t="s">
        <v>88</v>
      </c>
      <c r="M15" s="4" t="s">
        <v>89</v>
      </c>
      <c r="N15" s="14" t="n">
        <v>88</v>
      </c>
      <c r="O15" s="15" t="n">
        <v>5</v>
      </c>
      <c r="P15" s="14" t="s">
        <v>44</v>
      </c>
      <c r="Q15" s="14" t="s">
        <v>90</v>
      </c>
      <c r="R15" s="4" t="s">
        <v>106</v>
      </c>
    </row>
    <row r="16" customFormat="false" ht="42" hidden="false" customHeight="true" outlineLevel="0" collapsed="false">
      <c r="A16" s="9" t="n">
        <v>15</v>
      </c>
      <c r="B16" s="10" t="s">
        <v>103</v>
      </c>
      <c r="C16" s="10" t="s">
        <v>107</v>
      </c>
      <c r="D16" s="10" t="s">
        <v>108</v>
      </c>
      <c r="E16" s="11"/>
      <c r="F16" s="11" t="s">
        <v>41</v>
      </c>
      <c r="G16" s="11"/>
      <c r="H16" s="11"/>
      <c r="I16" s="11"/>
      <c r="J16" s="11"/>
      <c r="K16" s="11" t="n">
        <f aca="false">COUNTA(E16:J16)</f>
        <v>1</v>
      </c>
      <c r="L16" s="10" t="s">
        <v>88</v>
      </c>
      <c r="M16" s="10" t="s">
        <v>89</v>
      </c>
      <c r="N16" s="11" t="n">
        <v>88</v>
      </c>
      <c r="O16" s="12" t="n">
        <v>5</v>
      </c>
      <c r="P16" s="11" t="s">
        <v>44</v>
      </c>
      <c r="Q16" s="11" t="s">
        <v>90</v>
      </c>
      <c r="R16" s="10" t="s">
        <v>109</v>
      </c>
    </row>
    <row r="17" customFormat="false" ht="42" hidden="false" customHeight="true" outlineLevel="0" collapsed="false">
      <c r="A17" s="13" t="n">
        <v>16</v>
      </c>
      <c r="B17" s="4" t="s">
        <v>103</v>
      </c>
      <c r="C17" s="4" t="s">
        <v>110</v>
      </c>
      <c r="D17" s="4" t="s">
        <v>111</v>
      </c>
      <c r="E17" s="14"/>
      <c r="F17" s="14" t="s">
        <v>41</v>
      </c>
      <c r="G17" s="14"/>
      <c r="H17" s="14"/>
      <c r="I17" s="14"/>
      <c r="J17" s="14"/>
      <c r="K17" s="14" t="n">
        <f aca="false">COUNTA(E17:J17)</f>
        <v>1</v>
      </c>
      <c r="L17" s="4" t="s">
        <v>112</v>
      </c>
      <c r="M17" s="4" t="s">
        <v>113</v>
      </c>
      <c r="N17" s="14" t="n">
        <v>112</v>
      </c>
      <c r="O17" s="15" t="n">
        <v>5</v>
      </c>
      <c r="P17" s="14" t="s">
        <v>44</v>
      </c>
      <c r="Q17" s="14" t="s">
        <v>45</v>
      </c>
      <c r="R17" s="4" t="s">
        <v>114</v>
      </c>
    </row>
    <row r="18" customFormat="false" ht="42" hidden="false" customHeight="true" outlineLevel="0" collapsed="false">
      <c r="A18" s="9" t="n">
        <v>17</v>
      </c>
      <c r="B18" s="10" t="s">
        <v>103</v>
      </c>
      <c r="C18" s="10" t="s">
        <v>115</v>
      </c>
      <c r="D18" s="10" t="s">
        <v>116</v>
      </c>
      <c r="E18" s="11"/>
      <c r="F18" s="11"/>
      <c r="G18" s="11"/>
      <c r="H18" s="11" t="s">
        <v>41</v>
      </c>
      <c r="I18" s="11"/>
      <c r="J18" s="11"/>
      <c r="K18" s="11" t="n">
        <f aca="false">COUNTA(E18:J18)</f>
        <v>1</v>
      </c>
      <c r="L18" s="10" t="s">
        <v>117</v>
      </c>
      <c r="M18" s="10" t="s">
        <v>118</v>
      </c>
      <c r="N18" s="11" t="n">
        <v>0</v>
      </c>
      <c r="O18" s="12" t="n">
        <v>5</v>
      </c>
      <c r="P18" s="11" t="s">
        <v>44</v>
      </c>
      <c r="Q18" s="11" t="s">
        <v>45</v>
      </c>
      <c r="R18" s="10" t="s">
        <v>72</v>
      </c>
    </row>
    <row r="19" customFormat="false" ht="42" hidden="false" customHeight="true" outlineLevel="0" collapsed="false">
      <c r="A19" s="13" t="n">
        <v>18</v>
      </c>
      <c r="B19" s="4" t="s">
        <v>103</v>
      </c>
      <c r="C19" s="4" t="s">
        <v>119</v>
      </c>
      <c r="D19" s="4" t="s">
        <v>120</v>
      </c>
      <c r="E19" s="14"/>
      <c r="F19" s="14"/>
      <c r="G19" s="14"/>
      <c r="H19" s="14" t="s">
        <v>41</v>
      </c>
      <c r="I19" s="14"/>
      <c r="J19" s="14"/>
      <c r="K19" s="14" t="n">
        <f aca="false">COUNTA(E19:J19)</f>
        <v>1</v>
      </c>
      <c r="L19" s="4" t="s">
        <v>121</v>
      </c>
      <c r="M19" s="4" t="s">
        <v>36</v>
      </c>
      <c r="N19" s="14" t="n">
        <v>0</v>
      </c>
      <c r="O19" s="15" t="n">
        <v>5</v>
      </c>
      <c r="P19" s="14" t="s">
        <v>36</v>
      </c>
      <c r="Q19" s="14" t="s">
        <v>45</v>
      </c>
      <c r="R19" s="4" t="s">
        <v>109</v>
      </c>
    </row>
    <row r="20" customFormat="false" ht="42" hidden="false" customHeight="true" outlineLevel="0" collapsed="false">
      <c r="A20" s="9" t="n">
        <v>19</v>
      </c>
      <c r="B20" s="10" t="s">
        <v>103</v>
      </c>
      <c r="C20" s="10" t="s">
        <v>122</v>
      </c>
      <c r="D20" s="10" t="s">
        <v>123</v>
      </c>
      <c r="E20" s="11"/>
      <c r="F20" s="11"/>
      <c r="G20" s="11"/>
      <c r="H20" s="11" t="s">
        <v>41</v>
      </c>
      <c r="I20" s="11"/>
      <c r="J20" s="11"/>
      <c r="K20" s="11" t="n">
        <f aca="false">COUNTA(E20:J20)</f>
        <v>1</v>
      </c>
      <c r="L20" s="10" t="s">
        <v>88</v>
      </c>
      <c r="M20" s="10" t="s">
        <v>89</v>
      </c>
      <c r="N20" s="11" t="n">
        <v>88</v>
      </c>
      <c r="O20" s="12" t="n">
        <v>5</v>
      </c>
      <c r="P20" s="11" t="s">
        <v>44</v>
      </c>
      <c r="Q20" s="11" t="s">
        <v>90</v>
      </c>
      <c r="R20" s="10" t="s">
        <v>124</v>
      </c>
    </row>
    <row r="21" customFormat="false" ht="42" hidden="false" customHeight="true" outlineLevel="0" collapsed="false">
      <c r="A21" s="13" t="n">
        <v>20</v>
      </c>
      <c r="B21" s="4" t="s">
        <v>103</v>
      </c>
      <c r="C21" s="4" t="s">
        <v>125</v>
      </c>
      <c r="D21" s="4" t="s">
        <v>126</v>
      </c>
      <c r="E21" s="14"/>
      <c r="F21" s="14"/>
      <c r="G21" s="14"/>
      <c r="H21" s="14" t="s">
        <v>41</v>
      </c>
      <c r="I21" s="14"/>
      <c r="J21" s="14"/>
      <c r="K21" s="14" t="n">
        <f aca="false">COUNTA(E21:J21)</f>
        <v>1</v>
      </c>
      <c r="L21" s="4" t="s">
        <v>127</v>
      </c>
      <c r="M21" s="4" t="s">
        <v>128</v>
      </c>
      <c r="N21" s="14" t="n">
        <v>47</v>
      </c>
      <c r="O21" s="15" t="n">
        <v>5</v>
      </c>
      <c r="P21" s="14" t="s">
        <v>44</v>
      </c>
      <c r="Q21" s="14" t="s">
        <v>45</v>
      </c>
      <c r="R21" s="4" t="s">
        <v>77</v>
      </c>
    </row>
    <row r="22" customFormat="false" ht="42" hidden="false" customHeight="true" outlineLevel="0" collapsed="false">
      <c r="A22" s="9" t="n">
        <v>21</v>
      </c>
      <c r="B22" s="10" t="s">
        <v>103</v>
      </c>
      <c r="C22" s="10" t="s">
        <v>129</v>
      </c>
      <c r="D22" s="10" t="s">
        <v>130</v>
      </c>
      <c r="E22" s="11"/>
      <c r="F22" s="11"/>
      <c r="G22" s="11"/>
      <c r="H22" s="11" t="s">
        <v>41</v>
      </c>
      <c r="I22" s="11"/>
      <c r="J22" s="11" t="s">
        <v>41</v>
      </c>
      <c r="K22" s="11" t="n">
        <f aca="false">COUNTA(E22:J22)</f>
        <v>2</v>
      </c>
      <c r="L22" s="10" t="s">
        <v>88</v>
      </c>
      <c r="M22" s="10" t="s">
        <v>89</v>
      </c>
      <c r="N22" s="11" t="n">
        <v>88</v>
      </c>
      <c r="O22" s="12" t="n">
        <v>5</v>
      </c>
      <c r="P22" s="11" t="s">
        <v>44</v>
      </c>
      <c r="Q22" s="11" t="s">
        <v>131</v>
      </c>
      <c r="R22" s="10" t="s">
        <v>77</v>
      </c>
    </row>
    <row r="23" customFormat="false" ht="42" hidden="false" customHeight="true" outlineLevel="0" collapsed="false">
      <c r="A23" s="13" t="n">
        <v>22</v>
      </c>
      <c r="B23" s="4" t="s">
        <v>103</v>
      </c>
      <c r="C23" s="4" t="s">
        <v>132</v>
      </c>
      <c r="D23" s="4" t="s">
        <v>133</v>
      </c>
      <c r="E23" s="14"/>
      <c r="F23" s="14"/>
      <c r="G23" s="14"/>
      <c r="H23" s="14" t="s">
        <v>41</v>
      </c>
      <c r="I23" s="14"/>
      <c r="J23" s="14"/>
      <c r="K23" s="14" t="n">
        <f aca="false">COUNTA(E23:J23)</f>
        <v>1</v>
      </c>
      <c r="L23" s="4" t="s">
        <v>134</v>
      </c>
      <c r="M23" s="4" t="s">
        <v>36</v>
      </c>
      <c r="N23" s="14" t="n">
        <v>0</v>
      </c>
      <c r="O23" s="15" t="n">
        <v>5</v>
      </c>
      <c r="P23" s="14" t="s">
        <v>36</v>
      </c>
      <c r="Q23" s="14" t="s">
        <v>45</v>
      </c>
      <c r="R23" s="4" t="s">
        <v>135</v>
      </c>
    </row>
    <row r="24" customFormat="false" ht="42" hidden="false" customHeight="true" outlineLevel="0" collapsed="false">
      <c r="A24" s="9" t="n">
        <v>23</v>
      </c>
      <c r="B24" s="10" t="s">
        <v>103</v>
      </c>
      <c r="C24" s="10" t="s">
        <v>136</v>
      </c>
      <c r="D24" s="10" t="s">
        <v>137</v>
      </c>
      <c r="E24" s="11"/>
      <c r="F24" s="11" t="s">
        <v>41</v>
      </c>
      <c r="G24" s="11"/>
      <c r="H24" s="11" t="s">
        <v>41</v>
      </c>
      <c r="I24" s="11"/>
      <c r="J24" s="11"/>
      <c r="K24" s="11" t="n">
        <f aca="false">COUNTA(E24:J24)</f>
        <v>2</v>
      </c>
      <c r="L24" s="10" t="s">
        <v>138</v>
      </c>
      <c r="M24" s="10" t="s">
        <v>139</v>
      </c>
      <c r="N24" s="11" t="n">
        <v>16</v>
      </c>
      <c r="O24" s="12" t="n">
        <v>5</v>
      </c>
      <c r="P24" s="11" t="s">
        <v>44</v>
      </c>
      <c r="Q24" s="11" t="s">
        <v>131</v>
      </c>
      <c r="R24" s="10" t="s">
        <v>140</v>
      </c>
    </row>
    <row r="25" customFormat="false" ht="42" hidden="false" customHeight="true" outlineLevel="0" collapsed="false">
      <c r="A25" s="13" t="n">
        <v>24</v>
      </c>
      <c r="B25" s="4" t="s">
        <v>141</v>
      </c>
      <c r="C25" s="4" t="s">
        <v>142</v>
      </c>
      <c r="D25" s="4" t="s">
        <v>143</v>
      </c>
      <c r="E25" s="14"/>
      <c r="F25" s="14"/>
      <c r="G25" s="14" t="s">
        <v>41</v>
      </c>
      <c r="H25" s="14"/>
      <c r="I25" s="14"/>
      <c r="J25" s="14"/>
      <c r="K25" s="14" t="n">
        <f aca="false">COUNTA(E25:J25)</f>
        <v>1</v>
      </c>
      <c r="L25" s="4" t="s">
        <v>127</v>
      </c>
      <c r="M25" s="4" t="s">
        <v>128</v>
      </c>
      <c r="N25" s="14" t="n">
        <v>47</v>
      </c>
      <c r="O25" s="15" t="n">
        <v>5</v>
      </c>
      <c r="P25" s="14" t="s">
        <v>44</v>
      </c>
      <c r="Q25" s="14" t="s">
        <v>45</v>
      </c>
      <c r="R25" s="4" t="s">
        <v>94</v>
      </c>
    </row>
    <row r="26" customFormat="false" ht="42" hidden="false" customHeight="true" outlineLevel="0" collapsed="false">
      <c r="A26" s="9" t="n">
        <v>25</v>
      </c>
      <c r="B26" s="10" t="s">
        <v>141</v>
      </c>
      <c r="C26" s="10" t="s">
        <v>144</v>
      </c>
      <c r="D26" s="10" t="s">
        <v>145</v>
      </c>
      <c r="E26" s="11" t="s">
        <v>41</v>
      </c>
      <c r="F26" s="11"/>
      <c r="G26" s="11"/>
      <c r="H26" s="11"/>
      <c r="I26" s="11"/>
      <c r="J26" s="11"/>
      <c r="K26" s="11" t="n">
        <f aca="false">COUNTA(E26:J26)</f>
        <v>1</v>
      </c>
      <c r="L26" s="10" t="s">
        <v>49</v>
      </c>
      <c r="M26" s="10" t="s">
        <v>50</v>
      </c>
      <c r="N26" s="11" t="n">
        <v>0</v>
      </c>
      <c r="O26" s="12" t="n">
        <v>5</v>
      </c>
      <c r="P26" s="11" t="s">
        <v>44</v>
      </c>
      <c r="Q26" s="11" t="s">
        <v>45</v>
      </c>
      <c r="R26" s="10" t="s">
        <v>94</v>
      </c>
    </row>
    <row r="27" customFormat="false" ht="42" hidden="false" customHeight="true" outlineLevel="0" collapsed="false">
      <c r="A27" s="13" t="n">
        <v>26</v>
      </c>
      <c r="B27" s="4" t="s">
        <v>141</v>
      </c>
      <c r="C27" s="4" t="s">
        <v>146</v>
      </c>
      <c r="D27" s="4" t="s">
        <v>147</v>
      </c>
      <c r="E27" s="14"/>
      <c r="F27" s="14" t="s">
        <v>41</v>
      </c>
      <c r="G27" s="14"/>
      <c r="H27" s="14"/>
      <c r="I27" s="14"/>
      <c r="J27" s="14"/>
      <c r="K27" s="14" t="n">
        <f aca="false">COUNTA(E27:J27)</f>
        <v>1</v>
      </c>
      <c r="L27" s="4" t="s">
        <v>148</v>
      </c>
      <c r="M27" s="4" t="s">
        <v>36</v>
      </c>
      <c r="N27" s="14" t="n">
        <v>0</v>
      </c>
      <c r="O27" s="15" t="n">
        <v>5</v>
      </c>
      <c r="P27" s="14" t="s">
        <v>36</v>
      </c>
      <c r="Q27" s="14" t="s">
        <v>45</v>
      </c>
      <c r="R27" s="4" t="s">
        <v>94</v>
      </c>
    </row>
    <row r="28" customFormat="false" ht="42" hidden="false" customHeight="true" outlineLevel="0" collapsed="false">
      <c r="A28" s="9" t="n">
        <v>27</v>
      </c>
      <c r="B28" s="10" t="s">
        <v>141</v>
      </c>
      <c r="C28" s="10" t="s">
        <v>149</v>
      </c>
      <c r="D28" s="10" t="s">
        <v>150</v>
      </c>
      <c r="E28" s="11"/>
      <c r="F28" s="11" t="s">
        <v>41</v>
      </c>
      <c r="G28" s="11"/>
      <c r="H28" s="11"/>
      <c r="I28" s="11"/>
      <c r="J28" s="11"/>
      <c r="K28" s="11" t="n">
        <f aca="false">COUNTA(E28:J28)</f>
        <v>1</v>
      </c>
      <c r="L28" s="10" t="s">
        <v>151</v>
      </c>
      <c r="M28" s="10" t="s">
        <v>36</v>
      </c>
      <c r="N28" s="11" t="n">
        <v>0</v>
      </c>
      <c r="O28" s="12" t="n">
        <v>5</v>
      </c>
      <c r="P28" s="11" t="s">
        <v>36</v>
      </c>
      <c r="Q28" s="11" t="s">
        <v>45</v>
      </c>
      <c r="R28" s="10" t="s">
        <v>152</v>
      </c>
    </row>
    <row r="29" customFormat="false" ht="42" hidden="false" customHeight="true" outlineLevel="0" collapsed="false">
      <c r="A29" s="13" t="n">
        <v>28</v>
      </c>
      <c r="B29" s="4" t="s">
        <v>141</v>
      </c>
      <c r="C29" s="4" t="s">
        <v>153</v>
      </c>
      <c r="D29" s="4" t="s">
        <v>154</v>
      </c>
      <c r="E29" s="14"/>
      <c r="F29" s="14" t="s">
        <v>41</v>
      </c>
      <c r="G29" s="14"/>
      <c r="H29" s="14"/>
      <c r="I29" s="14"/>
      <c r="J29" s="14"/>
      <c r="K29" s="14" t="n">
        <f aca="false">COUNTA(E29:J29)</f>
        <v>1</v>
      </c>
      <c r="L29" s="4" t="s">
        <v>155</v>
      </c>
      <c r="M29" s="4" t="s">
        <v>36</v>
      </c>
      <c r="N29" s="14" t="n">
        <v>0</v>
      </c>
      <c r="O29" s="13" t="n">
        <v>4</v>
      </c>
      <c r="P29" s="14" t="s">
        <v>36</v>
      </c>
      <c r="Q29" s="14" t="s">
        <v>45</v>
      </c>
      <c r="R29" s="4" t="s">
        <v>109</v>
      </c>
    </row>
    <row r="30" customFormat="false" ht="42" hidden="false" customHeight="true" outlineLevel="0" collapsed="false">
      <c r="A30" s="9" t="n">
        <v>29</v>
      </c>
      <c r="B30" s="10" t="s">
        <v>141</v>
      </c>
      <c r="C30" s="10" t="s">
        <v>156</v>
      </c>
      <c r="D30" s="10" t="s">
        <v>157</v>
      </c>
      <c r="E30" s="11"/>
      <c r="F30" s="11" t="s">
        <v>41</v>
      </c>
      <c r="G30" s="11" t="s">
        <v>41</v>
      </c>
      <c r="H30" s="11"/>
      <c r="I30" s="11"/>
      <c r="J30" s="11"/>
      <c r="K30" s="11" t="n">
        <f aca="false">COUNTA(E30:J30)</f>
        <v>2</v>
      </c>
      <c r="L30" s="10" t="s">
        <v>158</v>
      </c>
      <c r="M30" s="10" t="s">
        <v>36</v>
      </c>
      <c r="N30" s="11" t="n">
        <v>0</v>
      </c>
      <c r="O30" s="12" t="n">
        <v>5</v>
      </c>
      <c r="P30" s="11" t="s">
        <v>36</v>
      </c>
      <c r="Q30" s="11" t="s">
        <v>61</v>
      </c>
      <c r="R30" s="10" t="s">
        <v>94</v>
      </c>
    </row>
    <row r="31" customFormat="false" ht="42" hidden="false" customHeight="true" outlineLevel="0" collapsed="false">
      <c r="A31" s="13" t="n">
        <v>30</v>
      </c>
      <c r="B31" s="4" t="s">
        <v>141</v>
      </c>
      <c r="C31" s="4" t="s">
        <v>159</v>
      </c>
      <c r="D31" s="4" t="s">
        <v>160</v>
      </c>
      <c r="E31" s="14"/>
      <c r="F31" s="14"/>
      <c r="G31" s="14" t="s">
        <v>41</v>
      </c>
      <c r="H31" s="14"/>
      <c r="I31" s="14"/>
      <c r="J31" s="14"/>
      <c r="K31" s="14" t="n">
        <f aca="false">COUNTA(E31:J31)</f>
        <v>1</v>
      </c>
      <c r="L31" s="4" t="s">
        <v>161</v>
      </c>
      <c r="M31" s="4" t="s">
        <v>162</v>
      </c>
      <c r="N31" s="14" t="n">
        <v>0</v>
      </c>
      <c r="O31" s="15" t="n">
        <v>5</v>
      </c>
      <c r="P31" s="14" t="s">
        <v>44</v>
      </c>
      <c r="Q31" s="14" t="s">
        <v>45</v>
      </c>
      <c r="R31" s="4" t="s">
        <v>163</v>
      </c>
    </row>
    <row r="32" customFormat="false" ht="42" hidden="false" customHeight="true" outlineLevel="0" collapsed="false">
      <c r="A32" s="9" t="n">
        <v>31</v>
      </c>
      <c r="B32" s="10" t="s">
        <v>141</v>
      </c>
      <c r="C32" s="10" t="s">
        <v>164</v>
      </c>
      <c r="D32" s="10" t="s">
        <v>165</v>
      </c>
      <c r="E32" s="11"/>
      <c r="F32" s="11" t="s">
        <v>41</v>
      </c>
      <c r="G32" s="11"/>
      <c r="H32" s="11"/>
      <c r="I32" s="11"/>
      <c r="J32" s="11"/>
      <c r="K32" s="11" t="n">
        <f aca="false">COUNTA(E32:J32)</f>
        <v>1</v>
      </c>
      <c r="L32" s="10" t="s">
        <v>166</v>
      </c>
      <c r="M32" s="10" t="s">
        <v>66</v>
      </c>
      <c r="N32" s="11" t="n">
        <v>112</v>
      </c>
      <c r="O32" s="12" t="n">
        <v>5</v>
      </c>
      <c r="P32" s="11" t="s">
        <v>44</v>
      </c>
      <c r="Q32" s="11" t="s">
        <v>45</v>
      </c>
      <c r="R32" s="10" t="s">
        <v>124</v>
      </c>
    </row>
    <row r="33" customFormat="false" ht="42" hidden="false" customHeight="true" outlineLevel="0" collapsed="false">
      <c r="A33" s="13" t="n">
        <v>32</v>
      </c>
      <c r="B33" s="4" t="s">
        <v>167</v>
      </c>
      <c r="C33" s="4" t="s">
        <v>168</v>
      </c>
      <c r="D33" s="4" t="s">
        <v>169</v>
      </c>
      <c r="E33" s="14"/>
      <c r="F33" s="14"/>
      <c r="G33" s="14"/>
      <c r="H33" s="14"/>
      <c r="I33" s="14" t="s">
        <v>41</v>
      </c>
      <c r="J33" s="14"/>
      <c r="K33" s="14" t="n">
        <f aca="false">COUNTA(E33:J33)</f>
        <v>1</v>
      </c>
      <c r="L33" s="4" t="s">
        <v>170</v>
      </c>
      <c r="M33" s="4" t="s">
        <v>36</v>
      </c>
      <c r="N33" s="14" t="n">
        <v>0</v>
      </c>
      <c r="O33" s="13" t="n">
        <v>4</v>
      </c>
      <c r="P33" s="14" t="s">
        <v>36</v>
      </c>
      <c r="Q33" s="14" t="s">
        <v>131</v>
      </c>
      <c r="R33" s="4" t="s">
        <v>171</v>
      </c>
    </row>
    <row r="34" customFormat="false" ht="42" hidden="false" customHeight="true" outlineLevel="0" collapsed="false">
      <c r="A34" s="9" t="n">
        <v>33</v>
      </c>
      <c r="B34" s="10" t="s">
        <v>167</v>
      </c>
      <c r="C34" s="10" t="s">
        <v>172</v>
      </c>
      <c r="D34" s="10" t="s">
        <v>173</v>
      </c>
      <c r="E34" s="11"/>
      <c r="F34" s="11"/>
      <c r="G34" s="11"/>
      <c r="H34" s="11"/>
      <c r="I34" s="11" t="s">
        <v>41</v>
      </c>
      <c r="J34" s="11"/>
      <c r="K34" s="11" t="n">
        <f aca="false">COUNTA(E34:J34)</f>
        <v>1</v>
      </c>
      <c r="L34" s="10" t="s">
        <v>88</v>
      </c>
      <c r="M34" s="10" t="s">
        <v>89</v>
      </c>
      <c r="N34" s="11" t="n">
        <v>88</v>
      </c>
      <c r="O34" s="12" t="n">
        <v>5</v>
      </c>
      <c r="P34" s="11" t="s">
        <v>44</v>
      </c>
      <c r="Q34" s="11" t="s">
        <v>131</v>
      </c>
      <c r="R34" s="10" t="s">
        <v>106</v>
      </c>
    </row>
    <row r="35" customFormat="false" ht="42" hidden="false" customHeight="true" outlineLevel="0" collapsed="false">
      <c r="A35" s="13" t="n">
        <v>34</v>
      </c>
      <c r="B35" s="4" t="s">
        <v>167</v>
      </c>
      <c r="C35" s="4" t="s">
        <v>174</v>
      </c>
      <c r="D35" s="4" t="s">
        <v>175</v>
      </c>
      <c r="E35" s="14"/>
      <c r="F35" s="14"/>
      <c r="G35" s="14"/>
      <c r="H35" s="14"/>
      <c r="I35" s="14" t="s">
        <v>41</v>
      </c>
      <c r="J35" s="14"/>
      <c r="K35" s="14" t="n">
        <f aca="false">COUNTA(E35:J35)</f>
        <v>1</v>
      </c>
      <c r="L35" s="4" t="s">
        <v>176</v>
      </c>
      <c r="M35" s="4" t="s">
        <v>36</v>
      </c>
      <c r="N35" s="14" t="n">
        <v>0</v>
      </c>
      <c r="O35" s="15" t="n">
        <v>5</v>
      </c>
      <c r="P35" s="14" t="s">
        <v>36</v>
      </c>
      <c r="Q35" s="14" t="s">
        <v>131</v>
      </c>
      <c r="R35" s="4" t="s">
        <v>171</v>
      </c>
    </row>
    <row r="36" customFormat="false" ht="42" hidden="false" customHeight="true" outlineLevel="0" collapsed="false">
      <c r="A36" s="9" t="n">
        <v>35</v>
      </c>
      <c r="B36" s="10" t="s">
        <v>167</v>
      </c>
      <c r="C36" s="10" t="s">
        <v>177</v>
      </c>
      <c r="D36" s="10" t="s">
        <v>178</v>
      </c>
      <c r="E36" s="11"/>
      <c r="F36" s="11"/>
      <c r="G36" s="11"/>
      <c r="H36" s="11"/>
      <c r="I36" s="11" t="s">
        <v>41</v>
      </c>
      <c r="J36" s="11"/>
      <c r="K36" s="11" t="n">
        <f aca="false">COUNTA(E36:J36)</f>
        <v>1</v>
      </c>
      <c r="L36" s="10" t="s">
        <v>179</v>
      </c>
      <c r="M36" s="10" t="s">
        <v>180</v>
      </c>
      <c r="N36" s="11" t="n">
        <v>16</v>
      </c>
      <c r="O36" s="12" t="n">
        <v>5</v>
      </c>
      <c r="P36" s="11" t="s">
        <v>44</v>
      </c>
      <c r="Q36" s="11" t="s">
        <v>131</v>
      </c>
      <c r="R36" s="10" t="s">
        <v>106</v>
      </c>
    </row>
    <row r="37" customFormat="false" ht="42" hidden="false" customHeight="true" outlineLevel="0" collapsed="false">
      <c r="A37" s="13" t="n">
        <v>36</v>
      </c>
      <c r="B37" s="4" t="s">
        <v>167</v>
      </c>
      <c r="C37" s="4" t="s">
        <v>181</v>
      </c>
      <c r="D37" s="4" t="s">
        <v>182</v>
      </c>
      <c r="E37" s="14"/>
      <c r="F37" s="14"/>
      <c r="G37" s="14"/>
      <c r="H37" s="14"/>
      <c r="I37" s="14" t="s">
        <v>41</v>
      </c>
      <c r="J37" s="14"/>
      <c r="K37" s="14" t="n">
        <f aca="false">COUNTA(E37:J37)</f>
        <v>1</v>
      </c>
      <c r="L37" s="4" t="s">
        <v>183</v>
      </c>
      <c r="M37" s="4" t="s">
        <v>184</v>
      </c>
      <c r="N37" s="14" t="n">
        <v>20</v>
      </c>
      <c r="O37" s="15" t="n">
        <v>5</v>
      </c>
      <c r="P37" s="14" t="s">
        <v>44</v>
      </c>
      <c r="Q37" s="14" t="s">
        <v>131</v>
      </c>
      <c r="R37" s="4" t="s">
        <v>171</v>
      </c>
    </row>
    <row r="38" customFormat="false" ht="42" hidden="false" customHeight="true" outlineLevel="0" collapsed="false">
      <c r="A38" s="9" t="n">
        <v>37</v>
      </c>
      <c r="B38" s="10" t="s">
        <v>167</v>
      </c>
      <c r="C38" s="10" t="s">
        <v>185</v>
      </c>
      <c r="D38" s="10" t="s">
        <v>186</v>
      </c>
      <c r="E38" s="11"/>
      <c r="F38" s="11"/>
      <c r="G38" s="11"/>
      <c r="H38" s="11"/>
      <c r="I38" s="11" t="s">
        <v>41</v>
      </c>
      <c r="J38" s="11"/>
      <c r="K38" s="11" t="n">
        <f aca="false">COUNTA(E38:J38)</f>
        <v>1</v>
      </c>
      <c r="L38" s="10" t="s">
        <v>187</v>
      </c>
      <c r="M38" s="10" t="s">
        <v>188</v>
      </c>
      <c r="N38" s="11" t="n">
        <v>13</v>
      </c>
      <c r="O38" s="12" t="n">
        <v>5</v>
      </c>
      <c r="P38" s="11" t="s">
        <v>44</v>
      </c>
      <c r="Q38" s="11" t="s">
        <v>45</v>
      </c>
      <c r="R38" s="10" t="s">
        <v>109</v>
      </c>
    </row>
    <row r="39" customFormat="false" ht="42" hidden="false" customHeight="true" outlineLevel="0" collapsed="false">
      <c r="A39" s="13" t="n">
        <v>38</v>
      </c>
      <c r="B39" s="4" t="s">
        <v>167</v>
      </c>
      <c r="C39" s="4" t="s">
        <v>189</v>
      </c>
      <c r="D39" s="4" t="s">
        <v>190</v>
      </c>
      <c r="E39" s="14"/>
      <c r="F39" s="14"/>
      <c r="G39" s="14"/>
      <c r="H39" s="14"/>
      <c r="I39" s="14" t="s">
        <v>41</v>
      </c>
      <c r="J39" s="14"/>
      <c r="K39" s="14" t="n">
        <f aca="false">COUNTA(E39:J39)</f>
        <v>1</v>
      </c>
      <c r="L39" s="4" t="s">
        <v>191</v>
      </c>
      <c r="M39" s="4" t="s">
        <v>36</v>
      </c>
      <c r="N39" s="14" t="n">
        <v>0</v>
      </c>
      <c r="O39" s="15" t="n">
        <v>5</v>
      </c>
      <c r="P39" s="14" t="s">
        <v>36</v>
      </c>
      <c r="Q39" s="14" t="s">
        <v>131</v>
      </c>
      <c r="R39" s="4" t="s">
        <v>171</v>
      </c>
    </row>
    <row r="40" customFormat="false" ht="42" hidden="false" customHeight="true" outlineLevel="0" collapsed="false">
      <c r="A40" s="9" t="n">
        <v>39</v>
      </c>
      <c r="B40" s="10" t="s">
        <v>167</v>
      </c>
      <c r="C40" s="10" t="s">
        <v>192</v>
      </c>
      <c r="D40" s="10" t="s">
        <v>193</v>
      </c>
      <c r="E40" s="11"/>
      <c r="F40" s="11" t="s">
        <v>41</v>
      </c>
      <c r="G40" s="11"/>
      <c r="H40" s="11"/>
      <c r="I40" s="11"/>
      <c r="J40" s="11"/>
      <c r="K40" s="11" t="n">
        <f aca="false">COUNTA(E40:J40)</f>
        <v>1</v>
      </c>
      <c r="L40" s="10" t="s">
        <v>194</v>
      </c>
      <c r="M40" s="10" t="s">
        <v>195</v>
      </c>
      <c r="N40" s="11" t="n">
        <v>1</v>
      </c>
      <c r="O40" s="12" t="n">
        <v>5</v>
      </c>
      <c r="P40" s="11" t="s">
        <v>44</v>
      </c>
      <c r="Q40" s="11" t="s">
        <v>131</v>
      </c>
      <c r="R40" s="10" t="s">
        <v>171</v>
      </c>
    </row>
    <row r="41" customFormat="false" ht="42" hidden="false" customHeight="true" outlineLevel="0" collapsed="false">
      <c r="A41" s="13" t="n">
        <v>40</v>
      </c>
      <c r="B41" s="4" t="s">
        <v>167</v>
      </c>
      <c r="C41" s="4" t="s">
        <v>196</v>
      </c>
      <c r="D41" s="4" t="s">
        <v>197</v>
      </c>
      <c r="E41" s="14"/>
      <c r="F41" s="14" t="s">
        <v>41</v>
      </c>
      <c r="G41" s="14"/>
      <c r="H41" s="14"/>
      <c r="I41" s="14"/>
      <c r="J41" s="14"/>
      <c r="K41" s="14" t="n">
        <f aca="false">COUNTA(E41:J41)</f>
        <v>1</v>
      </c>
      <c r="L41" s="4" t="s">
        <v>183</v>
      </c>
      <c r="M41" s="4" t="s">
        <v>184</v>
      </c>
      <c r="N41" s="14" t="n">
        <v>20</v>
      </c>
      <c r="O41" s="15" t="n">
        <v>5</v>
      </c>
      <c r="P41" s="14" t="s">
        <v>44</v>
      </c>
      <c r="Q41" s="14" t="s">
        <v>131</v>
      </c>
      <c r="R41" s="4" t="s">
        <v>102</v>
      </c>
    </row>
    <row r="42" customFormat="false" ht="42" hidden="false" customHeight="true" outlineLevel="0" collapsed="false">
      <c r="A42" s="9" t="n">
        <v>41</v>
      </c>
      <c r="B42" s="10" t="s">
        <v>167</v>
      </c>
      <c r="C42" s="10" t="s">
        <v>198</v>
      </c>
      <c r="D42" s="10" t="s">
        <v>199</v>
      </c>
      <c r="E42" s="11"/>
      <c r="F42" s="11" t="s">
        <v>41</v>
      </c>
      <c r="G42" s="11"/>
      <c r="H42" s="11" t="s">
        <v>41</v>
      </c>
      <c r="I42" s="11"/>
      <c r="J42" s="11"/>
      <c r="K42" s="11" t="n">
        <f aca="false">COUNTA(E42:J42)</f>
        <v>2</v>
      </c>
      <c r="L42" s="10" t="s">
        <v>70</v>
      </c>
      <c r="M42" s="10" t="s">
        <v>71</v>
      </c>
      <c r="N42" s="11" t="n">
        <v>14</v>
      </c>
      <c r="O42" s="12" t="n">
        <v>5</v>
      </c>
      <c r="P42" s="11" t="s">
        <v>44</v>
      </c>
      <c r="Q42" s="11" t="s">
        <v>45</v>
      </c>
      <c r="R42" s="10" t="s">
        <v>77</v>
      </c>
    </row>
    <row r="43" customFormat="false" ht="42" hidden="false" customHeight="true" outlineLevel="0" collapsed="false">
      <c r="A43" s="13" t="n">
        <v>42</v>
      </c>
      <c r="B43" s="4" t="s">
        <v>167</v>
      </c>
      <c r="C43" s="4" t="s">
        <v>200</v>
      </c>
      <c r="D43" s="4" t="s">
        <v>201</v>
      </c>
      <c r="E43" s="14"/>
      <c r="F43" s="14"/>
      <c r="G43" s="14"/>
      <c r="H43" s="14"/>
      <c r="I43" s="14" t="s">
        <v>41</v>
      </c>
      <c r="J43" s="14"/>
      <c r="K43" s="14" t="n">
        <f aca="false">COUNTA(E43:J43)</f>
        <v>1</v>
      </c>
      <c r="L43" s="4" t="s">
        <v>202</v>
      </c>
      <c r="M43" s="4" t="s">
        <v>89</v>
      </c>
      <c r="N43" s="14" t="n">
        <v>88</v>
      </c>
      <c r="O43" s="15" t="n">
        <v>5</v>
      </c>
      <c r="P43" s="14" t="s">
        <v>44</v>
      </c>
      <c r="Q43" s="14" t="s">
        <v>131</v>
      </c>
      <c r="R43" s="4" t="s">
        <v>171</v>
      </c>
    </row>
    <row r="44" customFormat="false" ht="42" hidden="false" customHeight="true" outlineLevel="0" collapsed="false">
      <c r="A44" s="9" t="n">
        <v>43</v>
      </c>
      <c r="B44" s="10" t="s">
        <v>203</v>
      </c>
      <c r="C44" s="10" t="s">
        <v>204</v>
      </c>
      <c r="D44" s="10" t="s">
        <v>205</v>
      </c>
      <c r="E44" s="11"/>
      <c r="F44" s="11" t="s">
        <v>41</v>
      </c>
      <c r="G44" s="11"/>
      <c r="H44" s="11"/>
      <c r="I44" s="11"/>
      <c r="J44" s="11"/>
      <c r="K44" s="11" t="n">
        <f aca="false">COUNTA(E44:J44)</f>
        <v>1</v>
      </c>
      <c r="L44" s="10" t="s">
        <v>187</v>
      </c>
      <c r="M44" s="10" t="s">
        <v>188</v>
      </c>
      <c r="N44" s="11" t="n">
        <v>13</v>
      </c>
      <c r="O44" s="12" t="n">
        <v>5</v>
      </c>
      <c r="P44" s="11" t="s">
        <v>44</v>
      </c>
      <c r="Q44" s="11" t="s">
        <v>45</v>
      </c>
      <c r="R44" s="10" t="s">
        <v>124</v>
      </c>
    </row>
    <row r="45" customFormat="false" ht="42" hidden="false" customHeight="true" outlineLevel="0" collapsed="false">
      <c r="A45" s="13" t="n">
        <v>44</v>
      </c>
      <c r="B45" s="4" t="s">
        <v>203</v>
      </c>
      <c r="C45" s="4" t="s">
        <v>206</v>
      </c>
      <c r="D45" s="4" t="s">
        <v>207</v>
      </c>
      <c r="E45" s="14"/>
      <c r="F45" s="14" t="s">
        <v>41</v>
      </c>
      <c r="G45" s="14"/>
      <c r="H45" s="14"/>
      <c r="I45" s="14"/>
      <c r="J45" s="14"/>
      <c r="K45" s="14" t="n">
        <f aca="false">COUNTA(E45:J45)</f>
        <v>1</v>
      </c>
      <c r="L45" s="4" t="s">
        <v>208</v>
      </c>
      <c r="M45" s="4" t="s">
        <v>209</v>
      </c>
      <c r="N45" s="14" t="n">
        <v>16</v>
      </c>
      <c r="O45" s="15" t="n">
        <v>5</v>
      </c>
      <c r="P45" s="14" t="s">
        <v>44</v>
      </c>
      <c r="Q45" s="14" t="s">
        <v>131</v>
      </c>
      <c r="R45" s="4" t="s">
        <v>140</v>
      </c>
    </row>
    <row r="46" customFormat="false" ht="42" hidden="false" customHeight="true" outlineLevel="0" collapsed="false">
      <c r="A46" s="9" t="n">
        <v>45</v>
      </c>
      <c r="B46" s="10" t="s">
        <v>203</v>
      </c>
      <c r="C46" s="10" t="s">
        <v>210</v>
      </c>
      <c r="D46" s="10" t="s">
        <v>211</v>
      </c>
      <c r="E46" s="11"/>
      <c r="F46" s="11" t="s">
        <v>41</v>
      </c>
      <c r="G46" s="11"/>
      <c r="H46" s="11"/>
      <c r="I46" s="11"/>
      <c r="J46" s="11"/>
      <c r="K46" s="11" t="n">
        <f aca="false">COUNTA(E46:J46)</f>
        <v>1</v>
      </c>
      <c r="L46" s="10" t="s">
        <v>212</v>
      </c>
      <c r="M46" s="10" t="s">
        <v>36</v>
      </c>
      <c r="N46" s="11" t="n">
        <v>0</v>
      </c>
      <c r="O46" s="12" t="n">
        <v>5</v>
      </c>
      <c r="P46" s="11" t="s">
        <v>36</v>
      </c>
      <c r="Q46" s="11" t="s">
        <v>131</v>
      </c>
      <c r="R46" s="10" t="s">
        <v>102</v>
      </c>
    </row>
    <row r="47" customFormat="false" ht="42" hidden="false" customHeight="true" outlineLevel="0" collapsed="false">
      <c r="A47" s="13" t="n">
        <v>46</v>
      </c>
      <c r="B47" s="4" t="s">
        <v>203</v>
      </c>
      <c r="C47" s="4" t="s">
        <v>213</v>
      </c>
      <c r="D47" s="4" t="s">
        <v>214</v>
      </c>
      <c r="E47" s="14"/>
      <c r="F47" s="14" t="s">
        <v>41</v>
      </c>
      <c r="G47" s="14" t="s">
        <v>41</v>
      </c>
      <c r="H47" s="14"/>
      <c r="I47" s="14"/>
      <c r="J47" s="14"/>
      <c r="K47" s="14" t="n">
        <f aca="false">COUNTA(E47:J47)</f>
        <v>2</v>
      </c>
      <c r="L47" s="4" t="s">
        <v>215</v>
      </c>
      <c r="M47" s="4" t="s">
        <v>216</v>
      </c>
      <c r="N47" s="14" t="n">
        <v>17</v>
      </c>
      <c r="O47" s="15" t="n">
        <v>5</v>
      </c>
      <c r="P47" s="14" t="s">
        <v>44</v>
      </c>
      <c r="Q47" s="14" t="s">
        <v>61</v>
      </c>
      <c r="R47" s="4" t="s">
        <v>217</v>
      </c>
    </row>
    <row r="48" customFormat="false" ht="42" hidden="false" customHeight="true" outlineLevel="0" collapsed="false">
      <c r="A48" s="9" t="n">
        <v>47</v>
      </c>
      <c r="B48" s="10" t="s">
        <v>203</v>
      </c>
      <c r="C48" s="10" t="s">
        <v>218</v>
      </c>
      <c r="D48" s="10" t="s">
        <v>219</v>
      </c>
      <c r="E48" s="11"/>
      <c r="F48" s="11"/>
      <c r="G48" s="11" t="s">
        <v>41</v>
      </c>
      <c r="H48" s="11"/>
      <c r="I48" s="11"/>
      <c r="J48" s="11"/>
      <c r="K48" s="11" t="n">
        <f aca="false">COUNTA(E48:J48)</f>
        <v>1</v>
      </c>
      <c r="L48" s="10" t="s">
        <v>220</v>
      </c>
      <c r="M48" s="10" t="s">
        <v>221</v>
      </c>
      <c r="N48" s="11" t="n">
        <v>157</v>
      </c>
      <c r="O48" s="12" t="n">
        <v>5</v>
      </c>
      <c r="P48" s="11" t="s">
        <v>44</v>
      </c>
      <c r="Q48" s="11" t="s">
        <v>61</v>
      </c>
      <c r="R48" s="10" t="s">
        <v>222</v>
      </c>
    </row>
    <row r="49" customFormat="false" ht="42" hidden="false" customHeight="true" outlineLevel="0" collapsed="false">
      <c r="A49" s="13" t="n">
        <v>48</v>
      </c>
      <c r="B49" s="4" t="s">
        <v>203</v>
      </c>
      <c r="C49" s="4" t="s">
        <v>223</v>
      </c>
      <c r="D49" s="4" t="s">
        <v>224</v>
      </c>
      <c r="E49" s="14"/>
      <c r="F49" s="14"/>
      <c r="G49" s="14" t="s">
        <v>41</v>
      </c>
      <c r="H49" s="14"/>
      <c r="I49" s="14"/>
      <c r="J49" s="14"/>
      <c r="K49" s="14" t="n">
        <f aca="false">COUNTA(E49:J49)</f>
        <v>1</v>
      </c>
      <c r="L49" s="4" t="s">
        <v>225</v>
      </c>
      <c r="M49" s="4" t="s">
        <v>43</v>
      </c>
      <c r="N49" s="14" t="n">
        <v>228</v>
      </c>
      <c r="O49" s="15" t="n">
        <v>5</v>
      </c>
      <c r="P49" s="14" t="s">
        <v>44</v>
      </c>
      <c r="Q49" s="14" t="s">
        <v>61</v>
      </c>
      <c r="R49" s="4" t="s">
        <v>140</v>
      </c>
    </row>
    <row r="50" customFormat="false" ht="42" hidden="false" customHeight="true" outlineLevel="0" collapsed="false">
      <c r="A50" s="9" t="n">
        <v>49</v>
      </c>
      <c r="B50" s="10" t="s">
        <v>203</v>
      </c>
      <c r="C50" s="10" t="s">
        <v>226</v>
      </c>
      <c r="D50" s="10" t="s">
        <v>227</v>
      </c>
      <c r="E50" s="11" t="s">
        <v>41</v>
      </c>
      <c r="F50" s="11"/>
      <c r="G50" s="11"/>
      <c r="H50" s="11"/>
      <c r="I50" s="11"/>
      <c r="J50" s="11"/>
      <c r="K50" s="11" t="n">
        <f aca="false">COUNTA(E50:J50)</f>
        <v>1</v>
      </c>
      <c r="L50" s="10" t="s">
        <v>228</v>
      </c>
      <c r="M50" s="10" t="s">
        <v>71</v>
      </c>
      <c r="N50" s="11" t="n">
        <v>14</v>
      </c>
      <c r="O50" s="12" t="n">
        <v>5</v>
      </c>
      <c r="P50" s="11" t="s">
        <v>44</v>
      </c>
      <c r="Q50" s="11" t="s">
        <v>61</v>
      </c>
      <c r="R50" s="10" t="s">
        <v>229</v>
      </c>
    </row>
    <row r="51" customFormat="false" ht="42" hidden="false" customHeight="true" outlineLevel="0" collapsed="false">
      <c r="A51" s="13" t="n">
        <v>50</v>
      </c>
      <c r="B51" s="4" t="s">
        <v>203</v>
      </c>
      <c r="C51" s="4" t="s">
        <v>230</v>
      </c>
      <c r="D51" s="4" t="s">
        <v>231</v>
      </c>
      <c r="E51" s="14"/>
      <c r="F51" s="14"/>
      <c r="G51" s="14" t="s">
        <v>41</v>
      </c>
      <c r="H51" s="14"/>
      <c r="I51" s="14"/>
      <c r="J51" s="14"/>
      <c r="K51" s="14" t="n">
        <f aca="false">COUNTA(E51:J51)</f>
        <v>1</v>
      </c>
      <c r="L51" s="4" t="s">
        <v>232</v>
      </c>
      <c r="M51" s="4" t="s">
        <v>233</v>
      </c>
      <c r="N51" s="14" t="n">
        <v>273</v>
      </c>
      <c r="O51" s="15" t="n">
        <v>5</v>
      </c>
      <c r="P51" s="14" t="s">
        <v>44</v>
      </c>
      <c r="Q51" s="14" t="s">
        <v>131</v>
      </c>
      <c r="R51" s="4" t="s">
        <v>72</v>
      </c>
    </row>
    <row r="52" customFormat="false" ht="42" hidden="false" customHeight="true" outlineLevel="0" collapsed="false">
      <c r="A52" s="9" t="n">
        <v>51</v>
      </c>
      <c r="B52" s="10" t="s">
        <v>203</v>
      </c>
      <c r="C52" s="10" t="s">
        <v>234</v>
      </c>
      <c r="D52" s="10" t="s">
        <v>235</v>
      </c>
      <c r="E52" s="11"/>
      <c r="F52" s="11" t="s">
        <v>41</v>
      </c>
      <c r="G52" s="11"/>
      <c r="H52" s="11"/>
      <c r="I52" s="11"/>
      <c r="J52" s="11"/>
      <c r="K52" s="11" t="n">
        <f aca="false">COUNTA(E52:J52)</f>
        <v>1</v>
      </c>
      <c r="L52" s="10" t="s">
        <v>138</v>
      </c>
      <c r="M52" s="10" t="s">
        <v>139</v>
      </c>
      <c r="N52" s="11" t="n">
        <v>16</v>
      </c>
      <c r="O52" s="12" t="n">
        <v>5</v>
      </c>
      <c r="P52" s="11" t="s">
        <v>44</v>
      </c>
      <c r="Q52" s="11" t="s">
        <v>61</v>
      </c>
      <c r="R52" s="10" t="s">
        <v>236</v>
      </c>
    </row>
    <row r="53" customFormat="false" ht="42" hidden="false" customHeight="true" outlineLevel="0" collapsed="false">
      <c r="A53" s="13" t="n">
        <v>52</v>
      </c>
      <c r="B53" s="4" t="s">
        <v>203</v>
      </c>
      <c r="C53" s="4" t="s">
        <v>237</v>
      </c>
      <c r="D53" s="4" t="s">
        <v>238</v>
      </c>
      <c r="E53" s="14"/>
      <c r="F53" s="14" t="s">
        <v>41</v>
      </c>
      <c r="G53" s="14"/>
      <c r="H53" s="14"/>
      <c r="I53" s="14"/>
      <c r="J53" s="14"/>
      <c r="K53" s="14" t="n">
        <f aca="false">COUNTA(E53:J53)</f>
        <v>1</v>
      </c>
      <c r="L53" s="4" t="s">
        <v>239</v>
      </c>
      <c r="M53" s="4" t="s">
        <v>240</v>
      </c>
      <c r="N53" s="14" t="n">
        <v>520</v>
      </c>
      <c r="O53" s="15" t="n">
        <v>5</v>
      </c>
      <c r="P53" s="14" t="s">
        <v>44</v>
      </c>
      <c r="Q53" s="14" t="s">
        <v>45</v>
      </c>
      <c r="R53" s="4" t="s">
        <v>72</v>
      </c>
    </row>
    <row r="54" customFormat="false" ht="42" hidden="false" customHeight="true" outlineLevel="0" collapsed="false">
      <c r="A54" s="9" t="n">
        <v>53</v>
      </c>
      <c r="B54" s="10" t="s">
        <v>203</v>
      </c>
      <c r="C54" s="10" t="s">
        <v>241</v>
      </c>
      <c r="D54" s="10" t="s">
        <v>242</v>
      </c>
      <c r="E54" s="11" t="s">
        <v>41</v>
      </c>
      <c r="F54" s="11"/>
      <c r="G54" s="11"/>
      <c r="H54" s="11"/>
      <c r="I54" s="11"/>
      <c r="J54" s="11"/>
      <c r="K54" s="11" t="n">
        <f aca="false">COUNTA(E54:J54)</f>
        <v>1</v>
      </c>
      <c r="L54" s="10" t="s">
        <v>243</v>
      </c>
      <c r="M54" s="10" t="s">
        <v>36</v>
      </c>
      <c r="N54" s="11" t="n">
        <v>0</v>
      </c>
      <c r="O54" s="12" t="n">
        <v>5</v>
      </c>
      <c r="P54" s="11" t="s">
        <v>36</v>
      </c>
      <c r="Q54" s="11" t="s">
        <v>244</v>
      </c>
      <c r="R54" s="10" t="s">
        <v>245</v>
      </c>
    </row>
    <row r="55" customFormat="false" ht="42" hidden="false" customHeight="true" outlineLevel="0" collapsed="false">
      <c r="A55" s="13" t="n">
        <v>54</v>
      </c>
      <c r="B55" s="4" t="s">
        <v>246</v>
      </c>
      <c r="C55" s="4" t="s">
        <v>247</v>
      </c>
      <c r="D55" s="4" t="s">
        <v>248</v>
      </c>
      <c r="E55" s="14" t="s">
        <v>41</v>
      </c>
      <c r="F55" s="14"/>
      <c r="G55" s="14"/>
      <c r="H55" s="14"/>
      <c r="I55" s="14"/>
      <c r="J55" s="14"/>
      <c r="K55" s="14" t="n">
        <f aca="false">COUNTA(E55:J55)</f>
        <v>1</v>
      </c>
      <c r="L55" s="4" t="s">
        <v>249</v>
      </c>
      <c r="M55" s="4" t="s">
        <v>250</v>
      </c>
      <c r="N55" s="14" t="n">
        <v>0</v>
      </c>
      <c r="O55" s="15" t="n">
        <v>5</v>
      </c>
      <c r="P55" s="14" t="s">
        <v>250</v>
      </c>
      <c r="Q55" s="14" t="s">
        <v>244</v>
      </c>
      <c r="R55" s="4" t="s">
        <v>251</v>
      </c>
    </row>
    <row r="56" customFormat="false" ht="42" hidden="false" customHeight="true" outlineLevel="0" collapsed="false">
      <c r="A56" s="9" t="n">
        <v>55</v>
      </c>
      <c r="B56" s="10" t="s">
        <v>246</v>
      </c>
      <c r="C56" s="10" t="s">
        <v>252</v>
      </c>
      <c r="D56" s="10" t="s">
        <v>253</v>
      </c>
      <c r="E56" s="11" t="s">
        <v>41</v>
      </c>
      <c r="F56" s="11"/>
      <c r="G56" s="11"/>
      <c r="H56" s="11"/>
      <c r="I56" s="11"/>
      <c r="J56" s="11"/>
      <c r="K56" s="11" t="n">
        <f aca="false">COUNTA(E56:J56)</f>
        <v>1</v>
      </c>
      <c r="L56" s="10" t="s">
        <v>249</v>
      </c>
      <c r="M56" s="10" t="s">
        <v>250</v>
      </c>
      <c r="N56" s="11" t="n">
        <v>0</v>
      </c>
      <c r="O56" s="12" t="n">
        <v>5</v>
      </c>
      <c r="P56" s="11" t="s">
        <v>250</v>
      </c>
      <c r="Q56" s="11" t="s">
        <v>244</v>
      </c>
      <c r="R56" s="10" t="s">
        <v>251</v>
      </c>
    </row>
    <row r="57" customFormat="false" ht="42" hidden="false" customHeight="true" outlineLevel="0" collapsed="false">
      <c r="A57" s="13" t="n">
        <v>56</v>
      </c>
      <c r="B57" s="4" t="s">
        <v>246</v>
      </c>
      <c r="C57" s="4" t="s">
        <v>254</v>
      </c>
      <c r="D57" s="4" t="s">
        <v>255</v>
      </c>
      <c r="E57" s="14" t="s">
        <v>41</v>
      </c>
      <c r="F57" s="14"/>
      <c r="G57" s="14"/>
      <c r="H57" s="14"/>
      <c r="I57" s="14"/>
      <c r="J57" s="14"/>
      <c r="K57" s="14" t="n">
        <f aca="false">COUNTA(E57:J57)</f>
        <v>1</v>
      </c>
      <c r="L57" s="4" t="s">
        <v>256</v>
      </c>
      <c r="M57" s="4" t="s">
        <v>36</v>
      </c>
      <c r="N57" s="14" t="n">
        <v>0</v>
      </c>
      <c r="O57" s="13" t="n">
        <v>4</v>
      </c>
      <c r="P57" s="14" t="s">
        <v>36</v>
      </c>
      <c r="Q57" s="14" t="s">
        <v>244</v>
      </c>
      <c r="R57" s="4" t="s">
        <v>257</v>
      </c>
    </row>
    <row r="58" customFormat="false" ht="42" hidden="false" customHeight="true" outlineLevel="0" collapsed="false">
      <c r="A58" s="9" t="n">
        <v>57</v>
      </c>
      <c r="B58" s="10" t="s">
        <v>246</v>
      </c>
      <c r="C58" s="10" t="s">
        <v>258</v>
      </c>
      <c r="D58" s="10" t="s">
        <v>259</v>
      </c>
      <c r="E58" s="11" t="s">
        <v>41</v>
      </c>
      <c r="F58" s="11" t="s">
        <v>41</v>
      </c>
      <c r="G58" s="11"/>
      <c r="H58" s="11"/>
      <c r="I58" s="11"/>
      <c r="J58" s="11"/>
      <c r="K58" s="11" t="n">
        <f aca="false">COUNTA(E58:J58)</f>
        <v>2</v>
      </c>
      <c r="L58" s="10" t="s">
        <v>260</v>
      </c>
      <c r="M58" s="10" t="s">
        <v>261</v>
      </c>
      <c r="N58" s="11" t="n">
        <v>228</v>
      </c>
      <c r="O58" s="12" t="n">
        <v>5</v>
      </c>
      <c r="P58" s="11" t="s">
        <v>44</v>
      </c>
      <c r="Q58" s="11" t="s">
        <v>244</v>
      </c>
      <c r="R58" s="10" t="s">
        <v>251</v>
      </c>
    </row>
    <row r="59" customFormat="false" ht="42" hidden="false" customHeight="true" outlineLevel="0" collapsed="false">
      <c r="A59" s="13" t="n">
        <v>58</v>
      </c>
      <c r="B59" s="4" t="s">
        <v>246</v>
      </c>
      <c r="C59" s="4" t="s">
        <v>262</v>
      </c>
      <c r="D59" s="4" t="s">
        <v>263</v>
      </c>
      <c r="E59" s="14"/>
      <c r="F59" s="14" t="s">
        <v>41</v>
      </c>
      <c r="G59" s="14" t="s">
        <v>41</v>
      </c>
      <c r="H59" s="14"/>
      <c r="I59" s="14"/>
      <c r="J59" s="14" t="s">
        <v>41</v>
      </c>
      <c r="K59" s="14" t="n">
        <f aca="false">COUNTA(E59:J59)</f>
        <v>3</v>
      </c>
      <c r="L59" s="4" t="s">
        <v>264</v>
      </c>
      <c r="M59" s="4" t="s">
        <v>265</v>
      </c>
      <c r="N59" s="14" t="n">
        <v>14</v>
      </c>
      <c r="O59" s="15" t="n">
        <v>5</v>
      </c>
      <c r="P59" s="14" t="s">
        <v>44</v>
      </c>
      <c r="Q59" s="14" t="s">
        <v>244</v>
      </c>
      <c r="R59" s="4" t="s">
        <v>251</v>
      </c>
    </row>
    <row r="60" customFormat="false" ht="42" hidden="false" customHeight="true" outlineLevel="0" collapsed="false">
      <c r="A60" s="9" t="n">
        <v>59</v>
      </c>
      <c r="B60" s="10" t="s">
        <v>246</v>
      </c>
      <c r="C60" s="10" t="s">
        <v>266</v>
      </c>
      <c r="D60" s="10" t="s">
        <v>267</v>
      </c>
      <c r="E60" s="11"/>
      <c r="F60" s="11" t="s">
        <v>41</v>
      </c>
      <c r="G60" s="11" t="s">
        <v>41</v>
      </c>
      <c r="H60" s="11"/>
      <c r="I60" s="11"/>
      <c r="J60" s="11"/>
      <c r="K60" s="11" t="n">
        <f aca="false">COUNTA(E60:J60)</f>
        <v>2</v>
      </c>
      <c r="L60" s="10" t="s">
        <v>268</v>
      </c>
      <c r="M60" s="10" t="s">
        <v>269</v>
      </c>
      <c r="N60" s="11" t="n">
        <v>14</v>
      </c>
      <c r="O60" s="12" t="n">
        <v>5</v>
      </c>
      <c r="P60" s="11" t="s">
        <v>44</v>
      </c>
      <c r="Q60" s="11" t="s">
        <v>244</v>
      </c>
      <c r="R60" s="10" t="s">
        <v>251</v>
      </c>
    </row>
    <row r="61" customFormat="false" ht="42" hidden="false" customHeight="true" outlineLevel="0" collapsed="false">
      <c r="A61" s="13" t="n">
        <v>60</v>
      </c>
      <c r="B61" s="4" t="s">
        <v>246</v>
      </c>
      <c r="C61" s="4" t="s">
        <v>270</v>
      </c>
      <c r="D61" s="4" t="s">
        <v>271</v>
      </c>
      <c r="E61" s="14"/>
      <c r="F61" s="14"/>
      <c r="G61" s="14" t="s">
        <v>41</v>
      </c>
      <c r="H61" s="14"/>
      <c r="I61" s="14"/>
      <c r="J61" s="14" t="s">
        <v>41</v>
      </c>
      <c r="K61" s="14" t="n">
        <f aca="false">COUNTA(E61:J61)</f>
        <v>2</v>
      </c>
      <c r="L61" s="4" t="s">
        <v>228</v>
      </c>
      <c r="M61" s="4" t="s">
        <v>71</v>
      </c>
      <c r="N61" s="14" t="n">
        <v>14</v>
      </c>
      <c r="O61" s="13" t="n">
        <v>4</v>
      </c>
      <c r="P61" s="14" t="s">
        <v>44</v>
      </c>
      <c r="Q61" s="14" t="s">
        <v>244</v>
      </c>
      <c r="R61" s="4" t="s">
        <v>77</v>
      </c>
    </row>
  </sheetData>
  <autoFilter ref="A1:R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8"/>
    <col collapsed="false" customWidth="true" hidden="false" outlineLevel="0" max="3" min="3" style="0" width="11"/>
    <col collapsed="false" customWidth="true" hidden="false" outlineLevel="0" max="4" min="4" style="0" width="70"/>
    <col collapsed="false" customWidth="true" hidden="false" outlineLevel="0" max="5" min="5" style="0" width="30"/>
  </cols>
  <sheetData>
    <row r="1" customFormat="false" ht="15" hidden="false" customHeight="false" outlineLevel="0" collapsed="false">
      <c r="A1" s="16" t="s">
        <v>44</v>
      </c>
      <c r="B1" s="16" t="s">
        <v>272</v>
      </c>
      <c r="C1" s="16" t="s">
        <v>33</v>
      </c>
      <c r="D1" s="16" t="s">
        <v>273</v>
      </c>
      <c r="E1" s="16" t="s">
        <v>274</v>
      </c>
    </row>
    <row r="2" customFormat="false" ht="30" hidden="false" customHeight="true" outlineLevel="0" collapsed="false">
      <c r="A2" s="10" t="s">
        <v>275</v>
      </c>
      <c r="B2" s="11" t="n">
        <v>1985</v>
      </c>
      <c r="C2" s="11" t="n">
        <v>520</v>
      </c>
      <c r="D2" s="10" t="s">
        <v>276</v>
      </c>
      <c r="E2" s="10" t="s">
        <v>277</v>
      </c>
    </row>
    <row r="3" customFormat="false" ht="30" hidden="false" customHeight="true" outlineLevel="0" collapsed="false">
      <c r="A3" s="4" t="s">
        <v>278</v>
      </c>
      <c r="B3" s="14" t="n">
        <v>2019</v>
      </c>
      <c r="C3" s="14" t="n">
        <v>346</v>
      </c>
      <c r="D3" s="4" t="s">
        <v>279</v>
      </c>
      <c r="E3" s="4" t="s">
        <v>280</v>
      </c>
    </row>
    <row r="4" customFormat="false" ht="30" hidden="false" customHeight="true" outlineLevel="0" collapsed="false">
      <c r="A4" s="10" t="s">
        <v>281</v>
      </c>
      <c r="B4" s="11" t="n">
        <v>1979</v>
      </c>
      <c r="C4" s="11" t="n">
        <v>273</v>
      </c>
      <c r="D4" s="10" t="s">
        <v>282</v>
      </c>
      <c r="E4" s="10" t="s">
        <v>283</v>
      </c>
    </row>
    <row r="5" customFormat="false" ht="30" hidden="false" customHeight="true" outlineLevel="0" collapsed="false">
      <c r="A5" s="4" t="s">
        <v>284</v>
      </c>
      <c r="B5" s="14" t="n">
        <v>2009</v>
      </c>
      <c r="C5" s="14" t="n">
        <v>228</v>
      </c>
      <c r="D5" s="4" t="s">
        <v>285</v>
      </c>
      <c r="E5" s="4" t="s">
        <v>286</v>
      </c>
    </row>
    <row r="6" customFormat="false" ht="30" hidden="false" customHeight="true" outlineLevel="0" collapsed="false">
      <c r="A6" s="10" t="s">
        <v>287</v>
      </c>
      <c r="B6" s="11" t="n">
        <v>1994</v>
      </c>
      <c r="C6" s="11" t="n">
        <v>157</v>
      </c>
      <c r="D6" s="10" t="s">
        <v>288</v>
      </c>
      <c r="E6" s="10" t="s">
        <v>289</v>
      </c>
    </row>
    <row r="7" customFormat="false" ht="30" hidden="false" customHeight="true" outlineLevel="0" collapsed="false">
      <c r="A7" s="4" t="s">
        <v>290</v>
      </c>
      <c r="B7" s="14" t="n">
        <v>1989</v>
      </c>
      <c r="C7" s="14" t="n">
        <v>112</v>
      </c>
      <c r="D7" s="4" t="s">
        <v>291</v>
      </c>
      <c r="E7" s="4" t="s">
        <v>292</v>
      </c>
    </row>
    <row r="8" customFormat="false" ht="30" hidden="false" customHeight="true" outlineLevel="0" collapsed="false">
      <c r="A8" s="10" t="s">
        <v>293</v>
      </c>
      <c r="B8" s="11" t="n">
        <v>2000</v>
      </c>
      <c r="C8" s="11" t="n">
        <v>88</v>
      </c>
      <c r="D8" s="10" t="s">
        <v>294</v>
      </c>
      <c r="E8" s="10" t="s">
        <v>295</v>
      </c>
    </row>
    <row r="9" customFormat="false" ht="30" hidden="false" customHeight="true" outlineLevel="0" collapsed="false">
      <c r="A9" s="4" t="s">
        <v>296</v>
      </c>
      <c r="B9" s="14" t="n">
        <v>1989</v>
      </c>
      <c r="C9" s="14" t="n">
        <v>47</v>
      </c>
      <c r="D9" s="4" t="s">
        <v>297</v>
      </c>
      <c r="E9" s="4" t="s">
        <v>298</v>
      </c>
    </row>
    <row r="10" customFormat="false" ht="30" hidden="false" customHeight="true" outlineLevel="0" collapsed="false">
      <c r="A10" s="10" t="s">
        <v>299</v>
      </c>
      <c r="B10" s="11" t="n">
        <v>2003</v>
      </c>
      <c r="C10" s="11" t="n">
        <v>21</v>
      </c>
      <c r="D10" s="10" t="s">
        <v>300</v>
      </c>
      <c r="E10" s="10" t="s">
        <v>301</v>
      </c>
    </row>
    <row r="11" customFormat="false" ht="30" hidden="false" customHeight="true" outlineLevel="0" collapsed="false">
      <c r="A11" s="4" t="s">
        <v>302</v>
      </c>
      <c r="B11" s="14" t="n">
        <v>2005</v>
      </c>
      <c r="C11" s="14" t="n">
        <v>20</v>
      </c>
      <c r="D11" s="4" t="s">
        <v>303</v>
      </c>
      <c r="E11" s="4" t="s">
        <v>304</v>
      </c>
    </row>
    <row r="12" customFormat="false" ht="30" hidden="false" customHeight="true" outlineLevel="0" collapsed="false">
      <c r="A12" s="10" t="s">
        <v>305</v>
      </c>
      <c r="B12" s="11" t="n">
        <v>2009</v>
      </c>
      <c r="C12" s="11" t="n">
        <v>17</v>
      </c>
      <c r="D12" s="10" t="s">
        <v>306</v>
      </c>
      <c r="E12" s="10" t="s">
        <v>307</v>
      </c>
    </row>
    <row r="13" customFormat="false" ht="30" hidden="false" customHeight="true" outlineLevel="0" collapsed="false">
      <c r="A13" s="4" t="s">
        <v>308</v>
      </c>
      <c r="B13" s="14" t="n">
        <v>2017</v>
      </c>
      <c r="C13" s="14" t="n">
        <v>16</v>
      </c>
      <c r="D13" s="4" t="s">
        <v>309</v>
      </c>
      <c r="E13" s="4" t="s">
        <v>310</v>
      </c>
    </row>
    <row r="14" customFormat="false" ht="30" hidden="false" customHeight="true" outlineLevel="0" collapsed="false">
      <c r="A14" s="10" t="s">
        <v>311</v>
      </c>
      <c r="B14" s="11" t="n">
        <v>2009</v>
      </c>
      <c r="C14" s="11" t="n">
        <v>16</v>
      </c>
      <c r="D14" s="10" t="s">
        <v>312</v>
      </c>
      <c r="E14" s="10" t="s">
        <v>313</v>
      </c>
    </row>
    <row r="15" customFormat="false" ht="30" hidden="false" customHeight="true" outlineLevel="0" collapsed="false">
      <c r="A15" s="4" t="s">
        <v>314</v>
      </c>
      <c r="B15" s="14" t="n">
        <v>1991</v>
      </c>
      <c r="C15" s="14" t="n">
        <v>14</v>
      </c>
      <c r="D15" s="4" t="s">
        <v>315</v>
      </c>
      <c r="E15" s="4" t="s">
        <v>316</v>
      </c>
    </row>
    <row r="16" customFormat="false" ht="30" hidden="false" customHeight="true" outlineLevel="0" collapsed="false">
      <c r="A16" s="10" t="s">
        <v>317</v>
      </c>
      <c r="B16" s="11" t="n">
        <v>2006</v>
      </c>
      <c r="C16" s="11" t="n">
        <v>14</v>
      </c>
      <c r="D16" s="10" t="s">
        <v>318</v>
      </c>
      <c r="E16" s="10" t="s">
        <v>319</v>
      </c>
    </row>
    <row r="17" customFormat="false" ht="30" hidden="false" customHeight="true" outlineLevel="0" collapsed="false">
      <c r="A17" s="4" t="s">
        <v>320</v>
      </c>
      <c r="B17" s="14" t="n">
        <v>2016</v>
      </c>
      <c r="C17" s="14" t="n">
        <v>13</v>
      </c>
      <c r="D17" s="4" t="s">
        <v>321</v>
      </c>
      <c r="E17" s="4" t="s">
        <v>322</v>
      </c>
    </row>
    <row r="18" customFormat="false" ht="30" hidden="false" customHeight="true" outlineLevel="0" collapsed="false">
      <c r="A18" s="10" t="s">
        <v>323</v>
      </c>
      <c r="B18" s="11" t="n">
        <v>2023</v>
      </c>
      <c r="C18" s="11" t="n">
        <v>8</v>
      </c>
      <c r="D18" s="10" t="s">
        <v>324</v>
      </c>
      <c r="E18" s="10" t="s">
        <v>325</v>
      </c>
    </row>
    <row r="19" customFormat="false" ht="30" hidden="false" customHeight="true" outlineLevel="0" collapsed="false">
      <c r="A19" s="4" t="s">
        <v>326</v>
      </c>
      <c r="B19" s="14" t="n">
        <v>2003</v>
      </c>
      <c r="C19" s="14" t="n">
        <v>7</v>
      </c>
      <c r="D19" s="4" t="s">
        <v>327</v>
      </c>
      <c r="E19" s="4" t="s">
        <v>328</v>
      </c>
    </row>
    <row r="20" customFormat="false" ht="30" hidden="false" customHeight="true" outlineLevel="0" collapsed="false">
      <c r="A20" s="10" t="s">
        <v>329</v>
      </c>
      <c r="B20" s="11" t="n">
        <v>2018</v>
      </c>
      <c r="C20" s="11" t="n">
        <v>1</v>
      </c>
      <c r="D20" s="10" t="s">
        <v>330</v>
      </c>
      <c r="E20" s="10" t="s">
        <v>331</v>
      </c>
    </row>
    <row r="21" customFormat="false" ht="30" hidden="false" customHeight="true" outlineLevel="0" collapsed="false">
      <c r="A21" s="4" t="s">
        <v>332</v>
      </c>
      <c r="B21" s="14" t="n">
        <v>1988</v>
      </c>
      <c r="C21" s="14" t="n">
        <v>1</v>
      </c>
      <c r="D21" s="4" t="s">
        <v>333</v>
      </c>
      <c r="E21" s="4" t="s">
        <v>334</v>
      </c>
    </row>
    <row r="22" customFormat="false" ht="30" hidden="false" customHeight="true" outlineLevel="0" collapsed="false">
      <c r="A22" s="10" t="s">
        <v>335</v>
      </c>
      <c r="B22" s="11" t="n">
        <v>2013</v>
      </c>
      <c r="C22" s="11" t="n">
        <v>0</v>
      </c>
      <c r="D22" s="10" t="s">
        <v>336</v>
      </c>
      <c r="E22" s="10" t="s">
        <v>337</v>
      </c>
    </row>
    <row r="23" customFormat="false" ht="30" hidden="false" customHeight="true" outlineLevel="0" collapsed="false">
      <c r="A23" s="4" t="s">
        <v>338</v>
      </c>
      <c r="B23" s="14" t="n">
        <v>2010</v>
      </c>
      <c r="C23" s="14" t="n">
        <v>0</v>
      </c>
      <c r="D23" s="4" t="s">
        <v>339</v>
      </c>
      <c r="E23" s="4" t="s">
        <v>340</v>
      </c>
    </row>
    <row r="24" customFormat="false" ht="30" hidden="false" customHeight="true" outlineLevel="0" collapsed="false">
      <c r="A24" s="10" t="s">
        <v>341</v>
      </c>
      <c r="B24" s="11" t="n">
        <v>2007</v>
      </c>
      <c r="C24" s="11" t="n">
        <v>0</v>
      </c>
      <c r="D24" s="10" t="s">
        <v>342</v>
      </c>
      <c r="E24" s="10" t="s">
        <v>343</v>
      </c>
    </row>
    <row r="25" customFormat="false" ht="30" hidden="false" customHeight="true" outlineLevel="0" collapsed="false">
      <c r="A25" s="4" t="s">
        <v>344</v>
      </c>
      <c r="B25" s="14" t="n">
        <v>1990</v>
      </c>
      <c r="C25" s="14" t="n">
        <v>0</v>
      </c>
      <c r="D25" s="4" t="s">
        <v>345</v>
      </c>
      <c r="E25" s="4" t="s">
        <v>346</v>
      </c>
    </row>
    <row r="26" customFormat="false" ht="30" hidden="false" customHeight="true" outlineLevel="0" collapsed="false">
      <c r="A26" s="10" t="s">
        <v>347</v>
      </c>
      <c r="B26" s="11" t="n">
        <v>1983</v>
      </c>
      <c r="C26" s="11" t="n">
        <v>0</v>
      </c>
      <c r="D26" s="10" t="s">
        <v>348</v>
      </c>
      <c r="E26" s="10" t="s">
        <v>301</v>
      </c>
    </row>
    <row r="27" customFormat="false" ht="30" hidden="false" customHeight="true" outlineLevel="0" collapsed="false">
      <c r="A27" s="4" t="s">
        <v>349</v>
      </c>
      <c r="B27" s="14" t="n">
        <v>2024</v>
      </c>
      <c r="C27" s="14" t="n">
        <v>0</v>
      </c>
      <c r="D27" s="4" t="s">
        <v>350</v>
      </c>
      <c r="E27" s="4" t="s">
        <v>351</v>
      </c>
    </row>
    <row r="28" customFormat="false" ht="15" hidden="false" customHeight="false" outlineLevel="0" collapsed="false">
      <c r="A28" s="17" t="s">
        <v>352</v>
      </c>
      <c r="B28" s="18"/>
      <c r="C28" s="19" t="n">
        <f aca="false">SUM(C2:C27)</f>
        <v>1919</v>
      </c>
      <c r="D28" s="18"/>
      <c r="E28" s="18"/>
    </row>
    <row r="30" customFormat="false" ht="15" hidden="false" customHeight="false" outlineLevel="0" collapsed="false">
      <c r="A30" s="2"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6"/>
    <col collapsed="false" customWidth="true" hidden="false" outlineLevel="0" max="4" min="4" style="0" width="52"/>
    <col collapsed="false" customWidth="true" hidden="false" outlineLevel="0" max="5" min="5" style="0" width="64"/>
  </cols>
  <sheetData>
    <row r="1" customFormat="false" ht="15" hidden="false" customHeight="false" outlineLevel="0" collapsed="false">
      <c r="A1" s="16" t="s">
        <v>354</v>
      </c>
      <c r="B1" s="16" t="s">
        <v>355</v>
      </c>
      <c r="C1" s="16" t="s">
        <v>356</v>
      </c>
      <c r="D1" s="16" t="s">
        <v>357</v>
      </c>
      <c r="E1" s="16" t="s">
        <v>358</v>
      </c>
    </row>
    <row r="2" customFormat="false" ht="30" hidden="false" customHeight="true" outlineLevel="0" collapsed="false">
      <c r="A2" s="10" t="s">
        <v>359</v>
      </c>
      <c r="B2" s="11" t="s">
        <v>360</v>
      </c>
      <c r="C2" s="11" t="s">
        <v>361</v>
      </c>
      <c r="D2" s="10" t="s">
        <v>362</v>
      </c>
      <c r="E2" s="10" t="s">
        <v>363</v>
      </c>
    </row>
    <row r="3" customFormat="false" ht="30" hidden="false" customHeight="true" outlineLevel="0" collapsed="false">
      <c r="A3" s="4" t="s">
        <v>364</v>
      </c>
      <c r="B3" s="14" t="s">
        <v>365</v>
      </c>
      <c r="C3" s="14" t="s">
        <v>361</v>
      </c>
      <c r="D3" s="4" t="s">
        <v>366</v>
      </c>
      <c r="E3" s="4" t="s">
        <v>367</v>
      </c>
    </row>
    <row r="4" customFormat="false" ht="30" hidden="false" customHeight="true" outlineLevel="0" collapsed="false">
      <c r="A4" s="10" t="s">
        <v>368</v>
      </c>
      <c r="B4" s="11" t="s">
        <v>369</v>
      </c>
      <c r="C4" s="11" t="s">
        <v>361</v>
      </c>
      <c r="D4" s="10" t="s">
        <v>370</v>
      </c>
      <c r="E4" s="10" t="s">
        <v>371</v>
      </c>
    </row>
    <row r="5" customFormat="false" ht="30" hidden="false" customHeight="true" outlineLevel="0" collapsed="false">
      <c r="A5" s="4" t="s">
        <v>372</v>
      </c>
      <c r="B5" s="14" t="s">
        <v>373</v>
      </c>
      <c r="C5" s="14" t="s">
        <v>361</v>
      </c>
      <c r="D5" s="4" t="s">
        <v>374</v>
      </c>
      <c r="E5" s="4" t="s">
        <v>375</v>
      </c>
    </row>
    <row r="6" customFormat="false" ht="30" hidden="false" customHeight="true" outlineLevel="0" collapsed="false">
      <c r="A6" s="10" t="s">
        <v>376</v>
      </c>
      <c r="B6" s="11" t="s">
        <v>377</v>
      </c>
      <c r="C6" s="11" t="s">
        <v>361</v>
      </c>
      <c r="D6" s="10" t="s">
        <v>378</v>
      </c>
      <c r="E6" s="10" t="s">
        <v>379</v>
      </c>
    </row>
    <row r="7" customFormat="false" ht="30" hidden="false" customHeight="true" outlineLevel="0" collapsed="false">
      <c r="A7" s="4" t="s">
        <v>380</v>
      </c>
      <c r="B7" s="14" t="s">
        <v>377</v>
      </c>
      <c r="C7" s="14" t="s">
        <v>381</v>
      </c>
      <c r="D7" s="4" t="s">
        <v>382</v>
      </c>
      <c r="E7" s="4" t="s">
        <v>383</v>
      </c>
    </row>
    <row r="8" customFormat="false" ht="30" hidden="false" customHeight="true" outlineLevel="0" collapsed="false">
      <c r="A8" s="10" t="s">
        <v>384</v>
      </c>
      <c r="B8" s="11" t="s">
        <v>377</v>
      </c>
      <c r="C8" s="12" t="s">
        <v>385</v>
      </c>
      <c r="D8" s="10" t="s">
        <v>386</v>
      </c>
      <c r="E8" s="10" t="s">
        <v>387</v>
      </c>
    </row>
    <row r="9" customFormat="false" ht="30" hidden="false" customHeight="true" outlineLevel="0" collapsed="false">
      <c r="A9" s="4" t="s">
        <v>388</v>
      </c>
      <c r="B9" s="14" t="s">
        <v>377</v>
      </c>
      <c r="C9" s="15" t="s">
        <v>385</v>
      </c>
      <c r="D9" s="4" t="s">
        <v>389</v>
      </c>
      <c r="E9" s="4" t="s">
        <v>390</v>
      </c>
    </row>
    <row r="10" customFormat="false" ht="30" hidden="false" customHeight="true" outlineLevel="0" collapsed="false">
      <c r="A10" s="10" t="s">
        <v>391</v>
      </c>
      <c r="B10" s="11" t="s">
        <v>377</v>
      </c>
      <c r="C10" s="12" t="s">
        <v>385</v>
      </c>
      <c r="D10" s="10" t="s">
        <v>389</v>
      </c>
      <c r="E10" s="10" t="s">
        <v>392</v>
      </c>
    </row>
    <row r="11" customFormat="false" ht="30" hidden="false" customHeight="true" outlineLevel="0" collapsed="false">
      <c r="A11" s="4" t="s">
        <v>393</v>
      </c>
      <c r="B11" s="14" t="s">
        <v>377</v>
      </c>
      <c r="C11" s="15" t="s">
        <v>385</v>
      </c>
      <c r="D11" s="4" t="s">
        <v>389</v>
      </c>
      <c r="E11" s="4" t="s">
        <v>394</v>
      </c>
    </row>
    <row r="12" customFormat="false" ht="30" hidden="false" customHeight="true" outlineLevel="0" collapsed="false">
      <c r="A12" s="10" t="s">
        <v>395</v>
      </c>
      <c r="B12" s="11" t="s">
        <v>377</v>
      </c>
      <c r="C12" s="12" t="s">
        <v>385</v>
      </c>
      <c r="D12" s="10" t="s">
        <v>389</v>
      </c>
      <c r="E12" s="10" t="s">
        <v>396</v>
      </c>
    </row>
    <row r="13" customFormat="false" ht="30" hidden="false" customHeight="true" outlineLevel="0" collapsed="false">
      <c r="A13" s="4" t="s">
        <v>397</v>
      </c>
      <c r="B13" s="14" t="s">
        <v>377</v>
      </c>
      <c r="C13" s="15" t="s">
        <v>385</v>
      </c>
      <c r="D13" s="4" t="s">
        <v>389</v>
      </c>
      <c r="E13" s="4" t="s">
        <v>398</v>
      </c>
    </row>
    <row r="14" customFormat="false" ht="30" hidden="false" customHeight="true" outlineLevel="0" collapsed="false">
      <c r="A14" s="10" t="s">
        <v>399</v>
      </c>
      <c r="B14" s="11" t="s">
        <v>377</v>
      </c>
      <c r="C14" s="12" t="s">
        <v>385</v>
      </c>
      <c r="D14" s="10" t="s">
        <v>389</v>
      </c>
      <c r="E14" s="10" t="s">
        <v>400</v>
      </c>
    </row>
    <row r="15" customFormat="false" ht="30" hidden="false" customHeight="true" outlineLevel="0" collapsed="false">
      <c r="A15" s="4" t="s">
        <v>401</v>
      </c>
      <c r="B15" s="14" t="s">
        <v>377</v>
      </c>
      <c r="C15" s="14" t="s">
        <v>402</v>
      </c>
      <c r="D15" s="4" t="s">
        <v>403</v>
      </c>
      <c r="E15" s="4"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04"/>
  </cols>
  <sheetData>
    <row r="1" customFormat="false" ht="15" hidden="false" customHeight="false" outlineLevel="0" collapsed="false">
      <c r="A1" s="16" t="s">
        <v>354</v>
      </c>
      <c r="B1" s="16" t="s">
        <v>405</v>
      </c>
      <c r="C1" s="16" t="s">
        <v>406</v>
      </c>
    </row>
    <row r="2" customFormat="false" ht="33.75" hidden="false" customHeight="true" outlineLevel="0" collapsed="false">
      <c r="A2" s="10" t="s">
        <v>407</v>
      </c>
      <c r="B2" s="12" t="s">
        <v>408</v>
      </c>
      <c r="C2" s="10" t="s">
        <v>409</v>
      </c>
    </row>
    <row r="3" customFormat="false" ht="33.75" hidden="false" customHeight="true" outlineLevel="0" collapsed="false">
      <c r="A3" s="4" t="s">
        <v>410</v>
      </c>
      <c r="B3" s="15" t="s">
        <v>411</v>
      </c>
      <c r="C3" s="4" t="s">
        <v>412</v>
      </c>
    </row>
    <row r="4" customFormat="false" ht="33.75" hidden="false" customHeight="true" outlineLevel="0" collapsed="false">
      <c r="A4" s="10" t="s">
        <v>410</v>
      </c>
      <c r="B4" s="12" t="s">
        <v>413</v>
      </c>
      <c r="C4" s="10" t="s">
        <v>414</v>
      </c>
    </row>
    <row r="5" customFormat="false" ht="33.75" hidden="false" customHeight="true" outlineLevel="0" collapsed="false">
      <c r="A5" s="4" t="s">
        <v>410</v>
      </c>
      <c r="B5" s="15" t="s">
        <v>415</v>
      </c>
      <c r="C5" s="4" t="s">
        <v>416</v>
      </c>
    </row>
    <row r="6" customFormat="false" ht="33.75" hidden="false" customHeight="true" outlineLevel="0" collapsed="false">
      <c r="A6" s="10" t="s">
        <v>410</v>
      </c>
      <c r="B6" s="12" t="s">
        <v>417</v>
      </c>
      <c r="C6" s="10" t="s">
        <v>418</v>
      </c>
    </row>
    <row r="7" customFormat="false" ht="33.75" hidden="false" customHeight="true" outlineLevel="0" collapsed="false">
      <c r="A7" s="4" t="s">
        <v>368</v>
      </c>
      <c r="B7" s="15" t="s">
        <v>419</v>
      </c>
      <c r="C7" s="4" t="s">
        <v>420</v>
      </c>
    </row>
    <row r="8" customFormat="false" ht="33.75" hidden="false" customHeight="true" outlineLevel="0" collapsed="false">
      <c r="A8" s="10" t="s">
        <v>380</v>
      </c>
      <c r="B8" s="12" t="s">
        <v>421</v>
      </c>
      <c r="C8" s="10" t="s">
        <v>422</v>
      </c>
    </row>
    <row r="10" customFormat="false" ht="43.5" hidden="false" customHeight="true" outlineLevel="0" collapsed="false">
      <c r="A10" s="17" t="s">
        <v>423</v>
      </c>
      <c r="B10" s="18"/>
      <c r="C10" s="7" t="s">
        <v>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86"/>
    <col collapsed="false" customWidth="true" hidden="false" outlineLevel="0" max="4" min="4" style="0" width="12"/>
    <col collapsed="false" customWidth="true" hidden="false" outlineLevel="0" max="5" min="5" style="0" width="26"/>
  </cols>
  <sheetData>
    <row r="1" customFormat="false" ht="15" hidden="false" customHeight="false" outlineLevel="0" collapsed="false">
      <c r="A1" s="8" t="s">
        <v>36</v>
      </c>
      <c r="B1" s="8" t="s">
        <v>425</v>
      </c>
      <c r="C1" s="8" t="s">
        <v>426</v>
      </c>
      <c r="D1" s="8" t="s">
        <v>427</v>
      </c>
      <c r="E1" s="8" t="s">
        <v>428</v>
      </c>
    </row>
    <row r="2" customFormat="false" ht="42" hidden="false" customHeight="true" outlineLevel="0" collapsed="false">
      <c r="A2" s="12" t="s">
        <v>45</v>
      </c>
      <c r="B2" s="20" t="s">
        <v>429</v>
      </c>
      <c r="C2" s="10" t="s">
        <v>430</v>
      </c>
      <c r="D2" s="11" t="n">
        <f aca="false">COUNTIF('Barrier Register'!$Q$2:$Q$61,A2)</f>
        <v>27</v>
      </c>
      <c r="E2" s="11" t="n">
        <f aca="false">SUMIF('Barrier Register'!$Q$2:$Q$61,A2,'Barrier Register'!$N$2:$N$61)</f>
        <v>2102</v>
      </c>
    </row>
    <row r="3" customFormat="false" ht="42" hidden="false" customHeight="true" outlineLevel="0" collapsed="false">
      <c r="A3" s="15" t="s">
        <v>131</v>
      </c>
      <c r="B3" s="3" t="s">
        <v>431</v>
      </c>
      <c r="C3" s="4" t="s">
        <v>432</v>
      </c>
      <c r="D3" s="14" t="n">
        <f aca="false">COUNTIF('Barrier Register'!$Q$2:$Q$61,A3)</f>
        <v>14</v>
      </c>
      <c r="E3" s="14" t="n">
        <f aca="false">SUMIF('Barrier Register'!$Q$2:$Q$61,A3,'Barrier Register'!$N$2:$N$61)</f>
        <v>626</v>
      </c>
    </row>
    <row r="4" customFormat="false" ht="42" hidden="false" customHeight="true" outlineLevel="0" collapsed="false">
      <c r="A4" s="12" t="s">
        <v>61</v>
      </c>
      <c r="B4" s="20" t="s">
        <v>433</v>
      </c>
      <c r="C4" s="10" t="s">
        <v>434</v>
      </c>
      <c r="D4" s="11" t="n">
        <f aca="false">COUNTIF('Barrier Register'!$Q$2:$Q$61,A4)</f>
        <v>7</v>
      </c>
      <c r="E4" s="11" t="n">
        <f aca="false">SUMIF('Barrier Register'!$Q$2:$Q$61,A4,'Barrier Register'!$N$2:$N$61)</f>
        <v>449</v>
      </c>
    </row>
    <row r="5" customFormat="false" ht="42" hidden="false" customHeight="true" outlineLevel="0" collapsed="false">
      <c r="A5" s="15" t="s">
        <v>90</v>
      </c>
      <c r="B5" s="3" t="s">
        <v>435</v>
      </c>
      <c r="C5" s="4" t="s">
        <v>436</v>
      </c>
      <c r="D5" s="14" t="n">
        <f aca="false">COUNTIF('Barrier Register'!$Q$2:$Q$61,A5)</f>
        <v>4</v>
      </c>
      <c r="E5" s="14" t="n">
        <f aca="false">SUMIF('Barrier Register'!$Q$2:$Q$61,A5,'Barrier Register'!$N$2:$N$61)</f>
        <v>352</v>
      </c>
    </row>
    <row r="6" customFormat="false" ht="42" hidden="false" customHeight="true" outlineLevel="0" collapsed="false">
      <c r="A6" s="12" t="s">
        <v>244</v>
      </c>
      <c r="B6" s="20" t="s">
        <v>437</v>
      </c>
      <c r="C6" s="10" t="s">
        <v>438</v>
      </c>
      <c r="D6" s="11" t="n">
        <f aca="false">COUNTIF('Barrier Register'!$Q$2:$Q$61,A6)</f>
        <v>8</v>
      </c>
      <c r="E6" s="11" t="n">
        <f aca="false">SUMIF('Barrier Register'!$Q$2:$Q$61,A6,'Barrier Register'!$N$2:$N$61)</f>
        <v>270</v>
      </c>
    </row>
    <row r="8" customFormat="false" ht="15" hidden="false" customHeight="false" outlineLevel="0" collapsed="false">
      <c r="A8" s="2"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4"/>
    <col collapsed="false" customWidth="true" hidden="false" outlineLevel="0" max="3" min="3" style="0" width="76"/>
  </cols>
  <sheetData>
    <row r="1" customFormat="false" ht="19.7" hidden="false" customHeight="false" outlineLevel="0" collapsed="false">
      <c r="A1" s="21" t="s">
        <v>440</v>
      </c>
    </row>
    <row r="2" customFormat="false" ht="15" hidden="false" customHeight="false" outlineLevel="0" collapsed="false">
      <c r="A2" s="2" t="s">
        <v>441</v>
      </c>
    </row>
    <row r="4" customFormat="false" ht="25.5" hidden="false" customHeight="true" outlineLevel="0" collapsed="false">
      <c r="A4" s="22" t="s">
        <v>442</v>
      </c>
      <c r="B4" s="19" t="n">
        <f aca="false">COUNTA('Barrier Register'!A2:A61)</f>
        <v>60</v>
      </c>
      <c r="C4" s="4" t="s">
        <v>443</v>
      </c>
    </row>
    <row r="5" customFormat="false" ht="25.5" hidden="false" customHeight="true" outlineLevel="0" collapsed="false">
      <c r="A5" s="22" t="s">
        <v>444</v>
      </c>
      <c r="B5" s="19" t="n">
        <f aca="false">COUNTIF('Barrier Register'!O2:O61,5)</f>
        <v>55</v>
      </c>
      <c r="C5" s="4" t="s">
        <v>445</v>
      </c>
    </row>
    <row r="6" customFormat="false" ht="25.5" hidden="false" customHeight="true" outlineLevel="0" collapsed="false">
      <c r="A6" s="22" t="s">
        <v>446</v>
      </c>
      <c r="B6" s="19" t="n">
        <f aca="false">COUNTIF('Barrier Register'!O2:O61,4)</f>
        <v>5</v>
      </c>
      <c r="C6" s="4"/>
    </row>
    <row r="7" customFormat="false" ht="25.5" hidden="false" customHeight="true" outlineLevel="0" collapsed="false">
      <c r="A7" s="22" t="s">
        <v>447</v>
      </c>
      <c r="B7" s="19" t="n">
        <f aca="false">COUNTIF('Barrier Register'!P2:P61,"Event")</f>
        <v>44</v>
      </c>
      <c r="C7" s="4" t="s">
        <v>448</v>
      </c>
    </row>
    <row r="8" customFormat="false" ht="25.5" hidden="false" customHeight="true" outlineLevel="0" collapsed="false">
      <c r="A8" s="22" t="s">
        <v>449</v>
      </c>
      <c r="B8" s="19" t="n">
        <f aca="false">COUNTIF('Barrier Register'!P2:P61,"Pattern")</f>
        <v>14</v>
      </c>
      <c r="C8" s="4" t="s">
        <v>450</v>
      </c>
    </row>
    <row r="9" customFormat="false" ht="25.5" hidden="false" customHeight="true" outlineLevel="0" collapsed="false">
      <c r="A9" s="22" t="s">
        <v>451</v>
      </c>
      <c r="B9" s="19" t="n">
        <f aca="false">COUNTIF('Barrier Register'!P2:P61,"Framing")</f>
        <v>2</v>
      </c>
      <c r="C9" s="4" t="s">
        <v>452</v>
      </c>
    </row>
    <row r="10" customFormat="false" ht="25.5" hidden="false" customHeight="true" outlineLevel="0" collapsed="false">
      <c r="A10" s="22" t="s">
        <v>453</v>
      </c>
      <c r="B10" s="19" t="n">
        <f aca="false">COUNTIF('Barrier Register'!K2:K61,"&gt;1")</f>
        <v>14</v>
      </c>
      <c r="C10" s="4" t="s">
        <v>454</v>
      </c>
    </row>
    <row r="11" customFormat="false" ht="25.5" hidden="false" customHeight="true" outlineLevel="0" collapsed="false">
      <c r="A11" s="22" t="s">
        <v>455</v>
      </c>
      <c r="B11" s="19" t="n">
        <f aca="false">COUNTIF('Barrier Register'!K2:K61,"&gt;2")</f>
        <v>3</v>
      </c>
      <c r="C11" s="4"/>
    </row>
    <row r="12" customFormat="false" ht="25.5" hidden="false" customHeight="true" outlineLevel="0" collapsed="false">
      <c r="A12" s="22" t="s">
        <v>456</v>
      </c>
      <c r="B12" s="19" t="n">
        <f aca="false">'Event Anchors'!C28</f>
        <v>1919</v>
      </c>
      <c r="C12" s="4" t="s">
        <v>457</v>
      </c>
    </row>
    <row r="15" customFormat="false" ht="19.7" hidden="false" customHeight="false" outlineLevel="0" collapsed="false">
      <c r="A15" s="21" t="s">
        <v>458</v>
      </c>
    </row>
    <row r="16" customFormat="false" ht="15" hidden="false" customHeight="false" outlineLevel="0" collapsed="false">
      <c r="A16" s="22" t="s">
        <v>407</v>
      </c>
      <c r="B16" s="14" t="n">
        <f aca="false">COUNTA('Barrier Register'!E2:E61)</f>
        <v>17</v>
      </c>
    </row>
    <row r="17" customFormat="false" ht="15" hidden="false" customHeight="false" outlineLevel="0" collapsed="false">
      <c r="A17" s="22" t="s">
        <v>410</v>
      </c>
      <c r="B17" s="14" t="n">
        <f aca="false">COUNTA('Barrier Register'!F2:F61)</f>
        <v>22</v>
      </c>
    </row>
    <row r="18" customFormat="false" ht="15" hidden="false" customHeight="false" outlineLevel="0" collapsed="false">
      <c r="A18" s="22" t="s">
        <v>368</v>
      </c>
      <c r="B18" s="14" t="n">
        <f aca="false">COUNTA('Barrier Register'!G2:G61)</f>
        <v>17</v>
      </c>
    </row>
    <row r="19" customFormat="false" ht="15" hidden="false" customHeight="false" outlineLevel="0" collapsed="false">
      <c r="A19" s="22" t="s">
        <v>372</v>
      </c>
      <c r="B19" s="14" t="n">
        <f aca="false">COUNTA('Barrier Register'!H2:H61)</f>
        <v>8</v>
      </c>
    </row>
    <row r="20" customFormat="false" ht="15" hidden="false" customHeight="false" outlineLevel="0" collapsed="false">
      <c r="A20" s="22" t="s">
        <v>376</v>
      </c>
      <c r="B20" s="14" t="n">
        <f aca="false">COUNTA('Barrier Register'!I2:I61)</f>
        <v>10</v>
      </c>
    </row>
    <row r="21" customFormat="false" ht="15" hidden="false" customHeight="false" outlineLevel="0" collapsed="false">
      <c r="A21" s="22" t="s">
        <v>380</v>
      </c>
      <c r="B21" s="14" t="n">
        <f aca="false">COUNTA('Barrier Register'!J2:J61)</f>
        <v>3</v>
      </c>
    </row>
    <row r="23" customFormat="false" ht="19.7" hidden="false" customHeight="false" outlineLevel="0" collapsed="false">
      <c r="A23" s="21" t="s">
        <v>459</v>
      </c>
    </row>
    <row r="24" customFormat="false" ht="15" hidden="false" customHeight="false" outlineLevel="0" collapsed="false">
      <c r="A24" s="22" t="s">
        <v>38</v>
      </c>
      <c r="B24" s="14" t="n">
        <f aca="false">COUNTIF('Barrier Register'!B2:B61,A24)</f>
        <v>8</v>
      </c>
    </row>
    <row r="25" customFormat="false" ht="15" hidden="false" customHeight="false" outlineLevel="0" collapsed="false">
      <c r="A25" s="22" t="s">
        <v>83</v>
      </c>
      <c r="B25" s="14" t="n">
        <f aca="false">COUNTIF('Barrier Register'!B2:B61,A25)</f>
        <v>5</v>
      </c>
    </row>
    <row r="26" customFormat="false" ht="15" hidden="false" customHeight="false" outlineLevel="0" collapsed="false">
      <c r="A26" s="22" t="s">
        <v>103</v>
      </c>
      <c r="B26" s="14" t="n">
        <f aca="false">COUNTIF('Barrier Register'!B2:B61,A26)</f>
        <v>10</v>
      </c>
    </row>
    <row r="27" customFormat="false" ht="15" hidden="false" customHeight="false" outlineLevel="0" collapsed="false">
      <c r="A27" s="22" t="s">
        <v>141</v>
      </c>
      <c r="B27" s="14" t="n">
        <f aca="false">COUNTIF('Barrier Register'!B2:B61,A27)</f>
        <v>8</v>
      </c>
    </row>
    <row r="28" customFormat="false" ht="15" hidden="false" customHeight="false" outlineLevel="0" collapsed="false">
      <c r="A28" s="22" t="s">
        <v>167</v>
      </c>
      <c r="B28" s="14" t="n">
        <f aca="false">COUNTIF('Barrier Register'!B2:B61,A28)</f>
        <v>11</v>
      </c>
    </row>
    <row r="29" customFormat="false" ht="15" hidden="false" customHeight="false" outlineLevel="0" collapsed="false">
      <c r="A29" s="22" t="s">
        <v>203</v>
      </c>
      <c r="B29" s="14" t="n">
        <f aca="false">COUNTIF('Barrier Register'!B2:B61,A29)</f>
        <v>11</v>
      </c>
    </row>
    <row r="30" customFormat="false" ht="15" hidden="false" customHeight="false" outlineLevel="0" collapsed="false">
      <c r="A30" s="22" t="s">
        <v>246</v>
      </c>
      <c r="B30" s="14" t="n">
        <f aca="false">COUNTIF('Barrier Register'!B2:B61,A30)</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8"/>
    <col collapsed="false" customWidth="true" hidden="false" outlineLevel="0" max="4" min="4" style="0" width="44"/>
    <col collapsed="false" customWidth="true" hidden="false" outlineLevel="0" max="5" min="5" style="0" width="16"/>
    <col collapsed="false" customWidth="true" hidden="false" outlineLevel="0" max="7" min="6" style="0" width="30"/>
    <col collapsed="false" customWidth="true" hidden="false" outlineLevel="0" max="9" min="8" style="0" width="26"/>
  </cols>
  <sheetData>
    <row r="1" customFormat="false" ht="19.7" hidden="false" customHeight="false" outlineLevel="0" collapsed="false">
      <c r="A1" s="21" t="s">
        <v>460</v>
      </c>
    </row>
    <row r="2" customFormat="false" ht="15" hidden="false" customHeight="false" outlineLevel="0" collapsed="false">
      <c r="A2" s="2" t="s">
        <v>461</v>
      </c>
    </row>
    <row r="4" customFormat="false" ht="30" hidden="false" customHeight="true" outlineLevel="0" collapsed="false">
      <c r="A4" s="8" t="s">
        <v>20</v>
      </c>
      <c r="B4" s="8" t="s">
        <v>21</v>
      </c>
      <c r="C4" s="8" t="s">
        <v>22</v>
      </c>
      <c r="D4" s="8" t="s">
        <v>23</v>
      </c>
      <c r="E4" s="8" t="s">
        <v>462</v>
      </c>
      <c r="F4" s="8" t="s">
        <v>463</v>
      </c>
      <c r="G4" s="8" t="s">
        <v>464</v>
      </c>
      <c r="H4" s="8" t="s">
        <v>465</v>
      </c>
      <c r="I4" s="8" t="s">
        <v>466</v>
      </c>
    </row>
    <row r="5" customFormat="false" ht="23.85" hidden="false" customHeight="false" outlineLevel="0" collapsed="false">
      <c r="A5" s="23" t="n">
        <v>0</v>
      </c>
      <c r="B5" s="23" t="s">
        <v>467</v>
      </c>
      <c r="C5" s="23" t="s">
        <v>468</v>
      </c>
      <c r="D5" s="23" t="s">
        <v>469</v>
      </c>
      <c r="E5" s="23" t="s">
        <v>470</v>
      </c>
      <c r="F5" s="23" t="s">
        <v>471</v>
      </c>
      <c r="G5" s="23"/>
      <c r="H5" s="23" t="s">
        <v>472</v>
      </c>
      <c r="I5" s="23" t="s">
        <v>472</v>
      </c>
    </row>
    <row r="6" customFormat="false" ht="37.5" hidden="false" customHeight="true" outlineLevel="0" collapsed="false">
      <c r="A6" s="14" t="n">
        <v>1</v>
      </c>
      <c r="B6" s="4" t="s">
        <v>38</v>
      </c>
      <c r="C6" s="4" t="s">
        <v>39</v>
      </c>
      <c r="D6" s="4" t="s">
        <v>40</v>
      </c>
      <c r="E6" s="24"/>
      <c r="F6" s="24"/>
      <c r="G6" s="24"/>
      <c r="H6" s="24"/>
      <c r="I6" s="24"/>
    </row>
    <row r="7" customFormat="false" ht="37.5" hidden="false" customHeight="true" outlineLevel="0" collapsed="false">
      <c r="A7" s="14" t="n">
        <v>2</v>
      </c>
      <c r="B7" s="4" t="s">
        <v>38</v>
      </c>
      <c r="C7" s="4" t="s">
        <v>47</v>
      </c>
      <c r="D7" s="4" t="s">
        <v>48</v>
      </c>
      <c r="E7" s="24"/>
      <c r="F7" s="24"/>
      <c r="G7" s="24"/>
      <c r="H7" s="24"/>
      <c r="I7" s="24"/>
    </row>
    <row r="8" customFormat="false" ht="37.5" hidden="false" customHeight="true" outlineLevel="0" collapsed="false">
      <c r="A8" s="14" t="n">
        <v>3</v>
      </c>
      <c r="B8" s="4" t="s">
        <v>38</v>
      </c>
      <c r="C8" s="4" t="s">
        <v>52</v>
      </c>
      <c r="D8" s="4" t="s">
        <v>53</v>
      </c>
      <c r="E8" s="24"/>
      <c r="F8" s="24"/>
      <c r="G8" s="24"/>
      <c r="H8" s="24"/>
      <c r="I8" s="24"/>
    </row>
    <row r="9" customFormat="false" ht="37.5" hidden="false" customHeight="true" outlineLevel="0" collapsed="false">
      <c r="A9" s="14" t="n">
        <v>4</v>
      </c>
      <c r="B9" s="4" t="s">
        <v>38</v>
      </c>
      <c r="C9" s="4" t="s">
        <v>57</v>
      </c>
      <c r="D9" s="4" t="s">
        <v>58</v>
      </c>
      <c r="E9" s="24"/>
      <c r="F9" s="24"/>
      <c r="G9" s="24"/>
      <c r="H9" s="24"/>
      <c r="I9" s="24"/>
    </row>
    <row r="10" customFormat="false" ht="37.5" hidden="false" customHeight="true" outlineLevel="0" collapsed="false">
      <c r="A10" s="14" t="n">
        <v>5</v>
      </c>
      <c r="B10" s="4" t="s">
        <v>38</v>
      </c>
      <c r="C10" s="4" t="s">
        <v>63</v>
      </c>
      <c r="D10" s="4" t="s">
        <v>64</v>
      </c>
      <c r="E10" s="24"/>
      <c r="F10" s="24"/>
      <c r="G10" s="24"/>
      <c r="H10" s="24"/>
      <c r="I10" s="24"/>
    </row>
    <row r="11" customFormat="false" ht="37.5" hidden="false" customHeight="true" outlineLevel="0" collapsed="false">
      <c r="A11" s="14" t="n">
        <v>6</v>
      </c>
      <c r="B11" s="4" t="s">
        <v>38</v>
      </c>
      <c r="C11" s="4" t="s">
        <v>68</v>
      </c>
      <c r="D11" s="4" t="s">
        <v>69</v>
      </c>
      <c r="E11" s="24"/>
      <c r="F11" s="24"/>
      <c r="G11" s="24"/>
      <c r="H11" s="24"/>
      <c r="I11" s="24"/>
    </row>
    <row r="12" customFormat="false" ht="37.5" hidden="false" customHeight="true" outlineLevel="0" collapsed="false">
      <c r="A12" s="14" t="n">
        <v>7</v>
      </c>
      <c r="B12" s="4" t="s">
        <v>38</v>
      </c>
      <c r="C12" s="4" t="s">
        <v>73</v>
      </c>
      <c r="D12" s="4" t="s">
        <v>74</v>
      </c>
      <c r="E12" s="24"/>
      <c r="F12" s="24"/>
      <c r="G12" s="24"/>
      <c r="H12" s="24"/>
      <c r="I12" s="24"/>
    </row>
    <row r="13" customFormat="false" ht="37.5" hidden="false" customHeight="true" outlineLevel="0" collapsed="false">
      <c r="A13" s="14" t="n">
        <v>8</v>
      </c>
      <c r="B13" s="4" t="s">
        <v>38</v>
      </c>
      <c r="C13" s="4" t="s">
        <v>78</v>
      </c>
      <c r="D13" s="4" t="s">
        <v>79</v>
      </c>
      <c r="E13" s="24"/>
      <c r="F13" s="24"/>
      <c r="G13" s="24"/>
      <c r="H13" s="24"/>
      <c r="I13" s="24"/>
    </row>
    <row r="14" customFormat="false" ht="37.5" hidden="false" customHeight="true" outlineLevel="0" collapsed="false">
      <c r="A14" s="14" t="n">
        <v>9</v>
      </c>
      <c r="B14" s="4" t="s">
        <v>83</v>
      </c>
      <c r="C14" s="4" t="s">
        <v>84</v>
      </c>
      <c r="D14" s="4" t="s">
        <v>85</v>
      </c>
      <c r="E14" s="24"/>
      <c r="F14" s="24"/>
      <c r="G14" s="24"/>
      <c r="H14" s="24"/>
      <c r="I14" s="24"/>
    </row>
    <row r="15" customFormat="false" ht="37.5" hidden="false" customHeight="true" outlineLevel="0" collapsed="false">
      <c r="A15" s="14" t="n">
        <v>10</v>
      </c>
      <c r="B15" s="4" t="s">
        <v>83</v>
      </c>
      <c r="C15" s="4" t="s">
        <v>86</v>
      </c>
      <c r="D15" s="4" t="s">
        <v>87</v>
      </c>
      <c r="E15" s="24"/>
      <c r="F15" s="24"/>
      <c r="G15" s="24"/>
      <c r="H15" s="24"/>
      <c r="I15" s="24"/>
    </row>
    <row r="16" customFormat="false" ht="37.5" hidden="false" customHeight="true" outlineLevel="0" collapsed="false">
      <c r="A16" s="14" t="n">
        <v>11</v>
      </c>
      <c r="B16" s="4" t="s">
        <v>83</v>
      </c>
      <c r="C16" s="4" t="s">
        <v>92</v>
      </c>
      <c r="D16" s="4" t="s">
        <v>93</v>
      </c>
      <c r="E16" s="24"/>
      <c r="F16" s="24"/>
      <c r="G16" s="24"/>
      <c r="H16" s="24"/>
      <c r="I16" s="24"/>
    </row>
    <row r="17" customFormat="false" ht="37.5" hidden="false" customHeight="true" outlineLevel="0" collapsed="false">
      <c r="A17" s="14" t="n">
        <v>12</v>
      </c>
      <c r="B17" s="4" t="s">
        <v>83</v>
      </c>
      <c r="C17" s="4" t="s">
        <v>95</v>
      </c>
      <c r="D17" s="4" t="s">
        <v>96</v>
      </c>
      <c r="E17" s="24"/>
      <c r="F17" s="24"/>
      <c r="G17" s="24"/>
      <c r="H17" s="24"/>
      <c r="I17" s="24"/>
    </row>
    <row r="18" customFormat="false" ht="37.5" hidden="false" customHeight="true" outlineLevel="0" collapsed="false">
      <c r="A18" s="14" t="n">
        <v>13</v>
      </c>
      <c r="B18" s="4" t="s">
        <v>83</v>
      </c>
      <c r="C18" s="4" t="s">
        <v>98</v>
      </c>
      <c r="D18" s="4" t="s">
        <v>99</v>
      </c>
      <c r="E18" s="24"/>
      <c r="F18" s="24"/>
      <c r="G18" s="24"/>
      <c r="H18" s="24"/>
      <c r="I18" s="24"/>
    </row>
    <row r="19" customFormat="false" ht="37.5" hidden="false" customHeight="true" outlineLevel="0" collapsed="false">
      <c r="A19" s="14" t="n">
        <v>14</v>
      </c>
      <c r="B19" s="4" t="s">
        <v>103</v>
      </c>
      <c r="C19" s="4" t="s">
        <v>104</v>
      </c>
      <c r="D19" s="4" t="s">
        <v>105</v>
      </c>
      <c r="E19" s="24"/>
      <c r="F19" s="24"/>
      <c r="G19" s="24"/>
      <c r="H19" s="24"/>
      <c r="I19" s="24"/>
    </row>
    <row r="20" customFormat="false" ht="37.5" hidden="false" customHeight="true" outlineLevel="0" collapsed="false">
      <c r="A20" s="14" t="n">
        <v>15</v>
      </c>
      <c r="B20" s="4" t="s">
        <v>103</v>
      </c>
      <c r="C20" s="4" t="s">
        <v>107</v>
      </c>
      <c r="D20" s="4" t="s">
        <v>108</v>
      </c>
      <c r="E20" s="24"/>
      <c r="F20" s="24"/>
      <c r="G20" s="24"/>
      <c r="H20" s="24"/>
      <c r="I20" s="24"/>
    </row>
    <row r="21" customFormat="false" ht="37.5" hidden="false" customHeight="true" outlineLevel="0" collapsed="false">
      <c r="A21" s="14" t="n">
        <v>16</v>
      </c>
      <c r="B21" s="4" t="s">
        <v>103</v>
      </c>
      <c r="C21" s="4" t="s">
        <v>110</v>
      </c>
      <c r="D21" s="4" t="s">
        <v>111</v>
      </c>
      <c r="E21" s="24"/>
      <c r="F21" s="24"/>
      <c r="G21" s="24"/>
      <c r="H21" s="24"/>
      <c r="I21" s="24"/>
    </row>
    <row r="22" customFormat="false" ht="37.5" hidden="false" customHeight="true" outlineLevel="0" collapsed="false">
      <c r="A22" s="14" t="n">
        <v>17</v>
      </c>
      <c r="B22" s="4" t="s">
        <v>103</v>
      </c>
      <c r="C22" s="4" t="s">
        <v>115</v>
      </c>
      <c r="D22" s="4" t="s">
        <v>116</v>
      </c>
      <c r="E22" s="24"/>
      <c r="F22" s="24"/>
      <c r="G22" s="24"/>
      <c r="H22" s="24"/>
      <c r="I22" s="24"/>
    </row>
    <row r="23" customFormat="false" ht="37.5" hidden="false" customHeight="true" outlineLevel="0" collapsed="false">
      <c r="A23" s="14" t="n">
        <v>18</v>
      </c>
      <c r="B23" s="4" t="s">
        <v>103</v>
      </c>
      <c r="C23" s="4" t="s">
        <v>119</v>
      </c>
      <c r="D23" s="4" t="s">
        <v>120</v>
      </c>
      <c r="E23" s="24"/>
      <c r="F23" s="24"/>
      <c r="G23" s="24"/>
      <c r="H23" s="24"/>
      <c r="I23" s="24"/>
    </row>
    <row r="24" customFormat="false" ht="37.5" hidden="false" customHeight="true" outlineLevel="0" collapsed="false">
      <c r="A24" s="14" t="n">
        <v>19</v>
      </c>
      <c r="B24" s="4" t="s">
        <v>103</v>
      </c>
      <c r="C24" s="4" t="s">
        <v>122</v>
      </c>
      <c r="D24" s="4" t="s">
        <v>123</v>
      </c>
      <c r="E24" s="24"/>
      <c r="F24" s="24"/>
      <c r="G24" s="24"/>
      <c r="H24" s="24"/>
      <c r="I24" s="24"/>
    </row>
    <row r="25" customFormat="false" ht="37.5" hidden="false" customHeight="true" outlineLevel="0" collapsed="false">
      <c r="A25" s="14" t="n">
        <v>20</v>
      </c>
      <c r="B25" s="4" t="s">
        <v>103</v>
      </c>
      <c r="C25" s="4" t="s">
        <v>125</v>
      </c>
      <c r="D25" s="4" t="s">
        <v>126</v>
      </c>
      <c r="E25" s="24"/>
      <c r="F25" s="24"/>
      <c r="G25" s="24"/>
      <c r="H25" s="24"/>
      <c r="I25" s="24"/>
    </row>
    <row r="26" customFormat="false" ht="37.5" hidden="false" customHeight="true" outlineLevel="0" collapsed="false">
      <c r="A26" s="14" t="n">
        <v>21</v>
      </c>
      <c r="B26" s="4" t="s">
        <v>103</v>
      </c>
      <c r="C26" s="4" t="s">
        <v>129</v>
      </c>
      <c r="D26" s="4" t="s">
        <v>130</v>
      </c>
      <c r="E26" s="24"/>
      <c r="F26" s="24"/>
      <c r="G26" s="24"/>
      <c r="H26" s="24"/>
      <c r="I26" s="24"/>
    </row>
    <row r="27" customFormat="false" ht="37.5" hidden="false" customHeight="true" outlineLevel="0" collapsed="false">
      <c r="A27" s="14" t="n">
        <v>22</v>
      </c>
      <c r="B27" s="4" t="s">
        <v>103</v>
      </c>
      <c r="C27" s="4" t="s">
        <v>132</v>
      </c>
      <c r="D27" s="4" t="s">
        <v>133</v>
      </c>
      <c r="E27" s="24"/>
      <c r="F27" s="24"/>
      <c r="G27" s="24"/>
      <c r="H27" s="24"/>
      <c r="I27" s="24"/>
    </row>
    <row r="28" customFormat="false" ht="37.5" hidden="false" customHeight="true" outlineLevel="0" collapsed="false">
      <c r="A28" s="14" t="n">
        <v>23</v>
      </c>
      <c r="B28" s="4" t="s">
        <v>103</v>
      </c>
      <c r="C28" s="4" t="s">
        <v>136</v>
      </c>
      <c r="D28" s="4" t="s">
        <v>137</v>
      </c>
      <c r="E28" s="24"/>
      <c r="F28" s="24"/>
      <c r="G28" s="24"/>
      <c r="H28" s="24"/>
      <c r="I28" s="24"/>
    </row>
    <row r="29" customFormat="false" ht="37.5" hidden="false" customHeight="true" outlineLevel="0" collapsed="false">
      <c r="A29" s="14" t="n">
        <v>24</v>
      </c>
      <c r="B29" s="4" t="s">
        <v>141</v>
      </c>
      <c r="C29" s="4" t="s">
        <v>142</v>
      </c>
      <c r="D29" s="4" t="s">
        <v>143</v>
      </c>
      <c r="E29" s="24"/>
      <c r="F29" s="24"/>
      <c r="G29" s="24"/>
      <c r="H29" s="24"/>
      <c r="I29" s="24"/>
    </row>
    <row r="30" customFormat="false" ht="37.5" hidden="false" customHeight="true" outlineLevel="0" collapsed="false">
      <c r="A30" s="14" t="n">
        <v>25</v>
      </c>
      <c r="B30" s="4" t="s">
        <v>141</v>
      </c>
      <c r="C30" s="4" t="s">
        <v>144</v>
      </c>
      <c r="D30" s="4" t="s">
        <v>145</v>
      </c>
      <c r="E30" s="24"/>
      <c r="F30" s="24"/>
      <c r="G30" s="24"/>
      <c r="H30" s="24"/>
      <c r="I30" s="24"/>
    </row>
    <row r="31" customFormat="false" ht="37.5" hidden="false" customHeight="true" outlineLevel="0" collapsed="false">
      <c r="A31" s="14" t="n">
        <v>26</v>
      </c>
      <c r="B31" s="4" t="s">
        <v>141</v>
      </c>
      <c r="C31" s="4" t="s">
        <v>146</v>
      </c>
      <c r="D31" s="4" t="s">
        <v>147</v>
      </c>
      <c r="E31" s="24"/>
      <c r="F31" s="24"/>
      <c r="G31" s="24"/>
      <c r="H31" s="24"/>
      <c r="I31" s="24"/>
    </row>
    <row r="32" customFormat="false" ht="37.5" hidden="false" customHeight="true" outlineLevel="0" collapsed="false">
      <c r="A32" s="14" t="n">
        <v>27</v>
      </c>
      <c r="B32" s="4" t="s">
        <v>141</v>
      </c>
      <c r="C32" s="4" t="s">
        <v>149</v>
      </c>
      <c r="D32" s="4" t="s">
        <v>150</v>
      </c>
      <c r="E32" s="24"/>
      <c r="F32" s="24"/>
      <c r="G32" s="24"/>
      <c r="H32" s="24"/>
      <c r="I32" s="24"/>
    </row>
    <row r="33" customFormat="false" ht="37.5" hidden="false" customHeight="true" outlineLevel="0" collapsed="false">
      <c r="A33" s="14" t="n">
        <v>28</v>
      </c>
      <c r="B33" s="4" t="s">
        <v>141</v>
      </c>
      <c r="C33" s="4" t="s">
        <v>153</v>
      </c>
      <c r="D33" s="4" t="s">
        <v>154</v>
      </c>
      <c r="E33" s="24"/>
      <c r="F33" s="24"/>
      <c r="G33" s="24"/>
      <c r="H33" s="24"/>
      <c r="I33" s="24"/>
    </row>
    <row r="34" customFormat="false" ht="37.5" hidden="false" customHeight="true" outlineLevel="0" collapsed="false">
      <c r="A34" s="14" t="n">
        <v>29</v>
      </c>
      <c r="B34" s="4" t="s">
        <v>141</v>
      </c>
      <c r="C34" s="4" t="s">
        <v>156</v>
      </c>
      <c r="D34" s="4" t="s">
        <v>157</v>
      </c>
      <c r="E34" s="24"/>
      <c r="F34" s="24"/>
      <c r="G34" s="24"/>
      <c r="H34" s="24"/>
      <c r="I34" s="24"/>
    </row>
    <row r="35" customFormat="false" ht="37.5" hidden="false" customHeight="true" outlineLevel="0" collapsed="false">
      <c r="A35" s="14" t="n">
        <v>30</v>
      </c>
      <c r="B35" s="4" t="s">
        <v>141</v>
      </c>
      <c r="C35" s="4" t="s">
        <v>159</v>
      </c>
      <c r="D35" s="4" t="s">
        <v>160</v>
      </c>
      <c r="E35" s="24"/>
      <c r="F35" s="24"/>
      <c r="G35" s="24"/>
      <c r="H35" s="24"/>
      <c r="I35" s="24"/>
    </row>
    <row r="36" customFormat="false" ht="37.5" hidden="false" customHeight="true" outlineLevel="0" collapsed="false">
      <c r="A36" s="14" t="n">
        <v>31</v>
      </c>
      <c r="B36" s="4" t="s">
        <v>141</v>
      </c>
      <c r="C36" s="4" t="s">
        <v>164</v>
      </c>
      <c r="D36" s="4" t="s">
        <v>165</v>
      </c>
      <c r="E36" s="24"/>
      <c r="F36" s="24"/>
      <c r="G36" s="24"/>
      <c r="H36" s="24"/>
      <c r="I36" s="24"/>
    </row>
    <row r="37" customFormat="false" ht="37.5" hidden="false" customHeight="true" outlineLevel="0" collapsed="false">
      <c r="A37" s="14" t="n">
        <v>32</v>
      </c>
      <c r="B37" s="4" t="s">
        <v>167</v>
      </c>
      <c r="C37" s="4" t="s">
        <v>168</v>
      </c>
      <c r="D37" s="4" t="s">
        <v>169</v>
      </c>
      <c r="E37" s="24"/>
      <c r="F37" s="24"/>
      <c r="G37" s="24"/>
      <c r="H37" s="24"/>
      <c r="I37" s="24"/>
    </row>
    <row r="38" customFormat="false" ht="37.5" hidden="false" customHeight="true" outlineLevel="0" collapsed="false">
      <c r="A38" s="14" t="n">
        <v>33</v>
      </c>
      <c r="B38" s="4" t="s">
        <v>167</v>
      </c>
      <c r="C38" s="4" t="s">
        <v>172</v>
      </c>
      <c r="D38" s="4" t="s">
        <v>173</v>
      </c>
      <c r="E38" s="24"/>
      <c r="F38" s="24"/>
      <c r="G38" s="24"/>
      <c r="H38" s="24"/>
      <c r="I38" s="24"/>
    </row>
    <row r="39" customFormat="false" ht="37.5" hidden="false" customHeight="true" outlineLevel="0" collapsed="false">
      <c r="A39" s="14" t="n">
        <v>34</v>
      </c>
      <c r="B39" s="4" t="s">
        <v>167</v>
      </c>
      <c r="C39" s="4" t="s">
        <v>174</v>
      </c>
      <c r="D39" s="4" t="s">
        <v>175</v>
      </c>
      <c r="E39" s="24"/>
      <c r="F39" s="24"/>
      <c r="G39" s="24"/>
      <c r="H39" s="24"/>
      <c r="I39" s="24"/>
    </row>
    <row r="40" customFormat="false" ht="37.5" hidden="false" customHeight="true" outlineLevel="0" collapsed="false">
      <c r="A40" s="14" t="n">
        <v>35</v>
      </c>
      <c r="B40" s="4" t="s">
        <v>167</v>
      </c>
      <c r="C40" s="4" t="s">
        <v>177</v>
      </c>
      <c r="D40" s="4" t="s">
        <v>178</v>
      </c>
      <c r="E40" s="24"/>
      <c r="F40" s="24"/>
      <c r="G40" s="24"/>
      <c r="H40" s="24"/>
      <c r="I40" s="24"/>
    </row>
    <row r="41" customFormat="false" ht="37.5" hidden="false" customHeight="true" outlineLevel="0" collapsed="false">
      <c r="A41" s="14" t="n">
        <v>36</v>
      </c>
      <c r="B41" s="4" t="s">
        <v>167</v>
      </c>
      <c r="C41" s="4" t="s">
        <v>181</v>
      </c>
      <c r="D41" s="4" t="s">
        <v>182</v>
      </c>
      <c r="E41" s="24"/>
      <c r="F41" s="24"/>
      <c r="G41" s="24"/>
      <c r="H41" s="24"/>
      <c r="I41" s="24"/>
    </row>
    <row r="42" customFormat="false" ht="37.5" hidden="false" customHeight="true" outlineLevel="0" collapsed="false">
      <c r="A42" s="14" t="n">
        <v>37</v>
      </c>
      <c r="B42" s="4" t="s">
        <v>167</v>
      </c>
      <c r="C42" s="4" t="s">
        <v>185</v>
      </c>
      <c r="D42" s="4" t="s">
        <v>186</v>
      </c>
      <c r="E42" s="24"/>
      <c r="F42" s="24"/>
      <c r="G42" s="24"/>
      <c r="H42" s="24"/>
      <c r="I42" s="24"/>
    </row>
    <row r="43" customFormat="false" ht="37.5" hidden="false" customHeight="true" outlineLevel="0" collapsed="false">
      <c r="A43" s="14" t="n">
        <v>38</v>
      </c>
      <c r="B43" s="4" t="s">
        <v>167</v>
      </c>
      <c r="C43" s="4" t="s">
        <v>189</v>
      </c>
      <c r="D43" s="4" t="s">
        <v>190</v>
      </c>
      <c r="E43" s="24"/>
      <c r="F43" s="24"/>
      <c r="G43" s="24"/>
      <c r="H43" s="24"/>
      <c r="I43" s="24"/>
    </row>
    <row r="44" customFormat="false" ht="37.5" hidden="false" customHeight="true" outlineLevel="0" collapsed="false">
      <c r="A44" s="14" t="n">
        <v>39</v>
      </c>
      <c r="B44" s="4" t="s">
        <v>167</v>
      </c>
      <c r="C44" s="4" t="s">
        <v>192</v>
      </c>
      <c r="D44" s="4" t="s">
        <v>193</v>
      </c>
      <c r="E44" s="24"/>
      <c r="F44" s="24"/>
      <c r="G44" s="24"/>
      <c r="H44" s="24"/>
      <c r="I44" s="24"/>
    </row>
    <row r="45" customFormat="false" ht="37.5" hidden="false" customHeight="true" outlineLevel="0" collapsed="false">
      <c r="A45" s="14" t="n">
        <v>40</v>
      </c>
      <c r="B45" s="4" t="s">
        <v>167</v>
      </c>
      <c r="C45" s="4" t="s">
        <v>196</v>
      </c>
      <c r="D45" s="4" t="s">
        <v>197</v>
      </c>
      <c r="E45" s="24"/>
      <c r="F45" s="24"/>
      <c r="G45" s="24"/>
      <c r="H45" s="24"/>
      <c r="I45" s="24"/>
    </row>
    <row r="46" customFormat="false" ht="37.5" hidden="false" customHeight="true" outlineLevel="0" collapsed="false">
      <c r="A46" s="14" t="n">
        <v>41</v>
      </c>
      <c r="B46" s="4" t="s">
        <v>167</v>
      </c>
      <c r="C46" s="4" t="s">
        <v>198</v>
      </c>
      <c r="D46" s="4" t="s">
        <v>199</v>
      </c>
      <c r="E46" s="24"/>
      <c r="F46" s="24"/>
      <c r="G46" s="24"/>
      <c r="H46" s="24"/>
      <c r="I46" s="24"/>
    </row>
    <row r="47" customFormat="false" ht="37.5" hidden="false" customHeight="true" outlineLevel="0" collapsed="false">
      <c r="A47" s="14" t="n">
        <v>42</v>
      </c>
      <c r="B47" s="4" t="s">
        <v>167</v>
      </c>
      <c r="C47" s="4" t="s">
        <v>200</v>
      </c>
      <c r="D47" s="4" t="s">
        <v>201</v>
      </c>
      <c r="E47" s="24"/>
      <c r="F47" s="24"/>
      <c r="G47" s="24"/>
      <c r="H47" s="24"/>
      <c r="I47" s="24"/>
    </row>
    <row r="48" customFormat="false" ht="37.5" hidden="false" customHeight="true" outlineLevel="0" collapsed="false">
      <c r="A48" s="14" t="n">
        <v>43</v>
      </c>
      <c r="B48" s="4" t="s">
        <v>203</v>
      </c>
      <c r="C48" s="4" t="s">
        <v>204</v>
      </c>
      <c r="D48" s="4" t="s">
        <v>205</v>
      </c>
      <c r="E48" s="24"/>
      <c r="F48" s="24"/>
      <c r="G48" s="24"/>
      <c r="H48" s="24"/>
      <c r="I48" s="24"/>
    </row>
    <row r="49" customFormat="false" ht="37.5" hidden="false" customHeight="true" outlineLevel="0" collapsed="false">
      <c r="A49" s="14" t="n">
        <v>44</v>
      </c>
      <c r="B49" s="4" t="s">
        <v>203</v>
      </c>
      <c r="C49" s="4" t="s">
        <v>206</v>
      </c>
      <c r="D49" s="4" t="s">
        <v>207</v>
      </c>
      <c r="E49" s="24"/>
      <c r="F49" s="24"/>
      <c r="G49" s="24"/>
      <c r="H49" s="24"/>
      <c r="I49" s="24"/>
    </row>
    <row r="50" customFormat="false" ht="37.5" hidden="false" customHeight="true" outlineLevel="0" collapsed="false">
      <c r="A50" s="14" t="n">
        <v>45</v>
      </c>
      <c r="B50" s="4" t="s">
        <v>203</v>
      </c>
      <c r="C50" s="4" t="s">
        <v>210</v>
      </c>
      <c r="D50" s="4" t="s">
        <v>211</v>
      </c>
      <c r="E50" s="24"/>
      <c r="F50" s="24"/>
      <c r="G50" s="24"/>
      <c r="H50" s="24"/>
      <c r="I50" s="24"/>
    </row>
    <row r="51" customFormat="false" ht="37.5" hidden="false" customHeight="true" outlineLevel="0" collapsed="false">
      <c r="A51" s="14" t="n">
        <v>46</v>
      </c>
      <c r="B51" s="4" t="s">
        <v>203</v>
      </c>
      <c r="C51" s="4" t="s">
        <v>213</v>
      </c>
      <c r="D51" s="4" t="s">
        <v>214</v>
      </c>
      <c r="E51" s="24"/>
      <c r="F51" s="24"/>
      <c r="G51" s="24"/>
      <c r="H51" s="24"/>
      <c r="I51" s="24"/>
    </row>
    <row r="52" customFormat="false" ht="37.5" hidden="false" customHeight="true" outlineLevel="0" collapsed="false">
      <c r="A52" s="14" t="n">
        <v>47</v>
      </c>
      <c r="B52" s="4" t="s">
        <v>203</v>
      </c>
      <c r="C52" s="4" t="s">
        <v>218</v>
      </c>
      <c r="D52" s="4" t="s">
        <v>219</v>
      </c>
      <c r="E52" s="24"/>
      <c r="F52" s="24"/>
      <c r="G52" s="24"/>
      <c r="H52" s="24"/>
      <c r="I52" s="24"/>
    </row>
    <row r="53" customFormat="false" ht="37.5" hidden="false" customHeight="true" outlineLevel="0" collapsed="false">
      <c r="A53" s="14" t="n">
        <v>48</v>
      </c>
      <c r="B53" s="4" t="s">
        <v>203</v>
      </c>
      <c r="C53" s="4" t="s">
        <v>223</v>
      </c>
      <c r="D53" s="4" t="s">
        <v>224</v>
      </c>
      <c r="E53" s="24"/>
      <c r="F53" s="24"/>
      <c r="G53" s="24"/>
      <c r="H53" s="24"/>
      <c r="I53" s="24"/>
    </row>
    <row r="54" customFormat="false" ht="37.5" hidden="false" customHeight="true" outlineLevel="0" collapsed="false">
      <c r="A54" s="14" t="n">
        <v>49</v>
      </c>
      <c r="B54" s="4" t="s">
        <v>203</v>
      </c>
      <c r="C54" s="4" t="s">
        <v>226</v>
      </c>
      <c r="D54" s="4" t="s">
        <v>227</v>
      </c>
      <c r="E54" s="24"/>
      <c r="F54" s="24"/>
      <c r="G54" s="24"/>
      <c r="H54" s="24"/>
      <c r="I54" s="24"/>
    </row>
    <row r="55" customFormat="false" ht="37.5" hidden="false" customHeight="true" outlineLevel="0" collapsed="false">
      <c r="A55" s="14" t="n">
        <v>50</v>
      </c>
      <c r="B55" s="4" t="s">
        <v>203</v>
      </c>
      <c r="C55" s="4" t="s">
        <v>230</v>
      </c>
      <c r="D55" s="4" t="s">
        <v>231</v>
      </c>
      <c r="E55" s="24"/>
      <c r="F55" s="24"/>
      <c r="G55" s="24"/>
      <c r="H55" s="24"/>
      <c r="I55" s="24"/>
    </row>
    <row r="56" customFormat="false" ht="37.5" hidden="false" customHeight="true" outlineLevel="0" collapsed="false">
      <c r="A56" s="14" t="n">
        <v>51</v>
      </c>
      <c r="B56" s="4" t="s">
        <v>203</v>
      </c>
      <c r="C56" s="4" t="s">
        <v>234</v>
      </c>
      <c r="D56" s="4" t="s">
        <v>235</v>
      </c>
      <c r="E56" s="24"/>
      <c r="F56" s="24"/>
      <c r="G56" s="24"/>
      <c r="H56" s="24"/>
      <c r="I56" s="24"/>
    </row>
    <row r="57" customFormat="false" ht="37.5" hidden="false" customHeight="true" outlineLevel="0" collapsed="false">
      <c r="A57" s="14" t="n">
        <v>52</v>
      </c>
      <c r="B57" s="4" t="s">
        <v>203</v>
      </c>
      <c r="C57" s="4" t="s">
        <v>237</v>
      </c>
      <c r="D57" s="4" t="s">
        <v>238</v>
      </c>
      <c r="E57" s="24"/>
      <c r="F57" s="24"/>
      <c r="G57" s="24"/>
      <c r="H57" s="24"/>
      <c r="I57" s="24"/>
    </row>
    <row r="58" customFormat="false" ht="37.5" hidden="false" customHeight="true" outlineLevel="0" collapsed="false">
      <c r="A58" s="14" t="n">
        <v>53</v>
      </c>
      <c r="B58" s="4" t="s">
        <v>203</v>
      </c>
      <c r="C58" s="4" t="s">
        <v>241</v>
      </c>
      <c r="D58" s="4" t="s">
        <v>242</v>
      </c>
      <c r="E58" s="24"/>
      <c r="F58" s="24"/>
      <c r="G58" s="24"/>
      <c r="H58" s="24"/>
      <c r="I58" s="24"/>
    </row>
    <row r="59" customFormat="false" ht="37.5" hidden="false" customHeight="true" outlineLevel="0" collapsed="false">
      <c r="A59" s="14" t="n">
        <v>54</v>
      </c>
      <c r="B59" s="4" t="s">
        <v>246</v>
      </c>
      <c r="C59" s="4" t="s">
        <v>247</v>
      </c>
      <c r="D59" s="4" t="s">
        <v>248</v>
      </c>
      <c r="E59" s="24"/>
      <c r="F59" s="24"/>
      <c r="G59" s="24"/>
      <c r="H59" s="24"/>
      <c r="I59" s="24"/>
    </row>
    <row r="60" customFormat="false" ht="37.5" hidden="false" customHeight="true" outlineLevel="0" collapsed="false">
      <c r="A60" s="14" t="n">
        <v>55</v>
      </c>
      <c r="B60" s="4" t="s">
        <v>246</v>
      </c>
      <c r="C60" s="4" t="s">
        <v>252</v>
      </c>
      <c r="D60" s="4" t="s">
        <v>253</v>
      </c>
      <c r="E60" s="24"/>
      <c r="F60" s="24"/>
      <c r="G60" s="24"/>
      <c r="H60" s="24"/>
      <c r="I60" s="24"/>
    </row>
    <row r="61" customFormat="false" ht="37.5" hidden="false" customHeight="true" outlineLevel="0" collapsed="false">
      <c r="A61" s="14" t="n">
        <v>56</v>
      </c>
      <c r="B61" s="4" t="s">
        <v>246</v>
      </c>
      <c r="C61" s="4" t="s">
        <v>254</v>
      </c>
      <c r="D61" s="4" t="s">
        <v>255</v>
      </c>
      <c r="E61" s="24"/>
      <c r="F61" s="24"/>
      <c r="G61" s="24"/>
      <c r="H61" s="24"/>
      <c r="I61" s="24"/>
    </row>
    <row r="62" customFormat="false" ht="37.5" hidden="false" customHeight="true" outlineLevel="0" collapsed="false">
      <c r="A62" s="14" t="n">
        <v>57</v>
      </c>
      <c r="B62" s="4" t="s">
        <v>246</v>
      </c>
      <c r="C62" s="4" t="s">
        <v>258</v>
      </c>
      <c r="D62" s="4" t="s">
        <v>259</v>
      </c>
      <c r="E62" s="24"/>
      <c r="F62" s="24"/>
      <c r="G62" s="24"/>
      <c r="H62" s="24"/>
      <c r="I62" s="24"/>
    </row>
    <row r="63" customFormat="false" ht="37.5" hidden="false" customHeight="true" outlineLevel="0" collapsed="false">
      <c r="A63" s="14" t="n">
        <v>58</v>
      </c>
      <c r="B63" s="4" t="s">
        <v>246</v>
      </c>
      <c r="C63" s="4" t="s">
        <v>262</v>
      </c>
      <c r="D63" s="4" t="s">
        <v>263</v>
      </c>
      <c r="E63" s="24"/>
      <c r="F63" s="24"/>
      <c r="G63" s="24"/>
      <c r="H63" s="24"/>
      <c r="I63" s="24"/>
    </row>
    <row r="64" customFormat="false" ht="37.5" hidden="false" customHeight="true" outlineLevel="0" collapsed="false">
      <c r="A64" s="14" t="n">
        <v>59</v>
      </c>
      <c r="B64" s="4" t="s">
        <v>246</v>
      </c>
      <c r="C64" s="4" t="s">
        <v>266</v>
      </c>
      <c r="D64" s="4" t="s">
        <v>267</v>
      </c>
      <c r="E64" s="24"/>
      <c r="F64" s="24"/>
      <c r="G64" s="24"/>
      <c r="H64" s="24"/>
      <c r="I64" s="24"/>
    </row>
    <row r="65" customFormat="false" ht="37.5" hidden="false" customHeight="true" outlineLevel="0" collapsed="false">
      <c r="A65" s="14" t="n">
        <v>60</v>
      </c>
      <c r="B65" s="4" t="s">
        <v>246</v>
      </c>
      <c r="C65" s="4" t="s">
        <v>270</v>
      </c>
      <c r="D65" s="4" t="s">
        <v>271</v>
      </c>
      <c r="E65" s="24"/>
      <c r="F65" s="24"/>
      <c r="G65" s="24"/>
      <c r="H65" s="24"/>
      <c r="I65" s="24"/>
    </row>
  </sheetData>
  <dataValidations count="1">
    <dataValidation allowBlank="true" errorStyle="stop" operator="between" showDropDown="false" showErrorMessage="false" showInputMessage="false" sqref="E6:E65" type="list">
      <formula1>"Performed,Equivalent control,Not performed - risk accepted,Not performed - no acceptance on record,Not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2026-08-16T00:07:01Z</dcterms:created>
  <dc:creator>openpyxl</dc:creator>
  <dc:description/>
  <dc:language>en-US</dc:language>
  <cp:lastModifiedBy/>
  <dcterms:modified xsi:type="dcterms:W3CDTF">2026-08-16T00:07:01Z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